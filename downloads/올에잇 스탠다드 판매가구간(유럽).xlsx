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구간별 마진식\"/>
    </mc:Choice>
  </mc:AlternateContent>
  <xr:revisionPtr revIDLastSave="0" documentId="13_ncr:1_{0F2CBE45-85E4-4501-829F-9C20880BA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구간별 계산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46" i="1" l="1"/>
  <c r="G446" i="1"/>
  <c r="I446" i="1" s="1"/>
  <c r="F446" i="1"/>
  <c r="H445" i="1"/>
  <c r="G445" i="1"/>
  <c r="I445" i="1" s="1"/>
  <c r="F445" i="1"/>
  <c r="L445" i="1" s="1"/>
  <c r="H444" i="1"/>
  <c r="G444" i="1"/>
  <c r="I444" i="1" s="1"/>
  <c r="F444" i="1"/>
  <c r="H443" i="1"/>
  <c r="G443" i="1"/>
  <c r="I443" i="1" s="1"/>
  <c r="F443" i="1"/>
  <c r="L443" i="1" s="1"/>
  <c r="M443" i="1" s="1"/>
  <c r="N443" i="1" s="1"/>
  <c r="O443" i="1" s="1"/>
  <c r="H442" i="1"/>
  <c r="G442" i="1"/>
  <c r="I442" i="1" s="1"/>
  <c r="F442" i="1"/>
  <c r="H441" i="1"/>
  <c r="G441" i="1"/>
  <c r="I441" i="1" s="1"/>
  <c r="F441" i="1"/>
  <c r="L441" i="1" s="1"/>
  <c r="M441" i="1" s="1"/>
  <c r="N441" i="1" s="1"/>
  <c r="O441" i="1" s="1"/>
  <c r="H440" i="1"/>
  <c r="G440" i="1"/>
  <c r="I440" i="1" s="1"/>
  <c r="F440" i="1"/>
  <c r="H439" i="1"/>
  <c r="G439" i="1"/>
  <c r="I439" i="1" s="1"/>
  <c r="L439" i="1" s="1"/>
  <c r="F439" i="1"/>
  <c r="M438" i="1"/>
  <c r="N438" i="1" s="1"/>
  <c r="O438" i="1" s="1"/>
  <c r="I438" i="1"/>
  <c r="L438" i="1" s="1"/>
  <c r="P438" i="1" s="1"/>
  <c r="Q438" i="1" s="1"/>
  <c r="R438" i="1" s="1"/>
  <c r="H438" i="1"/>
  <c r="G438" i="1"/>
  <c r="F438" i="1"/>
  <c r="H437" i="1"/>
  <c r="I437" i="1" s="1"/>
  <c r="L437" i="1" s="1"/>
  <c r="G437" i="1"/>
  <c r="F437" i="1"/>
  <c r="H436" i="1"/>
  <c r="G436" i="1"/>
  <c r="I436" i="1" s="1"/>
  <c r="L436" i="1" s="1"/>
  <c r="F436" i="1"/>
  <c r="H435" i="1"/>
  <c r="G435" i="1"/>
  <c r="I435" i="1" s="1"/>
  <c r="F435" i="1"/>
  <c r="H434" i="1"/>
  <c r="G434" i="1"/>
  <c r="F434" i="1"/>
  <c r="H433" i="1"/>
  <c r="G433" i="1"/>
  <c r="I433" i="1" s="1"/>
  <c r="F433" i="1"/>
  <c r="L433" i="1" s="1"/>
  <c r="H432" i="1"/>
  <c r="G432" i="1"/>
  <c r="I432" i="1" s="1"/>
  <c r="F432" i="1"/>
  <c r="L432" i="1" s="1"/>
  <c r="P431" i="1"/>
  <c r="Q431" i="1" s="1"/>
  <c r="R431" i="1" s="1"/>
  <c r="H431" i="1"/>
  <c r="G431" i="1"/>
  <c r="I431" i="1" s="1"/>
  <c r="F431" i="1"/>
  <c r="L431" i="1" s="1"/>
  <c r="M431" i="1" s="1"/>
  <c r="N431" i="1" s="1"/>
  <c r="O431" i="1" s="1"/>
  <c r="H430" i="1"/>
  <c r="G430" i="1"/>
  <c r="I430" i="1" s="1"/>
  <c r="F430" i="1"/>
  <c r="L430" i="1" s="1"/>
  <c r="H429" i="1"/>
  <c r="G429" i="1"/>
  <c r="I429" i="1" s="1"/>
  <c r="F429" i="1"/>
  <c r="H428" i="1"/>
  <c r="G428" i="1"/>
  <c r="I428" i="1" s="1"/>
  <c r="F428" i="1"/>
  <c r="L428" i="1" s="1"/>
  <c r="M427" i="1"/>
  <c r="N427" i="1" s="1"/>
  <c r="O427" i="1" s="1"/>
  <c r="L427" i="1"/>
  <c r="P427" i="1" s="1"/>
  <c r="Q427" i="1" s="1"/>
  <c r="R427" i="1" s="1"/>
  <c r="H427" i="1"/>
  <c r="G427" i="1"/>
  <c r="I427" i="1" s="1"/>
  <c r="F427" i="1"/>
  <c r="L426" i="1"/>
  <c r="I426" i="1"/>
  <c r="H426" i="1"/>
  <c r="G426" i="1"/>
  <c r="F426" i="1"/>
  <c r="H425" i="1"/>
  <c r="I425" i="1" s="1"/>
  <c r="L425" i="1" s="1"/>
  <c r="G425" i="1"/>
  <c r="F425" i="1"/>
  <c r="H424" i="1"/>
  <c r="G424" i="1"/>
  <c r="I424" i="1" s="1"/>
  <c r="L424" i="1" s="1"/>
  <c r="F424" i="1"/>
  <c r="H423" i="1"/>
  <c r="G423" i="1"/>
  <c r="I423" i="1" s="1"/>
  <c r="F423" i="1"/>
  <c r="H422" i="1"/>
  <c r="G422" i="1"/>
  <c r="I422" i="1" s="1"/>
  <c r="F422" i="1"/>
  <c r="L422" i="1" s="1"/>
  <c r="H421" i="1"/>
  <c r="G421" i="1"/>
  <c r="I421" i="1" s="1"/>
  <c r="F421" i="1"/>
  <c r="L421" i="1" s="1"/>
  <c r="H420" i="1"/>
  <c r="G420" i="1"/>
  <c r="I420" i="1" s="1"/>
  <c r="F420" i="1"/>
  <c r="H419" i="1"/>
  <c r="G419" i="1"/>
  <c r="I419" i="1" s="1"/>
  <c r="F419" i="1"/>
  <c r="H418" i="1"/>
  <c r="G418" i="1"/>
  <c r="I418" i="1" s="1"/>
  <c r="F418" i="1"/>
  <c r="L418" i="1" s="1"/>
  <c r="M418" i="1" s="1"/>
  <c r="N418" i="1" s="1"/>
  <c r="O418" i="1" s="1"/>
  <c r="H417" i="1"/>
  <c r="G417" i="1"/>
  <c r="I417" i="1" s="1"/>
  <c r="F417" i="1"/>
  <c r="H416" i="1"/>
  <c r="G416" i="1"/>
  <c r="I416" i="1" s="1"/>
  <c r="F416" i="1"/>
  <c r="L416" i="1" s="1"/>
  <c r="P416" i="1" s="1"/>
  <c r="Q416" i="1" s="1"/>
  <c r="R416" i="1" s="1"/>
  <c r="L415" i="1"/>
  <c r="P415" i="1" s="1"/>
  <c r="Q415" i="1" s="1"/>
  <c r="R415" i="1" s="1"/>
  <c r="H415" i="1"/>
  <c r="G415" i="1"/>
  <c r="I415" i="1" s="1"/>
  <c r="F415" i="1"/>
  <c r="I414" i="1"/>
  <c r="L414" i="1" s="1"/>
  <c r="H414" i="1"/>
  <c r="G414" i="1"/>
  <c r="F414" i="1"/>
  <c r="I413" i="1"/>
  <c r="L413" i="1" s="1"/>
  <c r="H413" i="1"/>
  <c r="G413" i="1"/>
  <c r="F413" i="1"/>
  <c r="H412" i="1"/>
  <c r="G412" i="1"/>
  <c r="I412" i="1" s="1"/>
  <c r="L412" i="1" s="1"/>
  <c r="F412" i="1"/>
  <c r="I411" i="1"/>
  <c r="H411" i="1"/>
  <c r="G411" i="1"/>
  <c r="F411" i="1"/>
  <c r="H410" i="1"/>
  <c r="G410" i="1"/>
  <c r="I410" i="1" s="1"/>
  <c r="F410" i="1"/>
  <c r="L410" i="1" s="1"/>
  <c r="H409" i="1"/>
  <c r="G409" i="1"/>
  <c r="I409" i="1" s="1"/>
  <c r="F409" i="1"/>
  <c r="L409" i="1" s="1"/>
  <c r="H408" i="1"/>
  <c r="G408" i="1"/>
  <c r="I408" i="1" s="1"/>
  <c r="F408" i="1"/>
  <c r="H407" i="1"/>
  <c r="G407" i="1"/>
  <c r="I407" i="1" s="1"/>
  <c r="F407" i="1"/>
  <c r="L407" i="1" s="1"/>
  <c r="M407" i="1" s="1"/>
  <c r="N407" i="1" s="1"/>
  <c r="O407" i="1" s="1"/>
  <c r="H406" i="1"/>
  <c r="G406" i="1"/>
  <c r="I406" i="1" s="1"/>
  <c r="F406" i="1"/>
  <c r="H405" i="1"/>
  <c r="G405" i="1"/>
  <c r="I405" i="1" s="1"/>
  <c r="F405" i="1"/>
  <c r="L405" i="1" s="1"/>
  <c r="M405" i="1" s="1"/>
  <c r="N405" i="1" s="1"/>
  <c r="O405" i="1" s="1"/>
  <c r="P404" i="1"/>
  <c r="Q404" i="1" s="1"/>
  <c r="R404" i="1" s="1"/>
  <c r="O404" i="1"/>
  <c r="N404" i="1"/>
  <c r="M404" i="1"/>
  <c r="H404" i="1"/>
  <c r="G404" i="1"/>
  <c r="I404" i="1" s="1"/>
  <c r="F404" i="1"/>
  <c r="L404" i="1" s="1"/>
  <c r="H403" i="1"/>
  <c r="G403" i="1"/>
  <c r="I403" i="1" s="1"/>
  <c r="L403" i="1" s="1"/>
  <c r="F403" i="1"/>
  <c r="I402" i="1"/>
  <c r="L402" i="1" s="1"/>
  <c r="P402" i="1" s="1"/>
  <c r="Q402" i="1" s="1"/>
  <c r="R402" i="1" s="1"/>
  <c r="H402" i="1"/>
  <c r="G402" i="1"/>
  <c r="F402" i="1"/>
  <c r="H401" i="1"/>
  <c r="I401" i="1" s="1"/>
  <c r="L401" i="1" s="1"/>
  <c r="G401" i="1"/>
  <c r="F401" i="1"/>
  <c r="H400" i="1"/>
  <c r="G400" i="1"/>
  <c r="I400" i="1" s="1"/>
  <c r="L400" i="1" s="1"/>
  <c r="F400" i="1"/>
  <c r="H399" i="1"/>
  <c r="G399" i="1"/>
  <c r="I399" i="1" s="1"/>
  <c r="F399" i="1"/>
  <c r="H398" i="1"/>
  <c r="G398" i="1"/>
  <c r="F398" i="1"/>
  <c r="H397" i="1"/>
  <c r="G397" i="1"/>
  <c r="I397" i="1" s="1"/>
  <c r="F397" i="1"/>
  <c r="L397" i="1" s="1"/>
  <c r="H396" i="1"/>
  <c r="G396" i="1"/>
  <c r="I396" i="1" s="1"/>
  <c r="F396" i="1"/>
  <c r="L396" i="1" s="1"/>
  <c r="R395" i="1"/>
  <c r="Q395" i="1"/>
  <c r="P395" i="1"/>
  <c r="H395" i="1"/>
  <c r="G395" i="1"/>
  <c r="I395" i="1" s="1"/>
  <c r="F395" i="1"/>
  <c r="L395" i="1" s="1"/>
  <c r="M395" i="1" s="1"/>
  <c r="N395" i="1" s="1"/>
  <c r="O395" i="1" s="1"/>
  <c r="H394" i="1"/>
  <c r="G394" i="1"/>
  <c r="I394" i="1" s="1"/>
  <c r="F394" i="1"/>
  <c r="L394" i="1" s="1"/>
  <c r="H393" i="1"/>
  <c r="G393" i="1"/>
  <c r="I393" i="1" s="1"/>
  <c r="F393" i="1"/>
  <c r="H392" i="1"/>
  <c r="G392" i="1"/>
  <c r="I392" i="1" s="1"/>
  <c r="F392" i="1"/>
  <c r="L392" i="1" s="1"/>
  <c r="H391" i="1"/>
  <c r="G391" i="1"/>
  <c r="I391" i="1" s="1"/>
  <c r="L391" i="1" s="1"/>
  <c r="F391" i="1"/>
  <c r="I390" i="1"/>
  <c r="L390" i="1" s="1"/>
  <c r="H390" i="1"/>
  <c r="G390" i="1"/>
  <c r="F390" i="1"/>
  <c r="H389" i="1"/>
  <c r="I389" i="1" s="1"/>
  <c r="L389" i="1" s="1"/>
  <c r="G389" i="1"/>
  <c r="F389" i="1"/>
  <c r="H388" i="1"/>
  <c r="G388" i="1"/>
  <c r="I388" i="1" s="1"/>
  <c r="L388" i="1" s="1"/>
  <c r="F388" i="1"/>
  <c r="H387" i="1"/>
  <c r="G387" i="1"/>
  <c r="I387" i="1" s="1"/>
  <c r="F387" i="1"/>
  <c r="H386" i="1"/>
  <c r="G386" i="1"/>
  <c r="I386" i="1" s="1"/>
  <c r="F386" i="1"/>
  <c r="L386" i="1" s="1"/>
  <c r="H385" i="1"/>
  <c r="G385" i="1"/>
  <c r="I385" i="1" s="1"/>
  <c r="F385" i="1"/>
  <c r="L385" i="1" s="1"/>
  <c r="H384" i="1"/>
  <c r="G384" i="1"/>
  <c r="I384" i="1" s="1"/>
  <c r="F384" i="1"/>
  <c r="H383" i="1"/>
  <c r="G383" i="1"/>
  <c r="I383" i="1" s="1"/>
  <c r="F383" i="1"/>
  <c r="H382" i="1"/>
  <c r="G382" i="1"/>
  <c r="I382" i="1" s="1"/>
  <c r="F382" i="1"/>
  <c r="L382" i="1" s="1"/>
  <c r="M382" i="1" s="1"/>
  <c r="N382" i="1" s="1"/>
  <c r="O382" i="1" s="1"/>
  <c r="H381" i="1"/>
  <c r="G381" i="1"/>
  <c r="I381" i="1" s="1"/>
  <c r="F381" i="1"/>
  <c r="L381" i="1" s="1"/>
  <c r="H380" i="1"/>
  <c r="G380" i="1"/>
  <c r="I380" i="1" s="1"/>
  <c r="F380" i="1"/>
  <c r="L380" i="1" s="1"/>
  <c r="P380" i="1" s="1"/>
  <c r="Q380" i="1" s="1"/>
  <c r="R380" i="1" s="1"/>
  <c r="L379" i="1"/>
  <c r="P379" i="1" s="1"/>
  <c r="Q379" i="1" s="1"/>
  <c r="R379" i="1" s="1"/>
  <c r="H379" i="1"/>
  <c r="G379" i="1"/>
  <c r="I379" i="1" s="1"/>
  <c r="F379" i="1"/>
  <c r="I378" i="1"/>
  <c r="L378" i="1" s="1"/>
  <c r="H378" i="1"/>
  <c r="G378" i="1"/>
  <c r="F378" i="1"/>
  <c r="L377" i="1"/>
  <c r="P377" i="1" s="1"/>
  <c r="Q377" i="1" s="1"/>
  <c r="R377" i="1" s="1"/>
  <c r="I377" i="1"/>
  <c r="H377" i="1"/>
  <c r="G377" i="1"/>
  <c r="F377" i="1"/>
  <c r="H376" i="1"/>
  <c r="G376" i="1"/>
  <c r="I376" i="1" s="1"/>
  <c r="L376" i="1" s="1"/>
  <c r="F376" i="1"/>
  <c r="I375" i="1"/>
  <c r="H375" i="1"/>
  <c r="G375" i="1"/>
  <c r="F375" i="1"/>
  <c r="L375" i="1" s="1"/>
  <c r="P375" i="1" s="1"/>
  <c r="Q375" i="1" s="1"/>
  <c r="R375" i="1" s="1"/>
  <c r="H374" i="1"/>
  <c r="G374" i="1"/>
  <c r="I374" i="1" s="1"/>
  <c r="F374" i="1"/>
  <c r="L374" i="1" s="1"/>
  <c r="I373" i="1"/>
  <c r="H373" i="1"/>
  <c r="G373" i="1"/>
  <c r="F373" i="1"/>
  <c r="H372" i="1"/>
  <c r="G372" i="1"/>
  <c r="I372" i="1" s="1"/>
  <c r="F372" i="1"/>
  <c r="L372" i="1" s="1"/>
  <c r="H371" i="1"/>
  <c r="G371" i="1"/>
  <c r="I371" i="1" s="1"/>
  <c r="F371" i="1"/>
  <c r="H370" i="1"/>
  <c r="I370" i="1" s="1"/>
  <c r="G370" i="1"/>
  <c r="F370" i="1"/>
  <c r="L370" i="1" s="1"/>
  <c r="M370" i="1" s="1"/>
  <c r="N370" i="1" s="1"/>
  <c r="O370" i="1" s="1"/>
  <c r="H369" i="1"/>
  <c r="G369" i="1"/>
  <c r="I369" i="1" s="1"/>
  <c r="F369" i="1"/>
  <c r="H368" i="1"/>
  <c r="G368" i="1"/>
  <c r="I368" i="1" s="1"/>
  <c r="F368" i="1"/>
  <c r="L368" i="1" s="1"/>
  <c r="H367" i="1"/>
  <c r="G367" i="1"/>
  <c r="I367" i="1" s="1"/>
  <c r="L367" i="1" s="1"/>
  <c r="F367" i="1"/>
  <c r="N366" i="1"/>
  <c r="O366" i="1" s="1"/>
  <c r="M366" i="1"/>
  <c r="L366" i="1"/>
  <c r="P366" i="1" s="1"/>
  <c r="Q366" i="1" s="1"/>
  <c r="R366" i="1" s="1"/>
  <c r="I366" i="1"/>
  <c r="H366" i="1"/>
  <c r="G366" i="1"/>
  <c r="F366" i="1"/>
  <c r="H365" i="1"/>
  <c r="I365" i="1" s="1"/>
  <c r="L365" i="1" s="1"/>
  <c r="G365" i="1"/>
  <c r="F365" i="1"/>
  <c r="L364" i="1"/>
  <c r="H364" i="1"/>
  <c r="G364" i="1"/>
  <c r="I364" i="1" s="1"/>
  <c r="F364" i="1"/>
  <c r="H363" i="1"/>
  <c r="G363" i="1"/>
  <c r="I363" i="1" s="1"/>
  <c r="F363" i="1"/>
  <c r="L363" i="1" s="1"/>
  <c r="H362" i="1"/>
  <c r="G362" i="1"/>
  <c r="I362" i="1" s="1"/>
  <c r="L362" i="1" s="1"/>
  <c r="F362" i="1"/>
  <c r="H361" i="1"/>
  <c r="G361" i="1"/>
  <c r="I361" i="1" s="1"/>
  <c r="F361" i="1"/>
  <c r="H360" i="1"/>
  <c r="G360" i="1"/>
  <c r="F360" i="1"/>
  <c r="H359" i="1"/>
  <c r="G359" i="1"/>
  <c r="I359" i="1" s="1"/>
  <c r="F359" i="1"/>
  <c r="L359" i="1" s="1"/>
  <c r="M359" i="1" s="1"/>
  <c r="N359" i="1" s="1"/>
  <c r="O359" i="1" s="1"/>
  <c r="H358" i="1"/>
  <c r="I358" i="1" s="1"/>
  <c r="G358" i="1"/>
  <c r="F358" i="1"/>
  <c r="H357" i="1"/>
  <c r="G357" i="1"/>
  <c r="I357" i="1" s="1"/>
  <c r="F357" i="1"/>
  <c r="L357" i="1" s="1"/>
  <c r="P356" i="1"/>
  <c r="Q356" i="1" s="1"/>
  <c r="R356" i="1" s="1"/>
  <c r="H356" i="1"/>
  <c r="G356" i="1"/>
  <c r="I356" i="1" s="1"/>
  <c r="F356" i="1"/>
  <c r="L356" i="1" s="1"/>
  <c r="M356" i="1" s="1"/>
  <c r="N356" i="1" s="1"/>
  <c r="O356" i="1" s="1"/>
  <c r="O355" i="1"/>
  <c r="N355" i="1"/>
  <c r="M355" i="1"/>
  <c r="L355" i="1"/>
  <c r="P355" i="1" s="1"/>
  <c r="Q355" i="1" s="1"/>
  <c r="R355" i="1" s="1"/>
  <c r="H355" i="1"/>
  <c r="G355" i="1"/>
  <c r="I355" i="1" s="1"/>
  <c r="F355" i="1"/>
  <c r="I354" i="1"/>
  <c r="L354" i="1" s="1"/>
  <c r="H354" i="1"/>
  <c r="G354" i="1"/>
  <c r="F354" i="1"/>
  <c r="H353" i="1"/>
  <c r="I353" i="1" s="1"/>
  <c r="L353" i="1" s="1"/>
  <c r="G353" i="1"/>
  <c r="F353" i="1"/>
  <c r="H352" i="1"/>
  <c r="I352" i="1" s="1"/>
  <c r="L352" i="1" s="1"/>
  <c r="G352" i="1"/>
  <c r="F352" i="1"/>
  <c r="H351" i="1"/>
  <c r="G351" i="1"/>
  <c r="I351" i="1" s="1"/>
  <c r="F351" i="1"/>
  <c r="L351" i="1" s="1"/>
  <c r="L350" i="1"/>
  <c r="I350" i="1"/>
  <c r="H350" i="1"/>
  <c r="G350" i="1"/>
  <c r="F350" i="1"/>
  <c r="H349" i="1"/>
  <c r="G349" i="1"/>
  <c r="I349" i="1" s="1"/>
  <c r="F349" i="1"/>
  <c r="H348" i="1"/>
  <c r="G348" i="1"/>
  <c r="F348" i="1"/>
  <c r="H347" i="1"/>
  <c r="G347" i="1"/>
  <c r="I347" i="1" s="1"/>
  <c r="F347" i="1"/>
  <c r="L347" i="1" s="1"/>
  <c r="M347" i="1" s="1"/>
  <c r="N347" i="1" s="1"/>
  <c r="O347" i="1" s="1"/>
  <c r="P346" i="1"/>
  <c r="Q346" i="1" s="1"/>
  <c r="R346" i="1" s="1"/>
  <c r="O346" i="1"/>
  <c r="I346" i="1"/>
  <c r="H346" i="1"/>
  <c r="G346" i="1"/>
  <c r="F346" i="1"/>
  <c r="L346" i="1" s="1"/>
  <c r="M346" i="1" s="1"/>
  <c r="N346" i="1" s="1"/>
  <c r="H345" i="1"/>
  <c r="G345" i="1"/>
  <c r="I345" i="1" s="1"/>
  <c r="F345" i="1"/>
  <c r="H344" i="1"/>
  <c r="G344" i="1"/>
  <c r="I344" i="1" s="1"/>
  <c r="F344" i="1"/>
  <c r="L343" i="1"/>
  <c r="P343" i="1" s="1"/>
  <c r="Q343" i="1" s="1"/>
  <c r="R343" i="1" s="1"/>
  <c r="H343" i="1"/>
  <c r="G343" i="1"/>
  <c r="I343" i="1" s="1"/>
  <c r="F343" i="1"/>
  <c r="I342" i="1"/>
  <c r="L342" i="1" s="1"/>
  <c r="H342" i="1"/>
  <c r="G342" i="1"/>
  <c r="F342" i="1"/>
  <c r="I341" i="1"/>
  <c r="L341" i="1" s="1"/>
  <c r="H341" i="1"/>
  <c r="G341" i="1"/>
  <c r="F341" i="1"/>
  <c r="N340" i="1"/>
  <c r="O340" i="1" s="1"/>
  <c r="M340" i="1"/>
  <c r="L340" i="1"/>
  <c r="P340" i="1" s="1"/>
  <c r="Q340" i="1" s="1"/>
  <c r="R340" i="1" s="1"/>
  <c r="I340" i="1"/>
  <c r="H340" i="1"/>
  <c r="G340" i="1"/>
  <c r="F340" i="1"/>
  <c r="H339" i="1"/>
  <c r="G339" i="1"/>
  <c r="I339" i="1" s="1"/>
  <c r="F339" i="1"/>
  <c r="L339" i="1" s="1"/>
  <c r="H338" i="1"/>
  <c r="I338" i="1" s="1"/>
  <c r="L338" i="1" s="1"/>
  <c r="G338" i="1"/>
  <c r="F338" i="1"/>
  <c r="H337" i="1"/>
  <c r="G337" i="1"/>
  <c r="I337" i="1" s="1"/>
  <c r="F337" i="1"/>
  <c r="H336" i="1"/>
  <c r="G336" i="1"/>
  <c r="I336" i="1" s="1"/>
  <c r="F336" i="1"/>
  <c r="L336" i="1" s="1"/>
  <c r="H335" i="1"/>
  <c r="G335" i="1"/>
  <c r="I335" i="1" s="1"/>
  <c r="F335" i="1"/>
  <c r="Q334" i="1"/>
  <c r="R334" i="1" s="1"/>
  <c r="P334" i="1"/>
  <c r="O334" i="1"/>
  <c r="I334" i="1"/>
  <c r="H334" i="1"/>
  <c r="G334" i="1"/>
  <c r="F334" i="1"/>
  <c r="L334" i="1" s="1"/>
  <c r="M334" i="1" s="1"/>
  <c r="N334" i="1" s="1"/>
  <c r="H333" i="1"/>
  <c r="G333" i="1"/>
  <c r="I333" i="1" s="1"/>
  <c r="F333" i="1"/>
  <c r="L333" i="1" s="1"/>
  <c r="R332" i="1"/>
  <c r="Q332" i="1"/>
  <c r="H332" i="1"/>
  <c r="G332" i="1"/>
  <c r="I332" i="1" s="1"/>
  <c r="F332" i="1"/>
  <c r="L332" i="1" s="1"/>
  <c r="P332" i="1" s="1"/>
  <c r="M331" i="1"/>
  <c r="N331" i="1" s="1"/>
  <c r="O331" i="1" s="1"/>
  <c r="H331" i="1"/>
  <c r="G331" i="1"/>
  <c r="I331" i="1" s="1"/>
  <c r="L331" i="1" s="1"/>
  <c r="P331" i="1" s="1"/>
  <c r="Q331" i="1" s="1"/>
  <c r="R331" i="1" s="1"/>
  <c r="F331" i="1"/>
  <c r="I330" i="1"/>
  <c r="L330" i="1" s="1"/>
  <c r="H330" i="1"/>
  <c r="G330" i="1"/>
  <c r="F330" i="1"/>
  <c r="H329" i="1"/>
  <c r="G329" i="1"/>
  <c r="I329" i="1" s="1"/>
  <c r="L329" i="1" s="1"/>
  <c r="F329" i="1"/>
  <c r="H328" i="1"/>
  <c r="G328" i="1"/>
  <c r="F328" i="1"/>
  <c r="H327" i="1"/>
  <c r="G327" i="1"/>
  <c r="I327" i="1" s="1"/>
  <c r="F327" i="1"/>
  <c r="L327" i="1" s="1"/>
  <c r="M327" i="1" s="1"/>
  <c r="N327" i="1" s="1"/>
  <c r="O327" i="1" s="1"/>
  <c r="P326" i="1"/>
  <c r="Q326" i="1" s="1"/>
  <c r="R326" i="1" s="1"/>
  <c r="N326" i="1"/>
  <c r="O326" i="1" s="1"/>
  <c r="L326" i="1"/>
  <c r="M326" i="1" s="1"/>
  <c r="H326" i="1"/>
  <c r="G326" i="1"/>
  <c r="I326" i="1" s="1"/>
  <c r="F326" i="1"/>
  <c r="H325" i="1"/>
  <c r="G325" i="1"/>
  <c r="I325" i="1" s="1"/>
  <c r="F325" i="1"/>
  <c r="H324" i="1"/>
  <c r="G324" i="1"/>
  <c r="I324" i="1" s="1"/>
  <c r="F324" i="1"/>
  <c r="I323" i="1"/>
  <c r="H323" i="1"/>
  <c r="G323" i="1"/>
  <c r="F323" i="1"/>
  <c r="L323" i="1" s="1"/>
  <c r="P322" i="1"/>
  <c r="Q322" i="1" s="1"/>
  <c r="R322" i="1" s="1"/>
  <c r="O322" i="1"/>
  <c r="I322" i="1"/>
  <c r="H322" i="1"/>
  <c r="G322" i="1"/>
  <c r="F322" i="1"/>
  <c r="L322" i="1" s="1"/>
  <c r="M322" i="1" s="1"/>
  <c r="N322" i="1" s="1"/>
  <c r="I321" i="1"/>
  <c r="H321" i="1"/>
  <c r="G321" i="1"/>
  <c r="F321" i="1"/>
  <c r="L321" i="1" s="1"/>
  <c r="H320" i="1"/>
  <c r="G320" i="1"/>
  <c r="I320" i="1" s="1"/>
  <c r="L320" i="1" s="1"/>
  <c r="F320" i="1"/>
  <c r="I319" i="1"/>
  <c r="L319" i="1" s="1"/>
  <c r="H319" i="1"/>
  <c r="G319" i="1"/>
  <c r="F319" i="1"/>
  <c r="H318" i="1"/>
  <c r="I318" i="1" s="1"/>
  <c r="L318" i="1" s="1"/>
  <c r="G318" i="1"/>
  <c r="F318" i="1"/>
  <c r="M317" i="1"/>
  <c r="N317" i="1" s="1"/>
  <c r="O317" i="1" s="1"/>
  <c r="H317" i="1"/>
  <c r="G317" i="1"/>
  <c r="I317" i="1" s="1"/>
  <c r="L317" i="1" s="1"/>
  <c r="P317" i="1" s="1"/>
  <c r="Q317" i="1" s="1"/>
  <c r="R317" i="1" s="1"/>
  <c r="F317" i="1"/>
  <c r="H316" i="1"/>
  <c r="G316" i="1"/>
  <c r="I316" i="1" s="1"/>
  <c r="F316" i="1"/>
  <c r="H315" i="1"/>
  <c r="G315" i="1"/>
  <c r="I315" i="1" s="1"/>
  <c r="F315" i="1"/>
  <c r="H314" i="1"/>
  <c r="G314" i="1"/>
  <c r="F314" i="1"/>
  <c r="H313" i="1"/>
  <c r="G313" i="1"/>
  <c r="I313" i="1" s="1"/>
  <c r="F313" i="1"/>
  <c r="L313" i="1" s="1"/>
  <c r="I312" i="1"/>
  <c r="H312" i="1"/>
  <c r="G312" i="1"/>
  <c r="F312" i="1"/>
  <c r="L312" i="1" s="1"/>
  <c r="M312" i="1" s="1"/>
  <c r="N312" i="1" s="1"/>
  <c r="O312" i="1" s="1"/>
  <c r="P311" i="1"/>
  <c r="Q311" i="1" s="1"/>
  <c r="R311" i="1" s="1"/>
  <c r="H311" i="1"/>
  <c r="G311" i="1"/>
  <c r="I311" i="1" s="1"/>
  <c r="F311" i="1"/>
  <c r="L311" i="1" s="1"/>
  <c r="M311" i="1" s="1"/>
  <c r="N311" i="1" s="1"/>
  <c r="O311" i="1" s="1"/>
  <c r="H310" i="1"/>
  <c r="G310" i="1"/>
  <c r="I310" i="1" s="1"/>
  <c r="F310" i="1"/>
  <c r="L310" i="1" s="1"/>
  <c r="Q309" i="1"/>
  <c r="R309" i="1" s="1"/>
  <c r="P309" i="1"/>
  <c r="O309" i="1"/>
  <c r="I309" i="1"/>
  <c r="H309" i="1"/>
  <c r="G309" i="1"/>
  <c r="F309" i="1"/>
  <c r="L309" i="1" s="1"/>
  <c r="M309" i="1" s="1"/>
  <c r="N309" i="1" s="1"/>
  <c r="L308" i="1"/>
  <c r="P308" i="1" s="1"/>
  <c r="Q308" i="1" s="1"/>
  <c r="R308" i="1" s="1"/>
  <c r="H308" i="1"/>
  <c r="G308" i="1"/>
  <c r="I308" i="1" s="1"/>
  <c r="F308" i="1"/>
  <c r="M307" i="1"/>
  <c r="N307" i="1" s="1"/>
  <c r="O307" i="1" s="1"/>
  <c r="L307" i="1"/>
  <c r="P307" i="1" s="1"/>
  <c r="Q307" i="1" s="1"/>
  <c r="R307" i="1" s="1"/>
  <c r="I307" i="1"/>
  <c r="H307" i="1"/>
  <c r="G307" i="1"/>
  <c r="F307" i="1"/>
  <c r="H306" i="1"/>
  <c r="I306" i="1" s="1"/>
  <c r="L306" i="1" s="1"/>
  <c r="G306" i="1"/>
  <c r="F306" i="1"/>
  <c r="H305" i="1"/>
  <c r="G305" i="1"/>
  <c r="I305" i="1" s="1"/>
  <c r="L305" i="1" s="1"/>
  <c r="F305" i="1"/>
  <c r="H304" i="1"/>
  <c r="I304" i="1" s="1"/>
  <c r="L304" i="1" s="1"/>
  <c r="G304" i="1"/>
  <c r="F304" i="1"/>
  <c r="H303" i="1"/>
  <c r="G303" i="1"/>
  <c r="I303" i="1" s="1"/>
  <c r="F303" i="1"/>
  <c r="L303" i="1" s="1"/>
  <c r="H302" i="1"/>
  <c r="G302" i="1"/>
  <c r="I302" i="1" s="1"/>
  <c r="L302" i="1" s="1"/>
  <c r="F302" i="1"/>
  <c r="H301" i="1"/>
  <c r="G301" i="1"/>
  <c r="I301" i="1" s="1"/>
  <c r="F301" i="1"/>
  <c r="H300" i="1"/>
  <c r="G300" i="1"/>
  <c r="I300" i="1" s="1"/>
  <c r="F300" i="1"/>
  <c r="H299" i="1"/>
  <c r="G299" i="1"/>
  <c r="I299" i="1" s="1"/>
  <c r="F299" i="1"/>
  <c r="H298" i="1"/>
  <c r="G298" i="1"/>
  <c r="I298" i="1" s="1"/>
  <c r="F298" i="1"/>
  <c r="Q297" i="1"/>
  <c r="R297" i="1" s="1"/>
  <c r="P297" i="1"/>
  <c r="I297" i="1"/>
  <c r="H297" i="1"/>
  <c r="G297" i="1"/>
  <c r="F297" i="1"/>
  <c r="L297" i="1" s="1"/>
  <c r="M297" i="1" s="1"/>
  <c r="N297" i="1" s="1"/>
  <c r="O297" i="1" s="1"/>
  <c r="H296" i="1"/>
  <c r="G296" i="1"/>
  <c r="I296" i="1" s="1"/>
  <c r="L296" i="1" s="1"/>
  <c r="F296" i="1"/>
  <c r="L295" i="1"/>
  <c r="P295" i="1" s="1"/>
  <c r="Q295" i="1" s="1"/>
  <c r="R295" i="1" s="1"/>
  <c r="I295" i="1"/>
  <c r="H295" i="1"/>
  <c r="G295" i="1"/>
  <c r="F295" i="1"/>
  <c r="M294" i="1"/>
  <c r="N294" i="1" s="1"/>
  <c r="O294" i="1" s="1"/>
  <c r="H294" i="1"/>
  <c r="I294" i="1" s="1"/>
  <c r="L294" i="1" s="1"/>
  <c r="P294" i="1" s="1"/>
  <c r="Q294" i="1" s="1"/>
  <c r="R294" i="1" s="1"/>
  <c r="G294" i="1"/>
  <c r="F294" i="1"/>
  <c r="H293" i="1"/>
  <c r="G293" i="1"/>
  <c r="I293" i="1" s="1"/>
  <c r="L293" i="1" s="1"/>
  <c r="F293" i="1"/>
  <c r="H292" i="1"/>
  <c r="G292" i="1"/>
  <c r="I292" i="1" s="1"/>
  <c r="F292" i="1"/>
  <c r="H291" i="1"/>
  <c r="G291" i="1"/>
  <c r="I291" i="1" s="1"/>
  <c r="L291" i="1" s="1"/>
  <c r="F291" i="1"/>
  <c r="H290" i="1"/>
  <c r="G290" i="1"/>
  <c r="I290" i="1" s="1"/>
  <c r="L290" i="1" s="1"/>
  <c r="F290" i="1"/>
  <c r="H289" i="1"/>
  <c r="G289" i="1"/>
  <c r="I289" i="1" s="1"/>
  <c r="F289" i="1"/>
  <c r="L289" i="1" s="1"/>
  <c r="H288" i="1"/>
  <c r="G288" i="1"/>
  <c r="I288" i="1" s="1"/>
  <c r="F288" i="1"/>
  <c r="H287" i="1"/>
  <c r="G287" i="1"/>
  <c r="I287" i="1" s="1"/>
  <c r="F287" i="1"/>
  <c r="L287" i="1" s="1"/>
  <c r="P287" i="1" s="1"/>
  <c r="Q287" i="1" s="1"/>
  <c r="R287" i="1" s="1"/>
  <c r="H286" i="1"/>
  <c r="G286" i="1"/>
  <c r="I286" i="1" s="1"/>
  <c r="F286" i="1"/>
  <c r="Q285" i="1"/>
  <c r="R285" i="1" s="1"/>
  <c r="P285" i="1"/>
  <c r="I285" i="1"/>
  <c r="H285" i="1"/>
  <c r="G285" i="1"/>
  <c r="F285" i="1"/>
  <c r="L285" i="1" s="1"/>
  <c r="M285" i="1" s="1"/>
  <c r="N285" i="1" s="1"/>
  <c r="O285" i="1" s="1"/>
  <c r="H284" i="1"/>
  <c r="G284" i="1"/>
  <c r="F284" i="1"/>
  <c r="H283" i="1"/>
  <c r="G283" i="1"/>
  <c r="I283" i="1" s="1"/>
  <c r="L283" i="1" s="1"/>
  <c r="F283" i="1"/>
  <c r="H282" i="1"/>
  <c r="I282" i="1" s="1"/>
  <c r="L282" i="1" s="1"/>
  <c r="G282" i="1"/>
  <c r="F282" i="1"/>
  <c r="H281" i="1"/>
  <c r="G281" i="1"/>
  <c r="I281" i="1" s="1"/>
  <c r="L281" i="1" s="1"/>
  <c r="F281" i="1"/>
  <c r="I280" i="1"/>
  <c r="H280" i="1"/>
  <c r="G280" i="1"/>
  <c r="F280" i="1"/>
  <c r="L280" i="1" s="1"/>
  <c r="H279" i="1"/>
  <c r="G279" i="1"/>
  <c r="I279" i="1" s="1"/>
  <c r="F279" i="1"/>
  <c r="L279" i="1" s="1"/>
  <c r="M279" i="1" s="1"/>
  <c r="N279" i="1" s="1"/>
  <c r="O279" i="1" s="1"/>
  <c r="H278" i="1"/>
  <c r="G278" i="1"/>
  <c r="I278" i="1" s="1"/>
  <c r="L278" i="1" s="1"/>
  <c r="F278" i="1"/>
  <c r="H277" i="1"/>
  <c r="G277" i="1"/>
  <c r="I277" i="1" s="1"/>
  <c r="L277" i="1" s="1"/>
  <c r="F277" i="1"/>
  <c r="I276" i="1"/>
  <c r="H276" i="1"/>
  <c r="G276" i="1"/>
  <c r="F276" i="1"/>
  <c r="L276" i="1" s="1"/>
  <c r="H275" i="1"/>
  <c r="G275" i="1"/>
  <c r="I275" i="1" s="1"/>
  <c r="F275" i="1"/>
  <c r="L275" i="1" s="1"/>
  <c r="H274" i="1"/>
  <c r="G274" i="1"/>
  <c r="I274" i="1" s="1"/>
  <c r="F274" i="1"/>
  <c r="I273" i="1"/>
  <c r="H273" i="1"/>
  <c r="G273" i="1"/>
  <c r="F273" i="1"/>
  <c r="H272" i="1"/>
  <c r="G272" i="1"/>
  <c r="I272" i="1" s="1"/>
  <c r="L272" i="1" s="1"/>
  <c r="F272" i="1"/>
  <c r="H271" i="1"/>
  <c r="G271" i="1"/>
  <c r="I271" i="1" s="1"/>
  <c r="F271" i="1"/>
  <c r="L271" i="1" s="1"/>
  <c r="I270" i="1"/>
  <c r="H270" i="1"/>
  <c r="G270" i="1"/>
  <c r="F270" i="1"/>
  <c r="H269" i="1"/>
  <c r="G269" i="1"/>
  <c r="I269" i="1" s="1"/>
  <c r="L269" i="1" s="1"/>
  <c r="M269" i="1" s="1"/>
  <c r="N269" i="1" s="1"/>
  <c r="O269" i="1" s="1"/>
  <c r="F269" i="1"/>
  <c r="H268" i="1"/>
  <c r="G268" i="1"/>
  <c r="I268" i="1" s="1"/>
  <c r="F268" i="1"/>
  <c r="L268" i="1" s="1"/>
  <c r="I267" i="1"/>
  <c r="L267" i="1" s="1"/>
  <c r="H267" i="1"/>
  <c r="G267" i="1"/>
  <c r="F267" i="1"/>
  <c r="H266" i="1"/>
  <c r="G266" i="1"/>
  <c r="I266" i="1" s="1"/>
  <c r="F266" i="1"/>
  <c r="H265" i="1"/>
  <c r="G265" i="1"/>
  <c r="F265" i="1"/>
  <c r="H264" i="1"/>
  <c r="G264" i="1"/>
  <c r="I264" i="1" s="1"/>
  <c r="F264" i="1"/>
  <c r="L263" i="1"/>
  <c r="P263" i="1" s="1"/>
  <c r="Q263" i="1" s="1"/>
  <c r="R263" i="1" s="1"/>
  <c r="H263" i="1"/>
  <c r="G263" i="1"/>
  <c r="I263" i="1" s="1"/>
  <c r="F263" i="1"/>
  <c r="H262" i="1"/>
  <c r="G262" i="1"/>
  <c r="I262" i="1" s="1"/>
  <c r="L262" i="1" s="1"/>
  <c r="F262" i="1"/>
  <c r="I261" i="1"/>
  <c r="H261" i="1"/>
  <c r="G261" i="1"/>
  <c r="F261" i="1"/>
  <c r="L261" i="1" s="1"/>
  <c r="H260" i="1"/>
  <c r="G260" i="1"/>
  <c r="I260" i="1" s="1"/>
  <c r="L260" i="1" s="1"/>
  <c r="F260" i="1"/>
  <c r="H259" i="1"/>
  <c r="G259" i="1"/>
  <c r="I259" i="1" s="1"/>
  <c r="F259" i="1"/>
  <c r="P258" i="1"/>
  <c r="Q258" i="1" s="1"/>
  <c r="R258" i="1" s="1"/>
  <c r="H258" i="1"/>
  <c r="I258" i="1" s="1"/>
  <c r="G258" i="1"/>
  <c r="F258" i="1"/>
  <c r="L258" i="1" s="1"/>
  <c r="M258" i="1" s="1"/>
  <c r="N258" i="1" s="1"/>
  <c r="O258" i="1" s="1"/>
  <c r="H257" i="1"/>
  <c r="G257" i="1"/>
  <c r="I257" i="1" s="1"/>
  <c r="F257" i="1"/>
  <c r="H256" i="1"/>
  <c r="G256" i="1"/>
  <c r="I256" i="1" s="1"/>
  <c r="L256" i="1" s="1"/>
  <c r="F256" i="1"/>
  <c r="P255" i="1"/>
  <c r="Q255" i="1" s="1"/>
  <c r="R255" i="1" s="1"/>
  <c r="I255" i="1"/>
  <c r="L255" i="1" s="1"/>
  <c r="M255" i="1" s="1"/>
  <c r="N255" i="1" s="1"/>
  <c r="O255" i="1" s="1"/>
  <c r="H255" i="1"/>
  <c r="G255" i="1"/>
  <c r="F255" i="1"/>
  <c r="L254" i="1"/>
  <c r="I254" i="1"/>
  <c r="H254" i="1"/>
  <c r="G254" i="1"/>
  <c r="F254" i="1"/>
  <c r="H253" i="1"/>
  <c r="G253" i="1"/>
  <c r="I253" i="1" s="1"/>
  <c r="L253" i="1" s="1"/>
  <c r="F253" i="1"/>
  <c r="H252" i="1"/>
  <c r="G252" i="1"/>
  <c r="I252" i="1" s="1"/>
  <c r="F252" i="1"/>
  <c r="L252" i="1" s="1"/>
  <c r="P252" i="1" s="1"/>
  <c r="Q252" i="1" s="1"/>
  <c r="R252" i="1" s="1"/>
  <c r="H251" i="1"/>
  <c r="G251" i="1"/>
  <c r="I251" i="1" s="1"/>
  <c r="F251" i="1"/>
  <c r="L251" i="1" s="1"/>
  <c r="I250" i="1"/>
  <c r="H250" i="1"/>
  <c r="G250" i="1"/>
  <c r="F250" i="1"/>
  <c r="H249" i="1"/>
  <c r="G249" i="1"/>
  <c r="I249" i="1" s="1"/>
  <c r="F249" i="1"/>
  <c r="H248" i="1"/>
  <c r="G248" i="1"/>
  <c r="I248" i="1" s="1"/>
  <c r="F248" i="1"/>
  <c r="H247" i="1"/>
  <c r="G247" i="1"/>
  <c r="I247" i="1" s="1"/>
  <c r="F247" i="1"/>
  <c r="L247" i="1" s="1"/>
  <c r="M247" i="1" s="1"/>
  <c r="N247" i="1" s="1"/>
  <c r="O247" i="1" s="1"/>
  <c r="P246" i="1"/>
  <c r="Q246" i="1" s="1"/>
  <c r="R246" i="1" s="1"/>
  <c r="H246" i="1"/>
  <c r="G246" i="1"/>
  <c r="I246" i="1" s="1"/>
  <c r="F246" i="1"/>
  <c r="L246" i="1" s="1"/>
  <c r="M246" i="1" s="1"/>
  <c r="N246" i="1" s="1"/>
  <c r="O246" i="1" s="1"/>
  <c r="H245" i="1"/>
  <c r="G245" i="1"/>
  <c r="I245" i="1" s="1"/>
  <c r="F245" i="1"/>
  <c r="H244" i="1"/>
  <c r="G244" i="1"/>
  <c r="I244" i="1" s="1"/>
  <c r="L244" i="1" s="1"/>
  <c r="F244" i="1"/>
  <c r="I243" i="1"/>
  <c r="L243" i="1" s="1"/>
  <c r="M243" i="1" s="1"/>
  <c r="N243" i="1" s="1"/>
  <c r="O243" i="1" s="1"/>
  <c r="H243" i="1"/>
  <c r="G243" i="1"/>
  <c r="F243" i="1"/>
  <c r="L242" i="1"/>
  <c r="I242" i="1"/>
  <c r="H242" i="1"/>
  <c r="G242" i="1"/>
  <c r="F242" i="1"/>
  <c r="H241" i="1"/>
  <c r="G241" i="1"/>
  <c r="I241" i="1" s="1"/>
  <c r="L241" i="1" s="1"/>
  <c r="F241" i="1"/>
  <c r="H240" i="1"/>
  <c r="G240" i="1"/>
  <c r="I240" i="1" s="1"/>
  <c r="F240" i="1"/>
  <c r="H239" i="1"/>
  <c r="G239" i="1"/>
  <c r="I239" i="1" s="1"/>
  <c r="F239" i="1"/>
  <c r="I238" i="1"/>
  <c r="H238" i="1"/>
  <c r="G238" i="1"/>
  <c r="F238" i="1"/>
  <c r="H237" i="1"/>
  <c r="G237" i="1"/>
  <c r="I237" i="1" s="1"/>
  <c r="F237" i="1"/>
  <c r="H236" i="1"/>
  <c r="G236" i="1"/>
  <c r="I236" i="1" s="1"/>
  <c r="F236" i="1"/>
  <c r="H235" i="1"/>
  <c r="G235" i="1"/>
  <c r="I235" i="1" s="1"/>
  <c r="F235" i="1"/>
  <c r="L235" i="1" s="1"/>
  <c r="M235" i="1" s="1"/>
  <c r="N235" i="1" s="1"/>
  <c r="O235" i="1" s="1"/>
  <c r="P234" i="1"/>
  <c r="Q234" i="1" s="1"/>
  <c r="R234" i="1" s="1"/>
  <c r="H234" i="1"/>
  <c r="G234" i="1"/>
  <c r="I234" i="1" s="1"/>
  <c r="F234" i="1"/>
  <c r="L234" i="1" s="1"/>
  <c r="M234" i="1" s="1"/>
  <c r="N234" i="1" s="1"/>
  <c r="O234" i="1" s="1"/>
  <c r="H233" i="1"/>
  <c r="G233" i="1"/>
  <c r="I233" i="1" s="1"/>
  <c r="F233" i="1"/>
  <c r="L232" i="1"/>
  <c r="P232" i="1" s="1"/>
  <c r="Q232" i="1" s="1"/>
  <c r="R232" i="1" s="1"/>
  <c r="H232" i="1"/>
  <c r="G232" i="1"/>
  <c r="I232" i="1" s="1"/>
  <c r="F232" i="1"/>
  <c r="I231" i="1"/>
  <c r="L231" i="1" s="1"/>
  <c r="H231" i="1"/>
  <c r="G231" i="1"/>
  <c r="F231" i="1"/>
  <c r="H230" i="1"/>
  <c r="I230" i="1" s="1"/>
  <c r="L230" i="1" s="1"/>
  <c r="G230" i="1"/>
  <c r="F230" i="1"/>
  <c r="I229" i="1"/>
  <c r="L229" i="1" s="1"/>
  <c r="H229" i="1"/>
  <c r="G229" i="1"/>
  <c r="F229" i="1"/>
  <c r="H228" i="1"/>
  <c r="G228" i="1"/>
  <c r="I228" i="1" s="1"/>
  <c r="F228" i="1"/>
  <c r="L228" i="1" s="1"/>
  <c r="H227" i="1"/>
  <c r="G227" i="1"/>
  <c r="I227" i="1" s="1"/>
  <c r="L227" i="1" s="1"/>
  <c r="F227" i="1"/>
  <c r="H226" i="1"/>
  <c r="G226" i="1"/>
  <c r="I226" i="1" s="1"/>
  <c r="F226" i="1"/>
  <c r="L226" i="1" s="1"/>
  <c r="H225" i="1"/>
  <c r="G225" i="1"/>
  <c r="I225" i="1" s="1"/>
  <c r="F225" i="1"/>
  <c r="L225" i="1" s="1"/>
  <c r="H224" i="1"/>
  <c r="G224" i="1"/>
  <c r="I224" i="1" s="1"/>
  <c r="F224" i="1"/>
  <c r="H223" i="1"/>
  <c r="G223" i="1"/>
  <c r="I223" i="1" s="1"/>
  <c r="F223" i="1"/>
  <c r="L223" i="1" s="1"/>
  <c r="H222" i="1"/>
  <c r="G222" i="1"/>
  <c r="I222" i="1" s="1"/>
  <c r="F222" i="1"/>
  <c r="H221" i="1"/>
  <c r="G221" i="1"/>
  <c r="F221" i="1"/>
  <c r="H220" i="1"/>
  <c r="G220" i="1"/>
  <c r="I220" i="1" s="1"/>
  <c r="L220" i="1" s="1"/>
  <c r="F220" i="1"/>
  <c r="I219" i="1"/>
  <c r="H219" i="1"/>
  <c r="G219" i="1"/>
  <c r="F219" i="1"/>
  <c r="L219" i="1" s="1"/>
  <c r="H218" i="1"/>
  <c r="I218" i="1" s="1"/>
  <c r="L218" i="1" s="1"/>
  <c r="G218" i="1"/>
  <c r="F218" i="1"/>
  <c r="H217" i="1"/>
  <c r="G217" i="1"/>
  <c r="I217" i="1" s="1"/>
  <c r="L217" i="1" s="1"/>
  <c r="F217" i="1"/>
  <c r="P216" i="1"/>
  <c r="Q216" i="1" s="1"/>
  <c r="R216" i="1" s="1"/>
  <c r="H216" i="1"/>
  <c r="G216" i="1"/>
  <c r="I216" i="1" s="1"/>
  <c r="F216" i="1"/>
  <c r="L216" i="1" s="1"/>
  <c r="M216" i="1" s="1"/>
  <c r="N216" i="1" s="1"/>
  <c r="O216" i="1" s="1"/>
  <c r="H215" i="1"/>
  <c r="G215" i="1"/>
  <c r="I215" i="1" s="1"/>
  <c r="F215" i="1"/>
  <c r="L215" i="1" s="1"/>
  <c r="M214" i="1"/>
  <c r="N214" i="1" s="1"/>
  <c r="O214" i="1" s="1"/>
  <c r="H214" i="1"/>
  <c r="I214" i="1" s="1"/>
  <c r="L214" i="1" s="1"/>
  <c r="P214" i="1" s="1"/>
  <c r="Q214" i="1" s="1"/>
  <c r="R214" i="1" s="1"/>
  <c r="G214" i="1"/>
  <c r="F214" i="1"/>
  <c r="H213" i="1"/>
  <c r="I213" i="1" s="1"/>
  <c r="L213" i="1" s="1"/>
  <c r="G213" i="1"/>
  <c r="F213" i="1"/>
  <c r="H212" i="1"/>
  <c r="G212" i="1"/>
  <c r="I212" i="1" s="1"/>
  <c r="F212" i="1"/>
  <c r="L212" i="1" s="1"/>
  <c r="H211" i="1"/>
  <c r="G211" i="1"/>
  <c r="I211" i="1" s="1"/>
  <c r="F211" i="1"/>
  <c r="H210" i="1"/>
  <c r="I210" i="1" s="1"/>
  <c r="G210" i="1"/>
  <c r="F210" i="1"/>
  <c r="H209" i="1"/>
  <c r="G209" i="1"/>
  <c r="F209" i="1"/>
  <c r="H208" i="1"/>
  <c r="G208" i="1"/>
  <c r="I208" i="1" s="1"/>
  <c r="F208" i="1"/>
  <c r="L208" i="1" s="1"/>
  <c r="P207" i="1"/>
  <c r="Q207" i="1" s="1"/>
  <c r="R207" i="1" s="1"/>
  <c r="I207" i="1"/>
  <c r="H207" i="1"/>
  <c r="G207" i="1"/>
  <c r="F207" i="1"/>
  <c r="L207" i="1" s="1"/>
  <c r="M207" i="1" s="1"/>
  <c r="N207" i="1" s="1"/>
  <c r="O207" i="1" s="1"/>
  <c r="H206" i="1"/>
  <c r="I206" i="1" s="1"/>
  <c r="L206" i="1" s="1"/>
  <c r="G206" i="1"/>
  <c r="F206" i="1"/>
  <c r="H205" i="1"/>
  <c r="G205" i="1"/>
  <c r="I205" i="1" s="1"/>
  <c r="L205" i="1" s="1"/>
  <c r="F205" i="1"/>
  <c r="H204" i="1"/>
  <c r="G204" i="1"/>
  <c r="I204" i="1" s="1"/>
  <c r="L204" i="1" s="1"/>
  <c r="F204" i="1"/>
  <c r="H203" i="1"/>
  <c r="G203" i="1"/>
  <c r="I203" i="1" s="1"/>
  <c r="L203" i="1" s="1"/>
  <c r="F203" i="1"/>
  <c r="H202" i="1"/>
  <c r="G202" i="1"/>
  <c r="I202" i="1" s="1"/>
  <c r="F202" i="1"/>
  <c r="H201" i="1"/>
  <c r="G201" i="1"/>
  <c r="I201" i="1" s="1"/>
  <c r="F201" i="1"/>
  <c r="L201" i="1" s="1"/>
  <c r="H200" i="1"/>
  <c r="G200" i="1"/>
  <c r="I200" i="1" s="1"/>
  <c r="L200" i="1" s="1"/>
  <c r="F200" i="1"/>
  <c r="H199" i="1"/>
  <c r="I199" i="1" s="1"/>
  <c r="L199" i="1" s="1"/>
  <c r="G199" i="1"/>
  <c r="F199" i="1"/>
  <c r="I198" i="1"/>
  <c r="H198" i="1"/>
  <c r="G198" i="1"/>
  <c r="F198" i="1"/>
  <c r="I197" i="1"/>
  <c r="L197" i="1" s="1"/>
  <c r="H197" i="1"/>
  <c r="G197" i="1"/>
  <c r="F197" i="1"/>
  <c r="H196" i="1"/>
  <c r="G196" i="1"/>
  <c r="I196" i="1" s="1"/>
  <c r="F196" i="1"/>
  <c r="L196" i="1" s="1"/>
  <c r="H195" i="1"/>
  <c r="G195" i="1"/>
  <c r="I195" i="1" s="1"/>
  <c r="F195" i="1"/>
  <c r="H194" i="1"/>
  <c r="G194" i="1"/>
  <c r="I194" i="1" s="1"/>
  <c r="F194" i="1"/>
  <c r="L194" i="1" s="1"/>
  <c r="M194" i="1" s="1"/>
  <c r="N194" i="1" s="1"/>
  <c r="O194" i="1" s="1"/>
  <c r="H193" i="1"/>
  <c r="G193" i="1"/>
  <c r="I193" i="1" s="1"/>
  <c r="F193" i="1"/>
  <c r="L193" i="1" s="1"/>
  <c r="H192" i="1"/>
  <c r="G192" i="1"/>
  <c r="I192" i="1" s="1"/>
  <c r="F192" i="1"/>
  <c r="H191" i="1"/>
  <c r="G191" i="1"/>
  <c r="I191" i="1" s="1"/>
  <c r="F191" i="1"/>
  <c r="H190" i="1"/>
  <c r="G190" i="1"/>
  <c r="I190" i="1" s="1"/>
  <c r="L190" i="1" s="1"/>
  <c r="F190" i="1"/>
  <c r="Q189" i="1"/>
  <c r="R189" i="1" s="1"/>
  <c r="P189" i="1"/>
  <c r="L189" i="1"/>
  <c r="M189" i="1" s="1"/>
  <c r="N189" i="1" s="1"/>
  <c r="O189" i="1" s="1"/>
  <c r="I189" i="1"/>
  <c r="H189" i="1"/>
  <c r="G189" i="1"/>
  <c r="F189" i="1"/>
  <c r="H188" i="1"/>
  <c r="I188" i="1" s="1"/>
  <c r="L188" i="1" s="1"/>
  <c r="M188" i="1" s="1"/>
  <c r="N188" i="1" s="1"/>
  <c r="O188" i="1" s="1"/>
  <c r="G188" i="1"/>
  <c r="F188" i="1"/>
  <c r="L187" i="1"/>
  <c r="P187" i="1" s="1"/>
  <c r="Q187" i="1" s="1"/>
  <c r="R187" i="1" s="1"/>
  <c r="I187" i="1"/>
  <c r="H187" i="1"/>
  <c r="G187" i="1"/>
  <c r="F187" i="1"/>
  <c r="H186" i="1"/>
  <c r="G186" i="1"/>
  <c r="I186" i="1" s="1"/>
  <c r="F186" i="1"/>
  <c r="L186" i="1" s="1"/>
  <c r="I185" i="1"/>
  <c r="L185" i="1" s="1"/>
  <c r="H185" i="1"/>
  <c r="G185" i="1"/>
  <c r="F185" i="1"/>
  <c r="H184" i="1"/>
  <c r="G184" i="1"/>
  <c r="I184" i="1" s="1"/>
  <c r="F184" i="1"/>
  <c r="I183" i="1"/>
  <c r="H183" i="1"/>
  <c r="G183" i="1"/>
  <c r="F183" i="1"/>
  <c r="H182" i="1"/>
  <c r="G182" i="1"/>
  <c r="I182" i="1" s="1"/>
  <c r="F182" i="1"/>
  <c r="L182" i="1" s="1"/>
  <c r="Q181" i="1"/>
  <c r="R181" i="1" s="1"/>
  <c r="P181" i="1"/>
  <c r="O181" i="1"/>
  <c r="H181" i="1"/>
  <c r="G181" i="1"/>
  <c r="I181" i="1" s="1"/>
  <c r="F181" i="1"/>
  <c r="L181" i="1" s="1"/>
  <c r="M181" i="1" s="1"/>
  <c r="N181" i="1" s="1"/>
  <c r="H180" i="1"/>
  <c r="G180" i="1"/>
  <c r="I180" i="1" s="1"/>
  <c r="F180" i="1"/>
  <c r="L180" i="1" s="1"/>
  <c r="H179" i="1"/>
  <c r="G179" i="1"/>
  <c r="I179" i="1" s="1"/>
  <c r="F179" i="1"/>
  <c r="L179" i="1" s="1"/>
  <c r="P178" i="1"/>
  <c r="Q178" i="1" s="1"/>
  <c r="R178" i="1" s="1"/>
  <c r="L178" i="1"/>
  <c r="M178" i="1" s="1"/>
  <c r="N178" i="1" s="1"/>
  <c r="O178" i="1" s="1"/>
  <c r="H178" i="1"/>
  <c r="G178" i="1"/>
  <c r="I178" i="1" s="1"/>
  <c r="F178" i="1"/>
  <c r="P177" i="1"/>
  <c r="Q177" i="1" s="1"/>
  <c r="R177" i="1" s="1"/>
  <c r="O177" i="1"/>
  <c r="N177" i="1"/>
  <c r="M177" i="1"/>
  <c r="L177" i="1"/>
  <c r="I177" i="1"/>
  <c r="H177" i="1"/>
  <c r="G177" i="1"/>
  <c r="F177" i="1"/>
  <c r="H176" i="1"/>
  <c r="I176" i="1" s="1"/>
  <c r="L176" i="1" s="1"/>
  <c r="G176" i="1"/>
  <c r="F176" i="1"/>
  <c r="H175" i="1"/>
  <c r="G175" i="1"/>
  <c r="I175" i="1" s="1"/>
  <c r="L175" i="1" s="1"/>
  <c r="F175" i="1"/>
  <c r="H174" i="1"/>
  <c r="G174" i="1"/>
  <c r="I174" i="1" s="1"/>
  <c r="L174" i="1" s="1"/>
  <c r="P174" i="1" s="1"/>
  <c r="Q174" i="1" s="1"/>
  <c r="R174" i="1" s="1"/>
  <c r="F174" i="1"/>
  <c r="H173" i="1"/>
  <c r="G173" i="1"/>
  <c r="I173" i="1" s="1"/>
  <c r="F173" i="1"/>
  <c r="L173" i="1" s="1"/>
  <c r="H172" i="1"/>
  <c r="G172" i="1"/>
  <c r="I172" i="1" s="1"/>
  <c r="L172" i="1" s="1"/>
  <c r="F172" i="1"/>
  <c r="H171" i="1"/>
  <c r="G171" i="1"/>
  <c r="I171" i="1" s="1"/>
  <c r="F171" i="1"/>
  <c r="L171" i="1" s="1"/>
  <c r="H170" i="1"/>
  <c r="G170" i="1"/>
  <c r="I170" i="1" s="1"/>
  <c r="F170" i="1"/>
  <c r="H169" i="1"/>
  <c r="G169" i="1"/>
  <c r="I169" i="1" s="1"/>
  <c r="F169" i="1"/>
  <c r="L169" i="1" s="1"/>
  <c r="H168" i="1"/>
  <c r="G168" i="1"/>
  <c r="I168" i="1" s="1"/>
  <c r="F168" i="1"/>
  <c r="L168" i="1" s="1"/>
  <c r="M168" i="1" s="1"/>
  <c r="N168" i="1" s="1"/>
  <c r="O168" i="1" s="1"/>
  <c r="H167" i="1"/>
  <c r="G167" i="1"/>
  <c r="I167" i="1" s="1"/>
  <c r="F167" i="1"/>
  <c r="L166" i="1"/>
  <c r="P166" i="1" s="1"/>
  <c r="Q166" i="1" s="1"/>
  <c r="R166" i="1" s="1"/>
  <c r="H166" i="1"/>
  <c r="G166" i="1"/>
  <c r="I166" i="1" s="1"/>
  <c r="F166" i="1"/>
  <c r="I165" i="1"/>
  <c r="L165" i="1" s="1"/>
  <c r="H165" i="1"/>
  <c r="G165" i="1"/>
  <c r="F165" i="1"/>
  <c r="H164" i="1"/>
  <c r="I164" i="1" s="1"/>
  <c r="L164" i="1" s="1"/>
  <c r="G164" i="1"/>
  <c r="F164" i="1"/>
  <c r="H163" i="1"/>
  <c r="G163" i="1"/>
  <c r="I163" i="1" s="1"/>
  <c r="L163" i="1" s="1"/>
  <c r="F163" i="1"/>
  <c r="H162" i="1"/>
  <c r="G162" i="1"/>
  <c r="I162" i="1" s="1"/>
  <c r="L162" i="1" s="1"/>
  <c r="F162" i="1"/>
  <c r="H161" i="1"/>
  <c r="I161" i="1" s="1"/>
  <c r="G161" i="1"/>
  <c r="F161" i="1"/>
  <c r="H160" i="1"/>
  <c r="G160" i="1"/>
  <c r="I160" i="1" s="1"/>
  <c r="L160" i="1" s="1"/>
  <c r="F160" i="1"/>
  <c r="H159" i="1"/>
  <c r="I159" i="1" s="1"/>
  <c r="G159" i="1"/>
  <c r="F159" i="1"/>
  <c r="H158" i="1"/>
  <c r="G158" i="1"/>
  <c r="I158" i="1" s="1"/>
  <c r="F158" i="1"/>
  <c r="H157" i="1"/>
  <c r="G157" i="1"/>
  <c r="I157" i="1" s="1"/>
  <c r="F157" i="1"/>
  <c r="L157" i="1" s="1"/>
  <c r="M157" i="1" s="1"/>
  <c r="N157" i="1" s="1"/>
  <c r="O157" i="1" s="1"/>
  <c r="P156" i="1"/>
  <c r="Q156" i="1" s="1"/>
  <c r="R156" i="1" s="1"/>
  <c r="O156" i="1"/>
  <c r="N156" i="1"/>
  <c r="H156" i="1"/>
  <c r="G156" i="1"/>
  <c r="I156" i="1" s="1"/>
  <c r="F156" i="1"/>
  <c r="L156" i="1" s="1"/>
  <c r="M156" i="1" s="1"/>
  <c r="H155" i="1"/>
  <c r="G155" i="1"/>
  <c r="I155" i="1" s="1"/>
  <c r="F155" i="1"/>
  <c r="H154" i="1"/>
  <c r="G154" i="1"/>
  <c r="I154" i="1" s="1"/>
  <c r="L154" i="1" s="1"/>
  <c r="F154" i="1"/>
  <c r="Q153" i="1"/>
  <c r="R153" i="1" s="1"/>
  <c r="P153" i="1"/>
  <c r="L153" i="1"/>
  <c r="M153" i="1" s="1"/>
  <c r="N153" i="1" s="1"/>
  <c r="O153" i="1" s="1"/>
  <c r="I153" i="1"/>
  <c r="H153" i="1"/>
  <c r="G153" i="1"/>
  <c r="F153" i="1"/>
  <c r="H152" i="1"/>
  <c r="I152" i="1" s="1"/>
  <c r="L152" i="1" s="1"/>
  <c r="M152" i="1" s="1"/>
  <c r="N152" i="1" s="1"/>
  <c r="O152" i="1" s="1"/>
  <c r="G152" i="1"/>
  <c r="F152" i="1"/>
  <c r="H151" i="1"/>
  <c r="I151" i="1" s="1"/>
  <c r="L151" i="1" s="1"/>
  <c r="G151" i="1"/>
  <c r="F151" i="1"/>
  <c r="H150" i="1"/>
  <c r="G150" i="1"/>
  <c r="I150" i="1" s="1"/>
  <c r="F150" i="1"/>
  <c r="L150" i="1" s="1"/>
  <c r="M149" i="1"/>
  <c r="N149" i="1" s="1"/>
  <c r="O149" i="1" s="1"/>
  <c r="L149" i="1"/>
  <c r="P149" i="1" s="1"/>
  <c r="Q149" i="1" s="1"/>
  <c r="R149" i="1" s="1"/>
  <c r="I149" i="1"/>
  <c r="H149" i="1"/>
  <c r="G149" i="1"/>
  <c r="F149" i="1"/>
  <c r="H148" i="1"/>
  <c r="G148" i="1"/>
  <c r="I148" i="1" s="1"/>
  <c r="F148" i="1"/>
  <c r="L148" i="1" s="1"/>
  <c r="I147" i="1"/>
  <c r="H147" i="1"/>
  <c r="G147" i="1"/>
  <c r="F147" i="1"/>
  <c r="H146" i="1"/>
  <c r="G146" i="1"/>
  <c r="I146" i="1" s="1"/>
  <c r="F146" i="1"/>
  <c r="L146" i="1" s="1"/>
  <c r="H145" i="1"/>
  <c r="G145" i="1"/>
  <c r="F145" i="1"/>
  <c r="H144" i="1"/>
  <c r="G144" i="1"/>
  <c r="I144" i="1" s="1"/>
  <c r="F144" i="1"/>
  <c r="L144" i="1" s="1"/>
  <c r="H143" i="1"/>
  <c r="G143" i="1"/>
  <c r="I143" i="1" s="1"/>
  <c r="F143" i="1"/>
  <c r="L143" i="1" s="1"/>
  <c r="Q142" i="1"/>
  <c r="R142" i="1" s="1"/>
  <c r="P142" i="1"/>
  <c r="L142" i="1"/>
  <c r="M142" i="1" s="1"/>
  <c r="N142" i="1" s="1"/>
  <c r="O142" i="1" s="1"/>
  <c r="H142" i="1"/>
  <c r="G142" i="1"/>
  <c r="I142" i="1" s="1"/>
  <c r="F142" i="1"/>
  <c r="P141" i="1"/>
  <c r="Q141" i="1" s="1"/>
  <c r="R141" i="1" s="1"/>
  <c r="N141" i="1"/>
  <c r="O141" i="1" s="1"/>
  <c r="M141" i="1"/>
  <c r="L141" i="1"/>
  <c r="I141" i="1"/>
  <c r="H141" i="1"/>
  <c r="G141" i="1"/>
  <c r="F141" i="1"/>
  <c r="L140" i="1"/>
  <c r="I140" i="1"/>
  <c r="H140" i="1"/>
  <c r="G140" i="1"/>
  <c r="F140" i="1"/>
  <c r="H139" i="1"/>
  <c r="G139" i="1"/>
  <c r="I139" i="1" s="1"/>
  <c r="L139" i="1" s="1"/>
  <c r="F139" i="1"/>
  <c r="H138" i="1"/>
  <c r="G138" i="1"/>
  <c r="I138" i="1" s="1"/>
  <c r="F138" i="1"/>
  <c r="L138" i="1" s="1"/>
  <c r="H137" i="1"/>
  <c r="G137" i="1"/>
  <c r="I137" i="1" s="1"/>
  <c r="L137" i="1" s="1"/>
  <c r="P137" i="1" s="1"/>
  <c r="Q137" i="1" s="1"/>
  <c r="R137" i="1" s="1"/>
  <c r="F137" i="1"/>
  <c r="I136" i="1"/>
  <c r="L136" i="1" s="1"/>
  <c r="H136" i="1"/>
  <c r="G136" i="1"/>
  <c r="F136" i="1"/>
  <c r="H135" i="1"/>
  <c r="G135" i="1"/>
  <c r="I135" i="1" s="1"/>
  <c r="F135" i="1"/>
  <c r="H134" i="1"/>
  <c r="G134" i="1"/>
  <c r="I134" i="1" s="1"/>
  <c r="F134" i="1"/>
  <c r="L134" i="1" s="1"/>
  <c r="H133" i="1"/>
  <c r="G133" i="1"/>
  <c r="I133" i="1" s="1"/>
  <c r="F133" i="1"/>
  <c r="L133" i="1" s="1"/>
  <c r="H132" i="1"/>
  <c r="G132" i="1"/>
  <c r="I132" i="1" s="1"/>
  <c r="F132" i="1"/>
  <c r="H131" i="1"/>
  <c r="G131" i="1"/>
  <c r="F131" i="1"/>
  <c r="L130" i="1"/>
  <c r="P130" i="1" s="1"/>
  <c r="Q130" i="1" s="1"/>
  <c r="R130" i="1" s="1"/>
  <c r="I130" i="1"/>
  <c r="H130" i="1"/>
  <c r="G130" i="1"/>
  <c r="F130" i="1"/>
  <c r="I129" i="1"/>
  <c r="L129" i="1" s="1"/>
  <c r="H129" i="1"/>
  <c r="G129" i="1"/>
  <c r="F129" i="1"/>
  <c r="I128" i="1"/>
  <c r="L128" i="1" s="1"/>
  <c r="H128" i="1"/>
  <c r="G128" i="1"/>
  <c r="F128" i="1"/>
  <c r="I127" i="1"/>
  <c r="H127" i="1"/>
  <c r="G127" i="1"/>
  <c r="F127" i="1"/>
  <c r="L127" i="1" s="1"/>
  <c r="H126" i="1"/>
  <c r="G126" i="1"/>
  <c r="I126" i="1" s="1"/>
  <c r="F126" i="1"/>
  <c r="H125" i="1"/>
  <c r="G125" i="1"/>
  <c r="I125" i="1" s="1"/>
  <c r="F125" i="1"/>
  <c r="L125" i="1" s="1"/>
  <c r="P124" i="1"/>
  <c r="Q124" i="1" s="1"/>
  <c r="R124" i="1" s="1"/>
  <c r="H124" i="1"/>
  <c r="G124" i="1"/>
  <c r="I124" i="1" s="1"/>
  <c r="F124" i="1"/>
  <c r="L124" i="1" s="1"/>
  <c r="M124" i="1" s="1"/>
  <c r="N124" i="1" s="1"/>
  <c r="O124" i="1" s="1"/>
  <c r="H123" i="1"/>
  <c r="G123" i="1"/>
  <c r="I123" i="1" s="1"/>
  <c r="F123" i="1"/>
  <c r="I122" i="1"/>
  <c r="H122" i="1"/>
  <c r="G122" i="1"/>
  <c r="F122" i="1"/>
  <c r="L122" i="1" s="1"/>
  <c r="M122" i="1" s="1"/>
  <c r="N122" i="1" s="1"/>
  <c r="O122" i="1" s="1"/>
  <c r="P121" i="1"/>
  <c r="Q121" i="1" s="1"/>
  <c r="R121" i="1" s="1"/>
  <c r="M121" i="1"/>
  <c r="N121" i="1" s="1"/>
  <c r="O121" i="1" s="1"/>
  <c r="H121" i="1"/>
  <c r="G121" i="1"/>
  <c r="I121" i="1" s="1"/>
  <c r="L121" i="1" s="1"/>
  <c r="F121" i="1"/>
  <c r="H120" i="1"/>
  <c r="G120" i="1"/>
  <c r="I120" i="1" s="1"/>
  <c r="L120" i="1" s="1"/>
  <c r="F120" i="1"/>
  <c r="L119" i="1"/>
  <c r="P119" i="1" s="1"/>
  <c r="Q119" i="1" s="1"/>
  <c r="R119" i="1" s="1"/>
  <c r="I119" i="1"/>
  <c r="H119" i="1"/>
  <c r="G119" i="1"/>
  <c r="F119" i="1"/>
  <c r="H118" i="1"/>
  <c r="I118" i="1" s="1"/>
  <c r="L118" i="1" s="1"/>
  <c r="G118" i="1"/>
  <c r="F118" i="1"/>
  <c r="I117" i="1"/>
  <c r="L117" i="1" s="1"/>
  <c r="H117" i="1"/>
  <c r="G117" i="1"/>
  <c r="F117" i="1"/>
  <c r="H116" i="1"/>
  <c r="G116" i="1"/>
  <c r="I116" i="1" s="1"/>
  <c r="L116" i="1" s="1"/>
  <c r="F116" i="1"/>
  <c r="H115" i="1"/>
  <c r="G115" i="1"/>
  <c r="I115" i="1" s="1"/>
  <c r="F115" i="1"/>
  <c r="L115" i="1" s="1"/>
  <c r="H114" i="1"/>
  <c r="G114" i="1"/>
  <c r="I114" i="1" s="1"/>
  <c r="F114" i="1"/>
  <c r="H113" i="1"/>
  <c r="G113" i="1"/>
  <c r="I113" i="1" s="1"/>
  <c r="F113" i="1"/>
  <c r="H112" i="1"/>
  <c r="G112" i="1"/>
  <c r="I112" i="1" s="1"/>
  <c r="F112" i="1"/>
  <c r="H111" i="1"/>
  <c r="G111" i="1"/>
  <c r="I111" i="1" s="1"/>
  <c r="F111" i="1"/>
  <c r="L111" i="1" s="1"/>
  <c r="M111" i="1" s="1"/>
  <c r="N111" i="1" s="1"/>
  <c r="O111" i="1" s="1"/>
  <c r="P110" i="1"/>
  <c r="Q110" i="1" s="1"/>
  <c r="R110" i="1" s="1"/>
  <c r="O110" i="1"/>
  <c r="N110" i="1"/>
  <c r="I110" i="1"/>
  <c r="H110" i="1"/>
  <c r="G110" i="1"/>
  <c r="F110" i="1"/>
  <c r="L110" i="1" s="1"/>
  <c r="M110" i="1" s="1"/>
  <c r="H109" i="1"/>
  <c r="G109" i="1"/>
  <c r="I109" i="1" s="1"/>
  <c r="F109" i="1"/>
  <c r="L108" i="1"/>
  <c r="P108" i="1" s="1"/>
  <c r="Q108" i="1" s="1"/>
  <c r="R108" i="1" s="1"/>
  <c r="H108" i="1"/>
  <c r="G108" i="1"/>
  <c r="I108" i="1" s="1"/>
  <c r="F108" i="1"/>
  <c r="I107" i="1"/>
  <c r="L107" i="1" s="1"/>
  <c r="P107" i="1" s="1"/>
  <c r="Q107" i="1" s="1"/>
  <c r="R107" i="1" s="1"/>
  <c r="H107" i="1"/>
  <c r="G107" i="1"/>
  <c r="F107" i="1"/>
  <c r="L106" i="1"/>
  <c r="I106" i="1"/>
  <c r="H106" i="1"/>
  <c r="G106" i="1"/>
  <c r="F106" i="1"/>
  <c r="I105" i="1"/>
  <c r="L105" i="1" s="1"/>
  <c r="H105" i="1"/>
  <c r="G105" i="1"/>
  <c r="F105" i="1"/>
  <c r="H104" i="1"/>
  <c r="I104" i="1" s="1"/>
  <c r="L104" i="1" s="1"/>
  <c r="P104" i="1" s="1"/>
  <c r="Q104" i="1" s="1"/>
  <c r="R104" i="1" s="1"/>
  <c r="G104" i="1"/>
  <c r="F104" i="1"/>
  <c r="H103" i="1"/>
  <c r="G103" i="1"/>
  <c r="I103" i="1" s="1"/>
  <c r="F103" i="1"/>
  <c r="L103" i="1" s="1"/>
  <c r="I102" i="1"/>
  <c r="H102" i="1"/>
  <c r="G102" i="1"/>
  <c r="F102" i="1"/>
  <c r="L102" i="1" s="1"/>
  <c r="H101" i="1"/>
  <c r="G101" i="1"/>
  <c r="I101" i="1" s="1"/>
  <c r="F101" i="1"/>
  <c r="L101" i="1" s="1"/>
  <c r="H100" i="1"/>
  <c r="G100" i="1"/>
  <c r="I100" i="1" s="1"/>
  <c r="F100" i="1"/>
  <c r="H99" i="1"/>
  <c r="G99" i="1"/>
  <c r="I99" i="1" s="1"/>
  <c r="F99" i="1"/>
  <c r="H98" i="1"/>
  <c r="I98" i="1" s="1"/>
  <c r="G98" i="1"/>
  <c r="F98" i="1"/>
  <c r="H97" i="1"/>
  <c r="G97" i="1"/>
  <c r="I97" i="1" s="1"/>
  <c r="F97" i="1"/>
  <c r="L96" i="1"/>
  <c r="P96" i="1" s="1"/>
  <c r="Q96" i="1" s="1"/>
  <c r="R96" i="1" s="1"/>
  <c r="H96" i="1"/>
  <c r="G96" i="1"/>
  <c r="I96" i="1" s="1"/>
  <c r="F96" i="1"/>
  <c r="I95" i="1"/>
  <c r="L95" i="1" s="1"/>
  <c r="P95" i="1" s="1"/>
  <c r="Q95" i="1" s="1"/>
  <c r="R95" i="1" s="1"/>
  <c r="H95" i="1"/>
  <c r="G95" i="1"/>
  <c r="F95" i="1"/>
  <c r="L94" i="1"/>
  <c r="I94" i="1"/>
  <c r="H94" i="1"/>
  <c r="G94" i="1"/>
  <c r="F94" i="1"/>
  <c r="I93" i="1"/>
  <c r="L93" i="1" s="1"/>
  <c r="H93" i="1"/>
  <c r="G93" i="1"/>
  <c r="F93" i="1"/>
  <c r="H92" i="1"/>
  <c r="I92" i="1" s="1"/>
  <c r="L92" i="1" s="1"/>
  <c r="P92" i="1" s="1"/>
  <c r="Q92" i="1" s="1"/>
  <c r="R92" i="1" s="1"/>
  <c r="G92" i="1"/>
  <c r="F92" i="1"/>
  <c r="H91" i="1"/>
  <c r="G91" i="1"/>
  <c r="I91" i="1" s="1"/>
  <c r="F91" i="1"/>
  <c r="L91" i="1" s="1"/>
  <c r="I90" i="1"/>
  <c r="H90" i="1"/>
  <c r="G90" i="1"/>
  <c r="F90" i="1"/>
  <c r="L90" i="1" s="1"/>
  <c r="H89" i="1"/>
  <c r="G89" i="1"/>
  <c r="I89" i="1" s="1"/>
  <c r="F89" i="1"/>
  <c r="L89" i="1" s="1"/>
  <c r="H88" i="1"/>
  <c r="G88" i="1"/>
  <c r="I88" i="1" s="1"/>
  <c r="F88" i="1"/>
  <c r="H87" i="1"/>
  <c r="G87" i="1"/>
  <c r="I87" i="1" s="1"/>
  <c r="F87" i="1"/>
  <c r="H86" i="1"/>
  <c r="I86" i="1" s="1"/>
  <c r="G86" i="1"/>
  <c r="F86" i="1"/>
  <c r="H85" i="1"/>
  <c r="G85" i="1"/>
  <c r="I85" i="1" s="1"/>
  <c r="F85" i="1"/>
  <c r="H84" i="1"/>
  <c r="G84" i="1"/>
  <c r="I84" i="1" s="1"/>
  <c r="F84" i="1"/>
  <c r="L84" i="1" s="1"/>
  <c r="I83" i="1"/>
  <c r="H83" i="1"/>
  <c r="G83" i="1"/>
  <c r="F83" i="1"/>
  <c r="L83" i="1" s="1"/>
  <c r="P82" i="1"/>
  <c r="Q82" i="1" s="1"/>
  <c r="R82" i="1" s="1"/>
  <c r="H82" i="1"/>
  <c r="I82" i="1" s="1"/>
  <c r="L82" i="1" s="1"/>
  <c r="M82" i="1" s="1"/>
  <c r="N82" i="1" s="1"/>
  <c r="O82" i="1" s="1"/>
  <c r="G82" i="1"/>
  <c r="F82" i="1"/>
  <c r="I81" i="1"/>
  <c r="L81" i="1" s="1"/>
  <c r="H81" i="1"/>
  <c r="G81" i="1"/>
  <c r="F81" i="1"/>
  <c r="I80" i="1"/>
  <c r="H80" i="1"/>
  <c r="G80" i="1"/>
  <c r="F80" i="1"/>
  <c r="I79" i="1"/>
  <c r="H79" i="1"/>
  <c r="G79" i="1"/>
  <c r="F79" i="1"/>
  <c r="L79" i="1" s="1"/>
  <c r="H78" i="1"/>
  <c r="G78" i="1"/>
  <c r="I78" i="1" s="1"/>
  <c r="L78" i="1" s="1"/>
  <c r="F78" i="1"/>
  <c r="I77" i="1"/>
  <c r="H77" i="1"/>
  <c r="G77" i="1"/>
  <c r="F77" i="1"/>
  <c r="L77" i="1" s="1"/>
  <c r="L76" i="1"/>
  <c r="P76" i="1" s="1"/>
  <c r="Q76" i="1" s="1"/>
  <c r="R76" i="1" s="1"/>
  <c r="H76" i="1"/>
  <c r="G76" i="1"/>
  <c r="I76" i="1" s="1"/>
  <c r="F76" i="1"/>
  <c r="H75" i="1"/>
  <c r="G75" i="1"/>
  <c r="I75" i="1" s="1"/>
  <c r="F75" i="1"/>
  <c r="H74" i="1"/>
  <c r="I74" i="1" s="1"/>
  <c r="G74" i="1"/>
  <c r="F74" i="1"/>
  <c r="H73" i="1"/>
  <c r="G73" i="1"/>
  <c r="F73" i="1"/>
  <c r="H72" i="1"/>
  <c r="G72" i="1"/>
  <c r="I72" i="1" s="1"/>
  <c r="F72" i="1"/>
  <c r="L72" i="1" s="1"/>
  <c r="I71" i="1"/>
  <c r="H71" i="1"/>
  <c r="G71" i="1"/>
  <c r="F71" i="1"/>
  <c r="L71" i="1" s="1"/>
  <c r="H70" i="1"/>
  <c r="I70" i="1" s="1"/>
  <c r="L70" i="1" s="1"/>
  <c r="P70" i="1" s="1"/>
  <c r="Q70" i="1" s="1"/>
  <c r="R70" i="1" s="1"/>
  <c r="G70" i="1"/>
  <c r="F70" i="1"/>
  <c r="I69" i="1"/>
  <c r="L69" i="1" s="1"/>
  <c r="H69" i="1"/>
  <c r="G69" i="1"/>
  <c r="F69" i="1"/>
  <c r="I68" i="1"/>
  <c r="H68" i="1"/>
  <c r="G68" i="1"/>
  <c r="F68" i="1"/>
  <c r="L68" i="1" s="1"/>
  <c r="I67" i="1"/>
  <c r="H67" i="1"/>
  <c r="G67" i="1"/>
  <c r="F67" i="1"/>
  <c r="L67" i="1" s="1"/>
  <c r="H66" i="1"/>
  <c r="G66" i="1"/>
  <c r="I66" i="1" s="1"/>
  <c r="L66" i="1" s="1"/>
  <c r="F66" i="1"/>
  <c r="I65" i="1"/>
  <c r="H65" i="1"/>
  <c r="G65" i="1"/>
  <c r="F65" i="1"/>
  <c r="L65" i="1" s="1"/>
  <c r="L64" i="1"/>
  <c r="P64" i="1" s="1"/>
  <c r="Q64" i="1" s="1"/>
  <c r="R64" i="1" s="1"/>
  <c r="H64" i="1"/>
  <c r="G64" i="1"/>
  <c r="I64" i="1" s="1"/>
  <c r="F64" i="1"/>
  <c r="H63" i="1"/>
  <c r="G63" i="1"/>
  <c r="I63" i="1" s="1"/>
  <c r="F63" i="1"/>
  <c r="H62" i="1"/>
  <c r="I62" i="1" s="1"/>
  <c r="G62" i="1"/>
  <c r="F62" i="1"/>
  <c r="H61" i="1"/>
  <c r="G61" i="1"/>
  <c r="F61" i="1"/>
  <c r="H60" i="1"/>
  <c r="G60" i="1"/>
  <c r="I60" i="1" s="1"/>
  <c r="F60" i="1"/>
  <c r="L60" i="1" s="1"/>
  <c r="I59" i="1"/>
  <c r="H59" i="1"/>
  <c r="G59" i="1"/>
  <c r="F59" i="1"/>
  <c r="L59" i="1" s="1"/>
  <c r="P58" i="1"/>
  <c r="Q58" i="1" s="1"/>
  <c r="R58" i="1" s="1"/>
  <c r="M58" i="1"/>
  <c r="N58" i="1" s="1"/>
  <c r="O58" i="1" s="1"/>
  <c r="H58" i="1"/>
  <c r="G58" i="1"/>
  <c r="I58" i="1" s="1"/>
  <c r="L58" i="1" s="1"/>
  <c r="F58" i="1"/>
  <c r="I57" i="1"/>
  <c r="L57" i="1" s="1"/>
  <c r="H57" i="1"/>
  <c r="G57" i="1"/>
  <c r="F57" i="1"/>
  <c r="H56" i="1"/>
  <c r="G56" i="1"/>
  <c r="I56" i="1" s="1"/>
  <c r="L56" i="1" s="1"/>
  <c r="F56" i="1"/>
  <c r="H55" i="1"/>
  <c r="G55" i="1"/>
  <c r="F55" i="1"/>
  <c r="H54" i="1"/>
  <c r="G54" i="1"/>
  <c r="I54" i="1" s="1"/>
  <c r="F54" i="1"/>
  <c r="L54" i="1" s="1"/>
  <c r="H53" i="1"/>
  <c r="G53" i="1"/>
  <c r="I53" i="1" s="1"/>
  <c r="F53" i="1"/>
  <c r="L53" i="1" s="1"/>
  <c r="P52" i="1"/>
  <c r="Q52" i="1" s="1"/>
  <c r="R52" i="1" s="1"/>
  <c r="I52" i="1"/>
  <c r="H52" i="1"/>
  <c r="G52" i="1"/>
  <c r="F52" i="1"/>
  <c r="L52" i="1" s="1"/>
  <c r="M52" i="1" s="1"/>
  <c r="N52" i="1" s="1"/>
  <c r="O52" i="1" s="1"/>
  <c r="H51" i="1"/>
  <c r="G51" i="1"/>
  <c r="I51" i="1" s="1"/>
  <c r="F51" i="1"/>
  <c r="L51" i="1" s="1"/>
  <c r="H50" i="1"/>
  <c r="G50" i="1"/>
  <c r="I50" i="1" s="1"/>
  <c r="F50" i="1"/>
  <c r="H49" i="1"/>
  <c r="G49" i="1"/>
  <c r="I49" i="1" s="1"/>
  <c r="F49" i="1"/>
  <c r="L49" i="1" s="1"/>
  <c r="P49" i="1" s="1"/>
  <c r="Q49" i="1" s="1"/>
  <c r="R49" i="1" s="1"/>
  <c r="H48" i="1"/>
  <c r="G48" i="1"/>
  <c r="I48" i="1" s="1"/>
  <c r="L48" i="1" s="1"/>
  <c r="F48" i="1"/>
  <c r="I47" i="1"/>
  <c r="L47" i="1" s="1"/>
  <c r="H47" i="1"/>
  <c r="G47" i="1"/>
  <c r="F47" i="1"/>
  <c r="H46" i="1"/>
  <c r="I46" i="1" s="1"/>
  <c r="L46" i="1" s="1"/>
  <c r="P46" i="1" s="1"/>
  <c r="Q46" i="1" s="1"/>
  <c r="R46" i="1" s="1"/>
  <c r="G46" i="1"/>
  <c r="F46" i="1"/>
  <c r="H45" i="1"/>
  <c r="G45" i="1"/>
  <c r="I45" i="1" s="1"/>
  <c r="L45" i="1" s="1"/>
  <c r="F45" i="1"/>
  <c r="I44" i="1"/>
  <c r="H44" i="1"/>
  <c r="G44" i="1"/>
  <c r="F44" i="1"/>
  <c r="L44" i="1" s="1"/>
  <c r="H43" i="1"/>
  <c r="G43" i="1"/>
  <c r="I43" i="1" s="1"/>
  <c r="F43" i="1"/>
  <c r="H42" i="1"/>
  <c r="G42" i="1"/>
  <c r="I42" i="1" s="1"/>
  <c r="F42" i="1"/>
  <c r="L42" i="1" s="1"/>
  <c r="H41" i="1"/>
  <c r="G41" i="1"/>
  <c r="I41" i="1" s="1"/>
  <c r="F41" i="1"/>
  <c r="I40" i="1"/>
  <c r="H40" i="1"/>
  <c r="G40" i="1"/>
  <c r="F40" i="1"/>
  <c r="L40" i="1" s="1"/>
  <c r="M40" i="1" s="1"/>
  <c r="N40" i="1" s="1"/>
  <c r="O40" i="1" s="1"/>
  <c r="H39" i="1"/>
  <c r="G39" i="1"/>
  <c r="I39" i="1" s="1"/>
  <c r="F39" i="1"/>
  <c r="H38" i="1"/>
  <c r="G38" i="1"/>
  <c r="I38" i="1" s="1"/>
  <c r="F38" i="1"/>
  <c r="L38" i="1" s="1"/>
  <c r="H37" i="1"/>
  <c r="G37" i="1"/>
  <c r="I37" i="1" s="1"/>
  <c r="F37" i="1"/>
  <c r="L37" i="1" s="1"/>
  <c r="P37" i="1" s="1"/>
  <c r="Q37" i="1" s="1"/>
  <c r="R37" i="1" s="1"/>
  <c r="H36" i="1"/>
  <c r="G36" i="1"/>
  <c r="I36" i="1" s="1"/>
  <c r="L36" i="1" s="1"/>
  <c r="F36" i="1"/>
  <c r="I35" i="1"/>
  <c r="L35" i="1" s="1"/>
  <c r="H35" i="1"/>
  <c r="G35" i="1"/>
  <c r="F35" i="1"/>
  <c r="H34" i="1"/>
  <c r="I34" i="1" s="1"/>
  <c r="L34" i="1" s="1"/>
  <c r="P34" i="1" s="1"/>
  <c r="Q34" i="1" s="1"/>
  <c r="R34" i="1" s="1"/>
  <c r="G34" i="1"/>
  <c r="F34" i="1"/>
  <c r="L33" i="1"/>
  <c r="H33" i="1"/>
  <c r="G33" i="1"/>
  <c r="I33" i="1" s="1"/>
  <c r="F33" i="1"/>
  <c r="I32" i="1"/>
  <c r="H32" i="1"/>
  <c r="G32" i="1"/>
  <c r="F32" i="1"/>
  <c r="L32" i="1" s="1"/>
  <c r="H31" i="1"/>
  <c r="G31" i="1"/>
  <c r="I31" i="1" s="1"/>
  <c r="F31" i="1"/>
  <c r="L31" i="1" s="1"/>
  <c r="H30" i="1"/>
  <c r="G30" i="1"/>
  <c r="I30" i="1" s="1"/>
  <c r="F30" i="1"/>
  <c r="L30" i="1" s="1"/>
  <c r="H29" i="1"/>
  <c r="G29" i="1"/>
  <c r="I29" i="1" s="1"/>
  <c r="F29" i="1"/>
  <c r="L29" i="1" s="1"/>
  <c r="P28" i="1"/>
  <c r="Q28" i="1" s="1"/>
  <c r="R28" i="1" s="1"/>
  <c r="I28" i="1"/>
  <c r="H28" i="1"/>
  <c r="G28" i="1"/>
  <c r="F28" i="1"/>
  <c r="L28" i="1" s="1"/>
  <c r="M28" i="1" s="1"/>
  <c r="N28" i="1" s="1"/>
  <c r="O28" i="1" s="1"/>
  <c r="H27" i="1"/>
  <c r="I27" i="1" s="1"/>
  <c r="G27" i="1"/>
  <c r="F27" i="1"/>
  <c r="L27" i="1" s="1"/>
  <c r="H26" i="1"/>
  <c r="G26" i="1"/>
  <c r="I26" i="1" s="1"/>
  <c r="L26" i="1" s="1"/>
  <c r="F26" i="1"/>
  <c r="P25" i="1"/>
  <c r="Q25" i="1" s="1"/>
  <c r="R25" i="1" s="1"/>
  <c r="H25" i="1"/>
  <c r="G25" i="1"/>
  <c r="I25" i="1" s="1"/>
  <c r="F25" i="1"/>
  <c r="L25" i="1" s="1"/>
  <c r="M25" i="1" s="1"/>
  <c r="N25" i="1" s="1"/>
  <c r="O25" i="1" s="1"/>
  <c r="H24" i="1"/>
  <c r="G24" i="1"/>
  <c r="I24" i="1" s="1"/>
  <c r="L24" i="1" s="1"/>
  <c r="H23" i="1"/>
  <c r="I23" i="1" s="1"/>
  <c r="L23" i="1" s="1"/>
  <c r="P23" i="1" s="1"/>
  <c r="Q23" i="1" s="1"/>
  <c r="R23" i="1" s="1"/>
  <c r="G23" i="1"/>
  <c r="I22" i="1"/>
  <c r="L22" i="1" s="1"/>
  <c r="H22" i="1"/>
  <c r="G22" i="1"/>
  <c r="H21" i="1"/>
  <c r="G21" i="1"/>
  <c r="I21" i="1" s="1"/>
  <c r="L21" i="1" s="1"/>
  <c r="P20" i="1"/>
  <c r="Q20" i="1" s="1"/>
  <c r="R20" i="1" s="1"/>
  <c r="I20" i="1"/>
  <c r="L20" i="1" s="1"/>
  <c r="M20" i="1" s="1"/>
  <c r="N20" i="1" s="1"/>
  <c r="O20" i="1" s="1"/>
  <c r="H20" i="1"/>
  <c r="G20" i="1"/>
  <c r="H19" i="1"/>
  <c r="G19" i="1"/>
  <c r="I19" i="1" s="1"/>
  <c r="L19" i="1" s="1"/>
  <c r="H18" i="1"/>
  <c r="G18" i="1"/>
  <c r="I18" i="1" s="1"/>
  <c r="L18" i="1" s="1"/>
  <c r="M17" i="1"/>
  <c r="N17" i="1" s="1"/>
  <c r="O17" i="1" s="1"/>
  <c r="H17" i="1"/>
  <c r="I17" i="1" s="1"/>
  <c r="L17" i="1" s="1"/>
  <c r="P17" i="1" s="1"/>
  <c r="Q17" i="1" s="1"/>
  <c r="R17" i="1" s="1"/>
  <c r="G17" i="1"/>
  <c r="I16" i="1"/>
  <c r="L16" i="1" s="1"/>
  <c r="H16" i="1"/>
  <c r="G16" i="1"/>
  <c r="H15" i="1"/>
  <c r="G15" i="1"/>
  <c r="I15" i="1" s="1"/>
  <c r="L15" i="1" s="1"/>
  <c r="I14" i="1"/>
  <c r="L14" i="1" s="1"/>
  <c r="M14" i="1" s="1"/>
  <c r="N14" i="1" s="1"/>
  <c r="O14" i="1" s="1"/>
  <c r="H14" i="1"/>
  <c r="G14" i="1"/>
  <c r="H13" i="1"/>
  <c r="G13" i="1"/>
  <c r="I13" i="1" s="1"/>
  <c r="L13" i="1" s="1"/>
  <c r="L12" i="1"/>
  <c r="H12" i="1"/>
  <c r="G12" i="1"/>
  <c r="I12" i="1" s="1"/>
  <c r="H11" i="1"/>
  <c r="I11" i="1" s="1"/>
  <c r="L11" i="1" s="1"/>
  <c r="P11" i="1" s="1"/>
  <c r="Q11" i="1" s="1"/>
  <c r="R11" i="1" s="1"/>
  <c r="G11" i="1"/>
  <c r="I10" i="1"/>
  <c r="L10" i="1" s="1"/>
  <c r="H10" i="1"/>
  <c r="G10" i="1"/>
  <c r="H9" i="1"/>
  <c r="G9" i="1"/>
  <c r="I9" i="1" s="1"/>
  <c r="L9" i="1" s="1"/>
  <c r="P8" i="1"/>
  <c r="Q8" i="1" s="1"/>
  <c r="R8" i="1" s="1"/>
  <c r="I8" i="1"/>
  <c r="L8" i="1" s="1"/>
  <c r="M8" i="1" s="1"/>
  <c r="N8" i="1" s="1"/>
  <c r="O8" i="1" s="1"/>
  <c r="H8" i="1"/>
  <c r="G8" i="1"/>
  <c r="H7" i="1"/>
  <c r="G7" i="1"/>
  <c r="I7" i="1" s="1"/>
  <c r="L7" i="1" s="1"/>
  <c r="H6" i="1"/>
  <c r="G6" i="1"/>
  <c r="I6" i="1" s="1"/>
  <c r="L6" i="1" s="1"/>
  <c r="H5" i="1"/>
  <c r="G5" i="1"/>
  <c r="I5" i="1" s="1"/>
  <c r="L5" i="1" s="1"/>
  <c r="M4" i="1"/>
  <c r="N4" i="1" s="1"/>
  <c r="O4" i="1" s="1"/>
  <c r="H4" i="1"/>
  <c r="I4" i="1" s="1"/>
  <c r="L4" i="1" s="1"/>
  <c r="P4" i="1" s="1"/>
  <c r="Q4" i="1" s="1"/>
  <c r="R4" i="1" s="1"/>
  <c r="G4" i="1"/>
  <c r="I3" i="1"/>
  <c r="L3" i="1" s="1"/>
  <c r="H3" i="1"/>
  <c r="G3" i="1"/>
  <c r="H2" i="1"/>
  <c r="G2" i="1"/>
  <c r="P36" i="1" l="1"/>
  <c r="Q36" i="1" s="1"/>
  <c r="R36" i="1" s="1"/>
  <c r="M36" i="1"/>
  <c r="N36" i="1" s="1"/>
  <c r="O36" i="1" s="1"/>
  <c r="P45" i="1"/>
  <c r="Q45" i="1" s="1"/>
  <c r="R45" i="1" s="1"/>
  <c r="M45" i="1"/>
  <c r="N45" i="1" s="1"/>
  <c r="O45" i="1" s="1"/>
  <c r="P56" i="1"/>
  <c r="Q56" i="1" s="1"/>
  <c r="R56" i="1" s="1"/>
  <c r="M56" i="1"/>
  <c r="N56" i="1" s="1"/>
  <c r="O56" i="1" s="1"/>
  <c r="P66" i="1"/>
  <c r="Q66" i="1" s="1"/>
  <c r="R66" i="1" s="1"/>
  <c r="M66" i="1"/>
  <c r="N66" i="1" s="1"/>
  <c r="O66" i="1" s="1"/>
  <c r="P24" i="1"/>
  <c r="Q24" i="1" s="1"/>
  <c r="R24" i="1" s="1"/>
  <c r="M24" i="1"/>
  <c r="N24" i="1" s="1"/>
  <c r="O24" i="1" s="1"/>
  <c r="P48" i="1"/>
  <c r="Q48" i="1" s="1"/>
  <c r="R48" i="1" s="1"/>
  <c r="M48" i="1"/>
  <c r="N48" i="1" s="1"/>
  <c r="O48" i="1" s="1"/>
  <c r="P6" i="1"/>
  <c r="Q6" i="1" s="1"/>
  <c r="R6" i="1" s="1"/>
  <c r="M6" i="1"/>
  <c r="N6" i="1" s="1"/>
  <c r="O6" i="1" s="1"/>
  <c r="P18" i="1"/>
  <c r="Q18" i="1" s="1"/>
  <c r="R18" i="1" s="1"/>
  <c r="M18" i="1"/>
  <c r="N18" i="1" s="1"/>
  <c r="O18" i="1" s="1"/>
  <c r="P78" i="1"/>
  <c r="Q78" i="1" s="1"/>
  <c r="R78" i="1" s="1"/>
  <c r="M78" i="1"/>
  <c r="N78" i="1" s="1"/>
  <c r="O78" i="1" s="1"/>
  <c r="P9" i="1"/>
  <c r="Q9" i="1" s="1"/>
  <c r="R9" i="1" s="1"/>
  <c r="M9" i="1"/>
  <c r="N9" i="1" s="1"/>
  <c r="O9" i="1" s="1"/>
  <c r="P42" i="1"/>
  <c r="Q42" i="1" s="1"/>
  <c r="R42" i="1" s="1"/>
  <c r="M42" i="1"/>
  <c r="N42" i="1" s="1"/>
  <c r="O42" i="1" s="1"/>
  <c r="P67" i="1"/>
  <c r="Q67" i="1" s="1"/>
  <c r="R67" i="1" s="1"/>
  <c r="M67" i="1"/>
  <c r="N67" i="1" s="1"/>
  <c r="O67" i="1" s="1"/>
  <c r="P90" i="1"/>
  <c r="Q90" i="1" s="1"/>
  <c r="R90" i="1" s="1"/>
  <c r="M90" i="1"/>
  <c r="N90" i="1" s="1"/>
  <c r="O90" i="1" s="1"/>
  <c r="M95" i="1"/>
  <c r="N95" i="1" s="1"/>
  <c r="O95" i="1" s="1"/>
  <c r="P102" i="1"/>
  <c r="Q102" i="1" s="1"/>
  <c r="R102" i="1" s="1"/>
  <c r="M102" i="1"/>
  <c r="N102" i="1" s="1"/>
  <c r="O102" i="1" s="1"/>
  <c r="M107" i="1"/>
  <c r="N107" i="1" s="1"/>
  <c r="O107" i="1" s="1"/>
  <c r="P227" i="1"/>
  <c r="Q227" i="1" s="1"/>
  <c r="R227" i="1" s="1"/>
  <c r="M227" i="1"/>
  <c r="N227" i="1" s="1"/>
  <c r="O227" i="1" s="1"/>
  <c r="K6" i="1"/>
  <c r="I2" i="1"/>
  <c r="L2" i="1" s="1"/>
  <c r="P31" i="1"/>
  <c r="Q31" i="1" s="1"/>
  <c r="R31" i="1" s="1"/>
  <c r="M31" i="1"/>
  <c r="N31" i="1" s="1"/>
  <c r="O31" i="1" s="1"/>
  <c r="M144" i="1"/>
  <c r="N144" i="1" s="1"/>
  <c r="O144" i="1" s="1"/>
  <c r="P144" i="1"/>
  <c r="Q144" i="1" s="1"/>
  <c r="R144" i="1" s="1"/>
  <c r="M13" i="1"/>
  <c r="N13" i="1" s="1"/>
  <c r="O13" i="1" s="1"/>
  <c r="P13" i="1"/>
  <c r="Q13" i="1" s="1"/>
  <c r="R13" i="1" s="1"/>
  <c r="M26" i="1"/>
  <c r="N26" i="1" s="1"/>
  <c r="O26" i="1" s="1"/>
  <c r="P26" i="1"/>
  <c r="Q26" i="1" s="1"/>
  <c r="R26" i="1" s="1"/>
  <c r="M34" i="1"/>
  <c r="N34" i="1" s="1"/>
  <c r="O34" i="1" s="1"/>
  <c r="P53" i="1"/>
  <c r="Q53" i="1" s="1"/>
  <c r="R53" i="1" s="1"/>
  <c r="M53" i="1"/>
  <c r="N53" i="1" s="1"/>
  <c r="O53" i="1" s="1"/>
  <c r="P22" i="1"/>
  <c r="Q22" i="1" s="1"/>
  <c r="R22" i="1" s="1"/>
  <c r="M22" i="1"/>
  <c r="N22" i="1" s="1"/>
  <c r="O22" i="1" s="1"/>
  <c r="P128" i="1"/>
  <c r="Q128" i="1" s="1"/>
  <c r="R128" i="1" s="1"/>
  <c r="M128" i="1"/>
  <c r="N128" i="1" s="1"/>
  <c r="O128" i="1" s="1"/>
  <c r="P16" i="1"/>
  <c r="Q16" i="1" s="1"/>
  <c r="R16" i="1" s="1"/>
  <c r="M16" i="1"/>
  <c r="N16" i="1" s="1"/>
  <c r="O16" i="1" s="1"/>
  <c r="M23" i="1"/>
  <c r="N23" i="1" s="1"/>
  <c r="O23" i="1" s="1"/>
  <c r="P32" i="1"/>
  <c r="Q32" i="1" s="1"/>
  <c r="R32" i="1" s="1"/>
  <c r="M32" i="1"/>
  <c r="N32" i="1" s="1"/>
  <c r="O32" i="1" s="1"/>
  <c r="M59" i="1"/>
  <c r="N59" i="1" s="1"/>
  <c r="O59" i="1" s="1"/>
  <c r="P59" i="1"/>
  <c r="Q59" i="1" s="1"/>
  <c r="R59" i="1" s="1"/>
  <c r="P93" i="1"/>
  <c r="Q93" i="1" s="1"/>
  <c r="R93" i="1" s="1"/>
  <c r="M93" i="1"/>
  <c r="N93" i="1" s="1"/>
  <c r="O93" i="1" s="1"/>
  <c r="P105" i="1"/>
  <c r="Q105" i="1" s="1"/>
  <c r="R105" i="1" s="1"/>
  <c r="M105" i="1"/>
  <c r="N105" i="1" s="1"/>
  <c r="O105" i="1" s="1"/>
  <c r="P151" i="1"/>
  <c r="Q151" i="1" s="1"/>
  <c r="R151" i="1" s="1"/>
  <c r="M151" i="1"/>
  <c r="N151" i="1" s="1"/>
  <c r="O151" i="1" s="1"/>
  <c r="P176" i="1"/>
  <c r="Q176" i="1" s="1"/>
  <c r="R176" i="1" s="1"/>
  <c r="M176" i="1"/>
  <c r="N176" i="1" s="1"/>
  <c r="O176" i="1" s="1"/>
  <c r="P116" i="1"/>
  <c r="Q116" i="1" s="1"/>
  <c r="R116" i="1" s="1"/>
  <c r="M116" i="1"/>
  <c r="N116" i="1" s="1"/>
  <c r="O116" i="1" s="1"/>
  <c r="P29" i="1"/>
  <c r="Q29" i="1" s="1"/>
  <c r="R29" i="1" s="1"/>
  <c r="M29" i="1"/>
  <c r="N29" i="1" s="1"/>
  <c r="O29" i="1" s="1"/>
  <c r="M37" i="1"/>
  <c r="N37" i="1" s="1"/>
  <c r="O37" i="1" s="1"/>
  <c r="M51" i="1"/>
  <c r="N51" i="1" s="1"/>
  <c r="O51" i="1" s="1"/>
  <c r="P51" i="1"/>
  <c r="Q51" i="1" s="1"/>
  <c r="R51" i="1" s="1"/>
  <c r="P65" i="1"/>
  <c r="Q65" i="1" s="1"/>
  <c r="R65" i="1" s="1"/>
  <c r="M65" i="1"/>
  <c r="N65" i="1" s="1"/>
  <c r="O65" i="1" s="1"/>
  <c r="P81" i="1"/>
  <c r="Q81" i="1" s="1"/>
  <c r="R81" i="1" s="1"/>
  <c r="M81" i="1"/>
  <c r="N81" i="1" s="1"/>
  <c r="O81" i="1" s="1"/>
  <c r="P84" i="1"/>
  <c r="Q84" i="1" s="1"/>
  <c r="R84" i="1" s="1"/>
  <c r="M84" i="1"/>
  <c r="N84" i="1" s="1"/>
  <c r="O84" i="1" s="1"/>
  <c r="P120" i="1"/>
  <c r="Q120" i="1" s="1"/>
  <c r="R120" i="1" s="1"/>
  <c r="M120" i="1"/>
  <c r="N120" i="1" s="1"/>
  <c r="O120" i="1" s="1"/>
  <c r="P129" i="1"/>
  <c r="Q129" i="1" s="1"/>
  <c r="R129" i="1" s="1"/>
  <c r="M129" i="1"/>
  <c r="N129" i="1" s="1"/>
  <c r="O129" i="1" s="1"/>
  <c r="M133" i="1"/>
  <c r="N133" i="1" s="1"/>
  <c r="O133" i="1" s="1"/>
  <c r="P133" i="1"/>
  <c r="Q133" i="1" s="1"/>
  <c r="R133" i="1" s="1"/>
  <c r="P136" i="1"/>
  <c r="Q136" i="1" s="1"/>
  <c r="R136" i="1" s="1"/>
  <c r="M136" i="1"/>
  <c r="N136" i="1" s="1"/>
  <c r="O136" i="1" s="1"/>
  <c r="P3" i="1"/>
  <c r="Q3" i="1" s="1"/>
  <c r="R3" i="1" s="1"/>
  <c r="M3" i="1"/>
  <c r="N3" i="1" s="1"/>
  <c r="O3" i="1" s="1"/>
  <c r="M7" i="1"/>
  <c r="N7" i="1" s="1"/>
  <c r="O7" i="1" s="1"/>
  <c r="P7" i="1"/>
  <c r="Q7" i="1" s="1"/>
  <c r="R7" i="1" s="1"/>
  <c r="L43" i="1"/>
  <c r="P68" i="1"/>
  <c r="Q68" i="1" s="1"/>
  <c r="R68" i="1" s="1"/>
  <c r="M68" i="1"/>
  <c r="N68" i="1" s="1"/>
  <c r="O68" i="1" s="1"/>
  <c r="M70" i="1"/>
  <c r="N70" i="1" s="1"/>
  <c r="O70" i="1" s="1"/>
  <c r="P79" i="1"/>
  <c r="Q79" i="1" s="1"/>
  <c r="R79" i="1" s="1"/>
  <c r="M79" i="1"/>
  <c r="N79" i="1" s="1"/>
  <c r="O79" i="1" s="1"/>
  <c r="P91" i="1"/>
  <c r="Q91" i="1" s="1"/>
  <c r="R91" i="1" s="1"/>
  <c r="M91" i="1"/>
  <c r="N91" i="1" s="1"/>
  <c r="O91" i="1" s="1"/>
  <c r="P103" i="1"/>
  <c r="Q103" i="1" s="1"/>
  <c r="R103" i="1" s="1"/>
  <c r="M103" i="1"/>
  <c r="N103" i="1" s="1"/>
  <c r="O103" i="1" s="1"/>
  <c r="P117" i="1"/>
  <c r="Q117" i="1" s="1"/>
  <c r="R117" i="1" s="1"/>
  <c r="M117" i="1"/>
  <c r="N117" i="1" s="1"/>
  <c r="O117" i="1" s="1"/>
  <c r="P127" i="1"/>
  <c r="Q127" i="1" s="1"/>
  <c r="R127" i="1" s="1"/>
  <c r="M127" i="1"/>
  <c r="N127" i="1" s="1"/>
  <c r="O127" i="1" s="1"/>
  <c r="P165" i="1"/>
  <c r="Q165" i="1" s="1"/>
  <c r="R165" i="1" s="1"/>
  <c r="M165" i="1"/>
  <c r="N165" i="1" s="1"/>
  <c r="O165" i="1" s="1"/>
  <c r="P160" i="1"/>
  <c r="Q160" i="1" s="1"/>
  <c r="R160" i="1" s="1"/>
  <c r="M160" i="1"/>
  <c r="N160" i="1" s="1"/>
  <c r="O160" i="1" s="1"/>
  <c r="P10" i="1"/>
  <c r="Q10" i="1" s="1"/>
  <c r="R10" i="1" s="1"/>
  <c r="M10" i="1"/>
  <c r="N10" i="1" s="1"/>
  <c r="O10" i="1" s="1"/>
  <c r="M27" i="1"/>
  <c r="N27" i="1" s="1"/>
  <c r="O27" i="1" s="1"/>
  <c r="P27" i="1"/>
  <c r="Q27" i="1" s="1"/>
  <c r="R27" i="1" s="1"/>
  <c r="P35" i="1"/>
  <c r="Q35" i="1" s="1"/>
  <c r="R35" i="1" s="1"/>
  <c r="M35" i="1"/>
  <c r="N35" i="1" s="1"/>
  <c r="O35" i="1" s="1"/>
  <c r="M38" i="1"/>
  <c r="N38" i="1" s="1"/>
  <c r="O38" i="1" s="1"/>
  <c r="P38" i="1"/>
  <c r="Q38" i="1" s="1"/>
  <c r="R38" i="1" s="1"/>
  <c r="P54" i="1"/>
  <c r="Q54" i="1" s="1"/>
  <c r="R54" i="1" s="1"/>
  <c r="M54" i="1"/>
  <c r="N54" i="1" s="1"/>
  <c r="O54" i="1" s="1"/>
  <c r="P140" i="1"/>
  <c r="Q140" i="1" s="1"/>
  <c r="R140" i="1" s="1"/>
  <c r="M140" i="1"/>
  <c r="N140" i="1" s="1"/>
  <c r="O140" i="1" s="1"/>
  <c r="P162" i="1"/>
  <c r="Q162" i="1" s="1"/>
  <c r="R162" i="1" s="1"/>
  <c r="M162" i="1"/>
  <c r="N162" i="1" s="1"/>
  <c r="O162" i="1" s="1"/>
  <c r="P72" i="1"/>
  <c r="Q72" i="1" s="1"/>
  <c r="R72" i="1" s="1"/>
  <c r="M72" i="1"/>
  <c r="N72" i="1" s="1"/>
  <c r="O72" i="1" s="1"/>
  <c r="P21" i="1"/>
  <c r="Q21" i="1" s="1"/>
  <c r="R21" i="1" s="1"/>
  <c r="M21" i="1"/>
  <c r="N21" i="1" s="1"/>
  <c r="O21" i="1" s="1"/>
  <c r="M46" i="1"/>
  <c r="N46" i="1" s="1"/>
  <c r="O46" i="1" s="1"/>
  <c r="L63" i="1"/>
  <c r="M71" i="1"/>
  <c r="N71" i="1" s="1"/>
  <c r="O71" i="1" s="1"/>
  <c r="P71" i="1"/>
  <c r="Q71" i="1" s="1"/>
  <c r="R71" i="1" s="1"/>
  <c r="P185" i="1"/>
  <c r="Q185" i="1" s="1"/>
  <c r="R185" i="1" s="1"/>
  <c r="M185" i="1"/>
  <c r="N185" i="1" s="1"/>
  <c r="O185" i="1" s="1"/>
  <c r="P69" i="1"/>
  <c r="Q69" i="1" s="1"/>
  <c r="R69" i="1" s="1"/>
  <c r="M69" i="1"/>
  <c r="N69" i="1" s="1"/>
  <c r="O69" i="1" s="1"/>
  <c r="P139" i="1"/>
  <c r="Q139" i="1" s="1"/>
  <c r="R139" i="1" s="1"/>
  <c r="M139" i="1"/>
  <c r="N139" i="1" s="1"/>
  <c r="O139" i="1" s="1"/>
  <c r="P30" i="1"/>
  <c r="Q30" i="1" s="1"/>
  <c r="R30" i="1" s="1"/>
  <c r="M30" i="1"/>
  <c r="N30" i="1" s="1"/>
  <c r="O30" i="1" s="1"/>
  <c r="P40" i="1"/>
  <c r="Q40" i="1" s="1"/>
  <c r="R40" i="1" s="1"/>
  <c r="P44" i="1"/>
  <c r="Q44" i="1" s="1"/>
  <c r="R44" i="1" s="1"/>
  <c r="M44" i="1"/>
  <c r="N44" i="1" s="1"/>
  <c r="O44" i="1" s="1"/>
  <c r="P57" i="1"/>
  <c r="Q57" i="1" s="1"/>
  <c r="R57" i="1" s="1"/>
  <c r="M57" i="1"/>
  <c r="N57" i="1" s="1"/>
  <c r="O57" i="1" s="1"/>
  <c r="P60" i="1"/>
  <c r="Q60" i="1" s="1"/>
  <c r="R60" i="1" s="1"/>
  <c r="M60" i="1"/>
  <c r="N60" i="1" s="1"/>
  <c r="O60" i="1" s="1"/>
  <c r="P77" i="1"/>
  <c r="Q77" i="1" s="1"/>
  <c r="R77" i="1" s="1"/>
  <c r="M77" i="1"/>
  <c r="N77" i="1" s="1"/>
  <c r="O77" i="1" s="1"/>
  <c r="P94" i="1"/>
  <c r="Q94" i="1" s="1"/>
  <c r="R94" i="1" s="1"/>
  <c r="M94" i="1"/>
  <c r="N94" i="1" s="1"/>
  <c r="O94" i="1" s="1"/>
  <c r="P106" i="1"/>
  <c r="Q106" i="1" s="1"/>
  <c r="R106" i="1" s="1"/>
  <c r="M106" i="1"/>
  <c r="N106" i="1" s="1"/>
  <c r="O106" i="1" s="1"/>
  <c r="P115" i="1"/>
  <c r="Q115" i="1" s="1"/>
  <c r="R115" i="1" s="1"/>
  <c r="M115" i="1"/>
  <c r="N115" i="1" s="1"/>
  <c r="O115" i="1" s="1"/>
  <c r="P118" i="1"/>
  <c r="Q118" i="1" s="1"/>
  <c r="R118" i="1" s="1"/>
  <c r="M118" i="1"/>
  <c r="N118" i="1" s="1"/>
  <c r="O118" i="1" s="1"/>
  <c r="P138" i="1"/>
  <c r="Q138" i="1" s="1"/>
  <c r="R138" i="1" s="1"/>
  <c r="M138" i="1"/>
  <c r="N138" i="1" s="1"/>
  <c r="O138" i="1" s="1"/>
  <c r="P203" i="1"/>
  <c r="Q203" i="1" s="1"/>
  <c r="R203" i="1" s="1"/>
  <c r="M203" i="1"/>
  <c r="N203" i="1" s="1"/>
  <c r="O203" i="1" s="1"/>
  <c r="P5" i="1"/>
  <c r="Q5" i="1" s="1"/>
  <c r="R5" i="1" s="1"/>
  <c r="M5" i="1"/>
  <c r="N5" i="1" s="1"/>
  <c r="O5" i="1" s="1"/>
  <c r="M11" i="1"/>
  <c r="N11" i="1" s="1"/>
  <c r="O11" i="1" s="1"/>
  <c r="P14" i="1"/>
  <c r="Q14" i="1" s="1"/>
  <c r="R14" i="1" s="1"/>
  <c r="L41" i="1"/>
  <c r="M49" i="1"/>
  <c r="N49" i="1" s="1"/>
  <c r="O49" i="1" s="1"/>
  <c r="L80" i="1"/>
  <c r="P12" i="1"/>
  <c r="Q12" i="1" s="1"/>
  <c r="R12" i="1" s="1"/>
  <c r="M12" i="1"/>
  <c r="N12" i="1" s="1"/>
  <c r="O12" i="1" s="1"/>
  <c r="P15" i="1"/>
  <c r="Q15" i="1" s="1"/>
  <c r="R15" i="1" s="1"/>
  <c r="M15" i="1"/>
  <c r="N15" i="1" s="1"/>
  <c r="O15" i="1" s="1"/>
  <c r="P33" i="1"/>
  <c r="Q33" i="1" s="1"/>
  <c r="R33" i="1" s="1"/>
  <c r="M33" i="1"/>
  <c r="N33" i="1" s="1"/>
  <c r="O33" i="1" s="1"/>
  <c r="K5" i="1"/>
  <c r="M19" i="1"/>
  <c r="N19" i="1" s="1"/>
  <c r="O19" i="1" s="1"/>
  <c r="P19" i="1"/>
  <c r="Q19" i="1" s="1"/>
  <c r="R19" i="1" s="1"/>
  <c r="L39" i="1"/>
  <c r="P47" i="1"/>
  <c r="Q47" i="1" s="1"/>
  <c r="R47" i="1" s="1"/>
  <c r="M47" i="1"/>
  <c r="N47" i="1" s="1"/>
  <c r="O47" i="1" s="1"/>
  <c r="L50" i="1"/>
  <c r="I55" i="1"/>
  <c r="L55" i="1" s="1"/>
  <c r="L75" i="1"/>
  <c r="M83" i="1"/>
  <c r="N83" i="1" s="1"/>
  <c r="O83" i="1" s="1"/>
  <c r="P83" i="1"/>
  <c r="Q83" i="1" s="1"/>
  <c r="R83" i="1" s="1"/>
  <c r="M92" i="1"/>
  <c r="N92" i="1" s="1"/>
  <c r="O92" i="1" s="1"/>
  <c r="M104" i="1"/>
  <c r="N104" i="1" s="1"/>
  <c r="O104" i="1" s="1"/>
  <c r="P200" i="1"/>
  <c r="Q200" i="1" s="1"/>
  <c r="R200" i="1" s="1"/>
  <c r="M200" i="1"/>
  <c r="N200" i="1" s="1"/>
  <c r="O200" i="1" s="1"/>
  <c r="M169" i="1"/>
  <c r="N169" i="1" s="1"/>
  <c r="O169" i="1" s="1"/>
  <c r="P169" i="1"/>
  <c r="Q169" i="1" s="1"/>
  <c r="R169" i="1" s="1"/>
  <c r="P172" i="1"/>
  <c r="Q172" i="1" s="1"/>
  <c r="R172" i="1" s="1"/>
  <c r="M172" i="1"/>
  <c r="N172" i="1" s="1"/>
  <c r="O172" i="1" s="1"/>
  <c r="P175" i="1"/>
  <c r="Q175" i="1" s="1"/>
  <c r="R175" i="1" s="1"/>
  <c r="M175" i="1"/>
  <c r="N175" i="1" s="1"/>
  <c r="O175" i="1" s="1"/>
  <c r="P179" i="1"/>
  <c r="Q179" i="1" s="1"/>
  <c r="R179" i="1" s="1"/>
  <c r="M179" i="1"/>
  <c r="N179" i="1" s="1"/>
  <c r="O179" i="1" s="1"/>
  <c r="L198" i="1"/>
  <c r="L85" i="1"/>
  <c r="L88" i="1"/>
  <c r="L97" i="1"/>
  <c r="L100" i="1"/>
  <c r="L109" i="1"/>
  <c r="L114" i="1"/>
  <c r="P164" i="1"/>
  <c r="Q164" i="1" s="1"/>
  <c r="R164" i="1" s="1"/>
  <c r="M164" i="1"/>
  <c r="N164" i="1" s="1"/>
  <c r="O164" i="1" s="1"/>
  <c r="L195" i="1"/>
  <c r="I61" i="1"/>
  <c r="L61" i="1" s="1"/>
  <c r="I73" i="1"/>
  <c r="L73" i="1" s="1"/>
  <c r="L112" i="1"/>
  <c r="L123" i="1"/>
  <c r="M182" i="1"/>
  <c r="N182" i="1" s="1"/>
  <c r="O182" i="1" s="1"/>
  <c r="P182" i="1"/>
  <c r="Q182" i="1" s="1"/>
  <c r="R182" i="1" s="1"/>
  <c r="P208" i="1"/>
  <c r="Q208" i="1" s="1"/>
  <c r="R208" i="1" s="1"/>
  <c r="M208" i="1"/>
  <c r="N208" i="1" s="1"/>
  <c r="O208" i="1" s="1"/>
  <c r="M305" i="1"/>
  <c r="N305" i="1" s="1"/>
  <c r="O305" i="1" s="1"/>
  <c r="P305" i="1"/>
  <c r="Q305" i="1" s="1"/>
  <c r="R305" i="1" s="1"/>
  <c r="P154" i="1"/>
  <c r="Q154" i="1" s="1"/>
  <c r="R154" i="1" s="1"/>
  <c r="M154" i="1"/>
  <c r="N154" i="1" s="1"/>
  <c r="O154" i="1" s="1"/>
  <c r="P173" i="1"/>
  <c r="Q173" i="1" s="1"/>
  <c r="R173" i="1" s="1"/>
  <c r="M173" i="1"/>
  <c r="N173" i="1" s="1"/>
  <c r="O173" i="1" s="1"/>
  <c r="P150" i="1"/>
  <c r="Q150" i="1" s="1"/>
  <c r="R150" i="1" s="1"/>
  <c r="M150" i="1"/>
  <c r="N150" i="1" s="1"/>
  <c r="O150" i="1" s="1"/>
  <c r="M187" i="1"/>
  <c r="N187" i="1" s="1"/>
  <c r="O187" i="1" s="1"/>
  <c r="P281" i="1"/>
  <c r="Q281" i="1" s="1"/>
  <c r="R281" i="1" s="1"/>
  <c r="M281" i="1"/>
  <c r="N281" i="1" s="1"/>
  <c r="O281" i="1" s="1"/>
  <c r="P342" i="1"/>
  <c r="Q342" i="1" s="1"/>
  <c r="R342" i="1" s="1"/>
  <c r="M342" i="1"/>
  <c r="N342" i="1" s="1"/>
  <c r="O342" i="1" s="1"/>
  <c r="P390" i="1"/>
  <c r="Q390" i="1" s="1"/>
  <c r="R390" i="1" s="1"/>
  <c r="M390" i="1"/>
  <c r="N390" i="1" s="1"/>
  <c r="O390" i="1" s="1"/>
  <c r="P134" i="1"/>
  <c r="Q134" i="1" s="1"/>
  <c r="R134" i="1" s="1"/>
  <c r="M134" i="1"/>
  <c r="N134" i="1" s="1"/>
  <c r="O134" i="1" s="1"/>
  <c r="P302" i="1"/>
  <c r="Q302" i="1" s="1"/>
  <c r="R302" i="1" s="1"/>
  <c r="M302" i="1"/>
  <c r="N302" i="1" s="1"/>
  <c r="O302" i="1" s="1"/>
  <c r="L87" i="1"/>
  <c r="L99" i="1"/>
  <c r="P152" i="1"/>
  <c r="Q152" i="1" s="1"/>
  <c r="R152" i="1" s="1"/>
  <c r="M199" i="1"/>
  <c r="N199" i="1" s="1"/>
  <c r="O199" i="1" s="1"/>
  <c r="P199" i="1"/>
  <c r="Q199" i="1" s="1"/>
  <c r="R199" i="1" s="1"/>
  <c r="P271" i="1"/>
  <c r="Q271" i="1" s="1"/>
  <c r="R271" i="1" s="1"/>
  <c r="M271" i="1"/>
  <c r="N271" i="1" s="1"/>
  <c r="O271" i="1" s="1"/>
  <c r="P278" i="1"/>
  <c r="Q278" i="1" s="1"/>
  <c r="R278" i="1" s="1"/>
  <c r="M278" i="1"/>
  <c r="N278" i="1" s="1"/>
  <c r="O278" i="1" s="1"/>
  <c r="P215" i="1"/>
  <c r="Q215" i="1" s="1"/>
  <c r="R215" i="1" s="1"/>
  <c r="M215" i="1"/>
  <c r="N215" i="1" s="1"/>
  <c r="O215" i="1" s="1"/>
  <c r="P89" i="1"/>
  <c r="Q89" i="1" s="1"/>
  <c r="R89" i="1" s="1"/>
  <c r="M89" i="1"/>
  <c r="N89" i="1" s="1"/>
  <c r="O89" i="1" s="1"/>
  <c r="P101" i="1"/>
  <c r="Q101" i="1" s="1"/>
  <c r="R101" i="1" s="1"/>
  <c r="M101" i="1"/>
  <c r="N101" i="1" s="1"/>
  <c r="O101" i="1" s="1"/>
  <c r="P148" i="1"/>
  <c r="Q148" i="1" s="1"/>
  <c r="R148" i="1" s="1"/>
  <c r="M148" i="1"/>
  <c r="N148" i="1" s="1"/>
  <c r="O148" i="1" s="1"/>
  <c r="P163" i="1"/>
  <c r="Q163" i="1" s="1"/>
  <c r="R163" i="1" s="1"/>
  <c r="M163" i="1"/>
  <c r="N163" i="1" s="1"/>
  <c r="O163" i="1" s="1"/>
  <c r="M190" i="1"/>
  <c r="N190" i="1" s="1"/>
  <c r="O190" i="1" s="1"/>
  <c r="P190" i="1"/>
  <c r="Q190" i="1" s="1"/>
  <c r="R190" i="1" s="1"/>
  <c r="M193" i="1"/>
  <c r="N193" i="1" s="1"/>
  <c r="O193" i="1" s="1"/>
  <c r="P193" i="1"/>
  <c r="Q193" i="1" s="1"/>
  <c r="R193" i="1" s="1"/>
  <c r="M230" i="1"/>
  <c r="N230" i="1" s="1"/>
  <c r="O230" i="1" s="1"/>
  <c r="P230" i="1"/>
  <c r="Q230" i="1" s="1"/>
  <c r="R230" i="1" s="1"/>
  <c r="P261" i="1"/>
  <c r="Q261" i="1" s="1"/>
  <c r="R261" i="1" s="1"/>
  <c r="M261" i="1"/>
  <c r="N261" i="1" s="1"/>
  <c r="O261" i="1" s="1"/>
  <c r="P267" i="1"/>
  <c r="Q267" i="1" s="1"/>
  <c r="R267" i="1" s="1"/>
  <c r="M267" i="1"/>
  <c r="N267" i="1" s="1"/>
  <c r="O267" i="1" s="1"/>
  <c r="M180" i="1"/>
  <c r="N180" i="1" s="1"/>
  <c r="O180" i="1" s="1"/>
  <c r="P180" i="1"/>
  <c r="Q180" i="1" s="1"/>
  <c r="R180" i="1" s="1"/>
  <c r="M64" i="1"/>
  <c r="N64" i="1" s="1"/>
  <c r="O64" i="1" s="1"/>
  <c r="M76" i="1"/>
  <c r="N76" i="1" s="1"/>
  <c r="O76" i="1" s="1"/>
  <c r="M96" i="1"/>
  <c r="N96" i="1" s="1"/>
  <c r="O96" i="1" s="1"/>
  <c r="M108" i="1"/>
  <c r="N108" i="1" s="1"/>
  <c r="O108" i="1" s="1"/>
  <c r="L113" i="1"/>
  <c r="L126" i="1"/>
  <c r="M130" i="1"/>
  <c r="N130" i="1" s="1"/>
  <c r="O130" i="1" s="1"/>
  <c r="L135" i="1"/>
  <c r="P171" i="1"/>
  <c r="Q171" i="1" s="1"/>
  <c r="R171" i="1" s="1"/>
  <c r="M171" i="1"/>
  <c r="N171" i="1" s="1"/>
  <c r="O171" i="1" s="1"/>
  <c r="P186" i="1"/>
  <c r="Q186" i="1" s="1"/>
  <c r="R186" i="1" s="1"/>
  <c r="M186" i="1"/>
  <c r="N186" i="1" s="1"/>
  <c r="O186" i="1" s="1"/>
  <c r="P243" i="1"/>
  <c r="Q243" i="1" s="1"/>
  <c r="R243" i="1" s="1"/>
  <c r="P251" i="1"/>
  <c r="Q251" i="1" s="1"/>
  <c r="R251" i="1" s="1"/>
  <c r="M251" i="1"/>
  <c r="N251" i="1" s="1"/>
  <c r="O251" i="1" s="1"/>
  <c r="P414" i="1"/>
  <c r="Q414" i="1" s="1"/>
  <c r="R414" i="1" s="1"/>
  <c r="M414" i="1"/>
  <c r="N414" i="1" s="1"/>
  <c r="O414" i="1" s="1"/>
  <c r="M137" i="1"/>
  <c r="N137" i="1" s="1"/>
  <c r="O137" i="1" s="1"/>
  <c r="P143" i="1"/>
  <c r="Q143" i="1" s="1"/>
  <c r="R143" i="1" s="1"/>
  <c r="M143" i="1"/>
  <c r="N143" i="1" s="1"/>
  <c r="O143" i="1" s="1"/>
  <c r="M174" i="1"/>
  <c r="N174" i="1" s="1"/>
  <c r="O174" i="1" s="1"/>
  <c r="P241" i="1"/>
  <c r="Q241" i="1" s="1"/>
  <c r="R241" i="1" s="1"/>
  <c r="M241" i="1"/>
  <c r="N241" i="1" s="1"/>
  <c r="O241" i="1" s="1"/>
  <c r="P254" i="1"/>
  <c r="Q254" i="1" s="1"/>
  <c r="R254" i="1" s="1"/>
  <c r="M254" i="1"/>
  <c r="N254" i="1" s="1"/>
  <c r="O254" i="1" s="1"/>
  <c r="L62" i="1"/>
  <c r="L74" i="1"/>
  <c r="L86" i="1"/>
  <c r="L98" i="1"/>
  <c r="M119" i="1"/>
  <c r="N119" i="1" s="1"/>
  <c r="O119" i="1" s="1"/>
  <c r="M146" i="1"/>
  <c r="N146" i="1" s="1"/>
  <c r="O146" i="1" s="1"/>
  <c r="P146" i="1"/>
  <c r="Q146" i="1" s="1"/>
  <c r="R146" i="1" s="1"/>
  <c r="L161" i="1"/>
  <c r="P188" i="1"/>
  <c r="Q188" i="1" s="1"/>
  <c r="R188" i="1" s="1"/>
  <c r="P220" i="1"/>
  <c r="Q220" i="1" s="1"/>
  <c r="R220" i="1" s="1"/>
  <c r="M220" i="1"/>
  <c r="N220" i="1" s="1"/>
  <c r="O220" i="1" s="1"/>
  <c r="P228" i="1"/>
  <c r="Q228" i="1" s="1"/>
  <c r="R228" i="1" s="1"/>
  <c r="M228" i="1"/>
  <c r="N228" i="1" s="1"/>
  <c r="O228" i="1" s="1"/>
  <c r="P244" i="1"/>
  <c r="Q244" i="1" s="1"/>
  <c r="R244" i="1" s="1"/>
  <c r="M244" i="1"/>
  <c r="N244" i="1" s="1"/>
  <c r="O244" i="1" s="1"/>
  <c r="P125" i="1"/>
  <c r="Q125" i="1" s="1"/>
  <c r="R125" i="1" s="1"/>
  <c r="M125" i="1"/>
  <c r="N125" i="1" s="1"/>
  <c r="O125" i="1" s="1"/>
  <c r="P111" i="1"/>
  <c r="Q111" i="1" s="1"/>
  <c r="R111" i="1" s="1"/>
  <c r="P122" i="1"/>
  <c r="Q122" i="1" s="1"/>
  <c r="R122" i="1" s="1"/>
  <c r="M166" i="1"/>
  <c r="N166" i="1" s="1"/>
  <c r="O166" i="1" s="1"/>
  <c r="L184" i="1"/>
  <c r="P204" i="1"/>
  <c r="Q204" i="1" s="1"/>
  <c r="R204" i="1" s="1"/>
  <c r="M204" i="1"/>
  <c r="N204" i="1" s="1"/>
  <c r="O204" i="1" s="1"/>
  <c r="P217" i="1"/>
  <c r="Q217" i="1" s="1"/>
  <c r="R217" i="1" s="1"/>
  <c r="M217" i="1"/>
  <c r="N217" i="1" s="1"/>
  <c r="O217" i="1" s="1"/>
  <c r="L155" i="1"/>
  <c r="L158" i="1"/>
  <c r="P197" i="1"/>
  <c r="Q197" i="1" s="1"/>
  <c r="R197" i="1" s="1"/>
  <c r="M197" i="1"/>
  <c r="N197" i="1" s="1"/>
  <c r="O197" i="1" s="1"/>
  <c r="L211" i="1"/>
  <c r="P277" i="1"/>
  <c r="Q277" i="1" s="1"/>
  <c r="R277" i="1" s="1"/>
  <c r="M277" i="1"/>
  <c r="N277" i="1" s="1"/>
  <c r="O277" i="1" s="1"/>
  <c r="P291" i="1"/>
  <c r="Q291" i="1" s="1"/>
  <c r="R291" i="1" s="1"/>
  <c r="M291" i="1"/>
  <c r="N291" i="1" s="1"/>
  <c r="O291" i="1" s="1"/>
  <c r="P196" i="1"/>
  <c r="Q196" i="1" s="1"/>
  <c r="R196" i="1" s="1"/>
  <c r="M196" i="1"/>
  <c r="N196" i="1" s="1"/>
  <c r="O196" i="1" s="1"/>
  <c r="M206" i="1"/>
  <c r="N206" i="1" s="1"/>
  <c r="O206" i="1" s="1"/>
  <c r="P206" i="1"/>
  <c r="Q206" i="1" s="1"/>
  <c r="R206" i="1" s="1"/>
  <c r="P212" i="1"/>
  <c r="Q212" i="1" s="1"/>
  <c r="R212" i="1" s="1"/>
  <c r="M212" i="1"/>
  <c r="N212" i="1" s="1"/>
  <c r="O212" i="1" s="1"/>
  <c r="P225" i="1"/>
  <c r="Q225" i="1" s="1"/>
  <c r="R225" i="1" s="1"/>
  <c r="M225" i="1"/>
  <c r="N225" i="1" s="1"/>
  <c r="O225" i="1" s="1"/>
  <c r="P282" i="1"/>
  <c r="Q282" i="1" s="1"/>
  <c r="R282" i="1" s="1"/>
  <c r="M282" i="1"/>
  <c r="N282" i="1" s="1"/>
  <c r="O282" i="1" s="1"/>
  <c r="L159" i="1"/>
  <c r="P201" i="1"/>
  <c r="Q201" i="1" s="1"/>
  <c r="R201" i="1" s="1"/>
  <c r="M201" i="1"/>
  <c r="N201" i="1" s="1"/>
  <c r="O201" i="1" s="1"/>
  <c r="P231" i="1"/>
  <c r="Q231" i="1" s="1"/>
  <c r="R231" i="1" s="1"/>
  <c r="M231" i="1"/>
  <c r="N231" i="1" s="1"/>
  <c r="O231" i="1" s="1"/>
  <c r="P272" i="1"/>
  <c r="Q272" i="1" s="1"/>
  <c r="R272" i="1" s="1"/>
  <c r="M272" i="1"/>
  <c r="N272" i="1" s="1"/>
  <c r="O272" i="1" s="1"/>
  <c r="P293" i="1"/>
  <c r="Q293" i="1" s="1"/>
  <c r="R293" i="1" s="1"/>
  <c r="M293" i="1"/>
  <c r="N293" i="1" s="1"/>
  <c r="O293" i="1" s="1"/>
  <c r="M296" i="1"/>
  <c r="N296" i="1" s="1"/>
  <c r="O296" i="1" s="1"/>
  <c r="P296" i="1"/>
  <c r="Q296" i="1" s="1"/>
  <c r="R296" i="1" s="1"/>
  <c r="L132" i="1"/>
  <c r="L192" i="1"/>
  <c r="P218" i="1"/>
  <c r="Q218" i="1" s="1"/>
  <c r="R218" i="1" s="1"/>
  <c r="M218" i="1"/>
  <c r="N218" i="1" s="1"/>
  <c r="O218" i="1" s="1"/>
  <c r="L239" i="1"/>
  <c r="M262" i="1"/>
  <c r="N262" i="1" s="1"/>
  <c r="O262" i="1" s="1"/>
  <c r="P262" i="1"/>
  <c r="Q262" i="1" s="1"/>
  <c r="R262" i="1" s="1"/>
  <c r="P276" i="1"/>
  <c r="Q276" i="1" s="1"/>
  <c r="R276" i="1" s="1"/>
  <c r="M276" i="1"/>
  <c r="N276" i="1" s="1"/>
  <c r="O276" i="1" s="1"/>
  <c r="M283" i="1"/>
  <c r="N283" i="1" s="1"/>
  <c r="O283" i="1" s="1"/>
  <c r="P283" i="1"/>
  <c r="Q283" i="1" s="1"/>
  <c r="R283" i="1" s="1"/>
  <c r="L167" i="1"/>
  <c r="L170" i="1"/>
  <c r="P219" i="1"/>
  <c r="Q219" i="1" s="1"/>
  <c r="R219" i="1" s="1"/>
  <c r="M219" i="1"/>
  <c r="N219" i="1" s="1"/>
  <c r="O219" i="1" s="1"/>
  <c r="M252" i="1"/>
  <c r="N252" i="1" s="1"/>
  <c r="O252" i="1" s="1"/>
  <c r="L266" i="1"/>
  <c r="P280" i="1"/>
  <c r="Q280" i="1" s="1"/>
  <c r="R280" i="1" s="1"/>
  <c r="M280" i="1"/>
  <c r="N280" i="1" s="1"/>
  <c r="O280" i="1" s="1"/>
  <c r="P319" i="1"/>
  <c r="Q319" i="1" s="1"/>
  <c r="R319" i="1" s="1"/>
  <c r="M319" i="1"/>
  <c r="N319" i="1" s="1"/>
  <c r="O319" i="1" s="1"/>
  <c r="P388" i="1"/>
  <c r="Q388" i="1" s="1"/>
  <c r="R388" i="1" s="1"/>
  <c r="M388" i="1"/>
  <c r="N388" i="1" s="1"/>
  <c r="O388" i="1" s="1"/>
  <c r="P157" i="1"/>
  <c r="Q157" i="1" s="1"/>
  <c r="R157" i="1" s="1"/>
  <c r="P226" i="1"/>
  <c r="Q226" i="1" s="1"/>
  <c r="R226" i="1" s="1"/>
  <c r="M226" i="1"/>
  <c r="N226" i="1" s="1"/>
  <c r="O226" i="1" s="1"/>
  <c r="P242" i="1"/>
  <c r="Q242" i="1" s="1"/>
  <c r="R242" i="1" s="1"/>
  <c r="M242" i="1"/>
  <c r="N242" i="1" s="1"/>
  <c r="O242" i="1" s="1"/>
  <c r="P290" i="1"/>
  <c r="Q290" i="1" s="1"/>
  <c r="R290" i="1" s="1"/>
  <c r="M290" i="1"/>
  <c r="N290" i="1" s="1"/>
  <c r="O290" i="1" s="1"/>
  <c r="P329" i="1"/>
  <c r="Q329" i="1" s="1"/>
  <c r="R329" i="1" s="1"/>
  <c r="M329" i="1"/>
  <c r="N329" i="1" s="1"/>
  <c r="O329" i="1" s="1"/>
  <c r="P338" i="1"/>
  <c r="Q338" i="1" s="1"/>
  <c r="R338" i="1" s="1"/>
  <c r="M338" i="1"/>
  <c r="N338" i="1" s="1"/>
  <c r="O338" i="1" s="1"/>
  <c r="I131" i="1"/>
  <c r="L131" i="1" s="1"/>
  <c r="I145" i="1"/>
  <c r="L145" i="1" s="1"/>
  <c r="L147" i="1"/>
  <c r="P168" i="1"/>
  <c r="Q168" i="1" s="1"/>
  <c r="R168" i="1" s="1"/>
  <c r="L183" i="1"/>
  <c r="L202" i="1"/>
  <c r="P229" i="1"/>
  <c r="Q229" i="1" s="1"/>
  <c r="R229" i="1" s="1"/>
  <c r="M229" i="1"/>
  <c r="N229" i="1" s="1"/>
  <c r="O229" i="1" s="1"/>
  <c r="L240" i="1"/>
  <c r="P253" i="1"/>
  <c r="Q253" i="1" s="1"/>
  <c r="R253" i="1" s="1"/>
  <c r="M253" i="1"/>
  <c r="N253" i="1" s="1"/>
  <c r="O253" i="1" s="1"/>
  <c r="L191" i="1"/>
  <c r="P194" i="1"/>
  <c r="Q194" i="1" s="1"/>
  <c r="R194" i="1" s="1"/>
  <c r="M205" i="1"/>
  <c r="N205" i="1" s="1"/>
  <c r="O205" i="1" s="1"/>
  <c r="P205" i="1"/>
  <c r="Q205" i="1" s="1"/>
  <c r="R205" i="1" s="1"/>
  <c r="P213" i="1"/>
  <c r="Q213" i="1" s="1"/>
  <c r="R213" i="1" s="1"/>
  <c r="M213" i="1"/>
  <c r="N213" i="1" s="1"/>
  <c r="O213" i="1" s="1"/>
  <c r="M223" i="1"/>
  <c r="N223" i="1" s="1"/>
  <c r="O223" i="1" s="1"/>
  <c r="P223" i="1"/>
  <c r="Q223" i="1" s="1"/>
  <c r="R223" i="1" s="1"/>
  <c r="P256" i="1"/>
  <c r="Q256" i="1" s="1"/>
  <c r="R256" i="1" s="1"/>
  <c r="M256" i="1"/>
  <c r="N256" i="1" s="1"/>
  <c r="O256" i="1" s="1"/>
  <c r="P304" i="1"/>
  <c r="Q304" i="1" s="1"/>
  <c r="R304" i="1" s="1"/>
  <c r="M304" i="1"/>
  <c r="N304" i="1" s="1"/>
  <c r="O304" i="1" s="1"/>
  <c r="P367" i="1"/>
  <c r="Q367" i="1" s="1"/>
  <c r="R367" i="1" s="1"/>
  <c r="M367" i="1"/>
  <c r="N367" i="1" s="1"/>
  <c r="O367" i="1" s="1"/>
  <c r="L209" i="1"/>
  <c r="P303" i="1"/>
  <c r="Q303" i="1" s="1"/>
  <c r="R303" i="1" s="1"/>
  <c r="M303" i="1"/>
  <c r="N303" i="1" s="1"/>
  <c r="O303" i="1" s="1"/>
  <c r="M320" i="1"/>
  <c r="N320" i="1" s="1"/>
  <c r="O320" i="1" s="1"/>
  <c r="P320" i="1"/>
  <c r="Q320" i="1" s="1"/>
  <c r="R320" i="1" s="1"/>
  <c r="P436" i="1"/>
  <c r="Q436" i="1" s="1"/>
  <c r="R436" i="1" s="1"/>
  <c r="M436" i="1"/>
  <c r="N436" i="1" s="1"/>
  <c r="O436" i="1" s="1"/>
  <c r="I209" i="1"/>
  <c r="L259" i="1"/>
  <c r="L298" i="1"/>
  <c r="P352" i="1"/>
  <c r="Q352" i="1" s="1"/>
  <c r="R352" i="1" s="1"/>
  <c r="M352" i="1"/>
  <c r="N352" i="1" s="1"/>
  <c r="O352" i="1" s="1"/>
  <c r="M381" i="1"/>
  <c r="N381" i="1" s="1"/>
  <c r="O381" i="1" s="1"/>
  <c r="P381" i="1"/>
  <c r="Q381" i="1" s="1"/>
  <c r="R381" i="1" s="1"/>
  <c r="L301" i="1"/>
  <c r="P318" i="1"/>
  <c r="Q318" i="1" s="1"/>
  <c r="R318" i="1" s="1"/>
  <c r="M318" i="1"/>
  <c r="N318" i="1" s="1"/>
  <c r="O318" i="1" s="1"/>
  <c r="P321" i="1"/>
  <c r="Q321" i="1" s="1"/>
  <c r="R321" i="1" s="1"/>
  <c r="M321" i="1"/>
  <c r="N321" i="1" s="1"/>
  <c r="O321" i="1" s="1"/>
  <c r="P362" i="1"/>
  <c r="Q362" i="1" s="1"/>
  <c r="R362" i="1" s="1"/>
  <c r="M362" i="1"/>
  <c r="N362" i="1" s="1"/>
  <c r="O362" i="1" s="1"/>
  <c r="M232" i="1"/>
  <c r="N232" i="1" s="1"/>
  <c r="O232" i="1" s="1"/>
  <c r="L237" i="1"/>
  <c r="L249" i="1"/>
  <c r="M263" i="1"/>
  <c r="N263" i="1" s="1"/>
  <c r="O263" i="1" s="1"/>
  <c r="I265" i="1"/>
  <c r="L265" i="1" s="1"/>
  <c r="M402" i="1"/>
  <c r="N402" i="1" s="1"/>
  <c r="O402" i="1" s="1"/>
  <c r="L286" i="1"/>
  <c r="M308" i="1"/>
  <c r="N308" i="1" s="1"/>
  <c r="O308" i="1" s="1"/>
  <c r="M310" i="1"/>
  <c r="N310" i="1" s="1"/>
  <c r="O310" i="1" s="1"/>
  <c r="P310" i="1"/>
  <c r="Q310" i="1" s="1"/>
  <c r="R310" i="1" s="1"/>
  <c r="L316" i="1"/>
  <c r="M343" i="1"/>
  <c r="N343" i="1" s="1"/>
  <c r="O343" i="1" s="1"/>
  <c r="P353" i="1"/>
  <c r="Q353" i="1" s="1"/>
  <c r="R353" i="1" s="1"/>
  <c r="M353" i="1"/>
  <c r="N353" i="1" s="1"/>
  <c r="O353" i="1" s="1"/>
  <c r="L222" i="1"/>
  <c r="P306" i="1"/>
  <c r="Q306" i="1" s="1"/>
  <c r="R306" i="1" s="1"/>
  <c r="M306" i="1"/>
  <c r="N306" i="1" s="1"/>
  <c r="O306" i="1" s="1"/>
  <c r="P424" i="1"/>
  <c r="Q424" i="1" s="1"/>
  <c r="R424" i="1" s="1"/>
  <c r="M424" i="1"/>
  <c r="N424" i="1" s="1"/>
  <c r="O424" i="1" s="1"/>
  <c r="P235" i="1"/>
  <c r="Q235" i="1" s="1"/>
  <c r="R235" i="1" s="1"/>
  <c r="P247" i="1"/>
  <c r="Q247" i="1" s="1"/>
  <c r="R247" i="1" s="1"/>
  <c r="P269" i="1"/>
  <c r="Q269" i="1" s="1"/>
  <c r="R269" i="1" s="1"/>
  <c r="P275" i="1"/>
  <c r="Q275" i="1" s="1"/>
  <c r="R275" i="1" s="1"/>
  <c r="M275" i="1"/>
  <c r="N275" i="1" s="1"/>
  <c r="O275" i="1" s="1"/>
  <c r="M295" i="1"/>
  <c r="N295" i="1" s="1"/>
  <c r="O295" i="1" s="1"/>
  <c r="P313" i="1"/>
  <c r="Q313" i="1" s="1"/>
  <c r="R313" i="1" s="1"/>
  <c r="M313" i="1"/>
  <c r="N313" i="1" s="1"/>
  <c r="O313" i="1" s="1"/>
  <c r="M333" i="1"/>
  <c r="N333" i="1" s="1"/>
  <c r="O333" i="1" s="1"/>
  <c r="P333" i="1"/>
  <c r="Q333" i="1" s="1"/>
  <c r="R333" i="1" s="1"/>
  <c r="P339" i="1"/>
  <c r="Q339" i="1" s="1"/>
  <c r="R339" i="1" s="1"/>
  <c r="M339" i="1"/>
  <c r="N339" i="1" s="1"/>
  <c r="O339" i="1" s="1"/>
  <c r="P400" i="1"/>
  <c r="Q400" i="1" s="1"/>
  <c r="R400" i="1" s="1"/>
  <c r="M400" i="1"/>
  <c r="N400" i="1" s="1"/>
  <c r="O400" i="1" s="1"/>
  <c r="P289" i="1"/>
  <c r="Q289" i="1" s="1"/>
  <c r="R289" i="1" s="1"/>
  <c r="M289" i="1"/>
  <c r="N289" i="1" s="1"/>
  <c r="O289" i="1" s="1"/>
  <c r="P336" i="1"/>
  <c r="Q336" i="1" s="1"/>
  <c r="R336" i="1" s="1"/>
  <c r="M336" i="1"/>
  <c r="N336" i="1" s="1"/>
  <c r="O336" i="1" s="1"/>
  <c r="P376" i="1"/>
  <c r="Q376" i="1" s="1"/>
  <c r="R376" i="1" s="1"/>
  <c r="M376" i="1"/>
  <c r="N376" i="1" s="1"/>
  <c r="O376" i="1" s="1"/>
  <c r="P413" i="1"/>
  <c r="Q413" i="1" s="1"/>
  <c r="R413" i="1" s="1"/>
  <c r="M413" i="1"/>
  <c r="N413" i="1" s="1"/>
  <c r="O413" i="1" s="1"/>
  <c r="L238" i="1"/>
  <c r="L250" i="1"/>
  <c r="P260" i="1"/>
  <c r="Q260" i="1" s="1"/>
  <c r="R260" i="1" s="1"/>
  <c r="M260" i="1"/>
  <c r="N260" i="1" s="1"/>
  <c r="O260" i="1" s="1"/>
  <c r="P268" i="1"/>
  <c r="Q268" i="1" s="1"/>
  <c r="R268" i="1" s="1"/>
  <c r="M268" i="1"/>
  <c r="N268" i="1" s="1"/>
  <c r="O268" i="1" s="1"/>
  <c r="L270" i="1"/>
  <c r="P330" i="1"/>
  <c r="Q330" i="1" s="1"/>
  <c r="R330" i="1" s="1"/>
  <c r="M330" i="1"/>
  <c r="N330" i="1" s="1"/>
  <c r="O330" i="1" s="1"/>
  <c r="P351" i="1"/>
  <c r="Q351" i="1" s="1"/>
  <c r="R351" i="1" s="1"/>
  <c r="M351" i="1"/>
  <c r="N351" i="1" s="1"/>
  <c r="O351" i="1" s="1"/>
  <c r="L210" i="1"/>
  <c r="I221" i="1"/>
  <c r="L221" i="1" s="1"/>
  <c r="L233" i="1"/>
  <c r="L236" i="1"/>
  <c r="L245" i="1"/>
  <c r="L248" i="1"/>
  <c r="L257" i="1"/>
  <c r="P279" i="1"/>
  <c r="Q279" i="1" s="1"/>
  <c r="R279" i="1" s="1"/>
  <c r="L345" i="1"/>
  <c r="L348" i="1"/>
  <c r="L224" i="1"/>
  <c r="L274" i="1"/>
  <c r="M287" i="1"/>
  <c r="N287" i="1" s="1"/>
  <c r="O287" i="1" s="1"/>
  <c r="L292" i="1"/>
  <c r="I348" i="1"/>
  <c r="P364" i="1"/>
  <c r="Q364" i="1" s="1"/>
  <c r="R364" i="1" s="1"/>
  <c r="M364" i="1"/>
  <c r="N364" i="1" s="1"/>
  <c r="O364" i="1" s="1"/>
  <c r="L324" i="1"/>
  <c r="L411" i="1"/>
  <c r="P350" i="1"/>
  <c r="Q350" i="1" s="1"/>
  <c r="R350" i="1" s="1"/>
  <c r="M350" i="1"/>
  <c r="N350" i="1" s="1"/>
  <c r="O350" i="1" s="1"/>
  <c r="L358" i="1"/>
  <c r="L383" i="1"/>
  <c r="L408" i="1"/>
  <c r="L417" i="1"/>
  <c r="P426" i="1"/>
  <c r="Q426" i="1" s="1"/>
  <c r="R426" i="1" s="1"/>
  <c r="M426" i="1"/>
  <c r="N426" i="1" s="1"/>
  <c r="O426" i="1" s="1"/>
  <c r="L444" i="1"/>
  <c r="P341" i="1"/>
  <c r="Q341" i="1" s="1"/>
  <c r="R341" i="1" s="1"/>
  <c r="M341" i="1"/>
  <c r="N341" i="1" s="1"/>
  <c r="O341" i="1" s="1"/>
  <c r="P378" i="1"/>
  <c r="Q378" i="1" s="1"/>
  <c r="R378" i="1" s="1"/>
  <c r="M378" i="1"/>
  <c r="N378" i="1" s="1"/>
  <c r="O378" i="1" s="1"/>
  <c r="P412" i="1"/>
  <c r="Q412" i="1" s="1"/>
  <c r="R412" i="1" s="1"/>
  <c r="M412" i="1"/>
  <c r="N412" i="1" s="1"/>
  <c r="O412" i="1" s="1"/>
  <c r="L264" i="1"/>
  <c r="L300" i="1"/>
  <c r="P323" i="1"/>
  <c r="Q323" i="1" s="1"/>
  <c r="R323" i="1" s="1"/>
  <c r="M323" i="1"/>
  <c r="N323" i="1" s="1"/>
  <c r="O323" i="1" s="1"/>
  <c r="P391" i="1"/>
  <c r="Q391" i="1" s="1"/>
  <c r="R391" i="1" s="1"/>
  <c r="M391" i="1"/>
  <c r="N391" i="1" s="1"/>
  <c r="O391" i="1" s="1"/>
  <c r="M394" i="1"/>
  <c r="N394" i="1" s="1"/>
  <c r="O394" i="1" s="1"/>
  <c r="P394" i="1"/>
  <c r="Q394" i="1" s="1"/>
  <c r="R394" i="1" s="1"/>
  <c r="P403" i="1"/>
  <c r="Q403" i="1" s="1"/>
  <c r="R403" i="1" s="1"/>
  <c r="M403" i="1"/>
  <c r="N403" i="1" s="1"/>
  <c r="O403" i="1" s="1"/>
  <c r="P421" i="1"/>
  <c r="Q421" i="1" s="1"/>
  <c r="R421" i="1" s="1"/>
  <c r="M421" i="1"/>
  <c r="N421" i="1" s="1"/>
  <c r="O421" i="1" s="1"/>
  <c r="M430" i="1"/>
  <c r="N430" i="1" s="1"/>
  <c r="O430" i="1" s="1"/>
  <c r="P430" i="1"/>
  <c r="Q430" i="1" s="1"/>
  <c r="R430" i="1" s="1"/>
  <c r="P439" i="1"/>
  <c r="Q439" i="1" s="1"/>
  <c r="R439" i="1" s="1"/>
  <c r="M439" i="1"/>
  <c r="N439" i="1" s="1"/>
  <c r="O439" i="1" s="1"/>
  <c r="P354" i="1"/>
  <c r="Q354" i="1" s="1"/>
  <c r="R354" i="1" s="1"/>
  <c r="M354" i="1"/>
  <c r="N354" i="1" s="1"/>
  <c r="O354" i="1" s="1"/>
  <c r="P365" i="1"/>
  <c r="Q365" i="1" s="1"/>
  <c r="R365" i="1" s="1"/>
  <c r="M365" i="1"/>
  <c r="N365" i="1" s="1"/>
  <c r="O365" i="1" s="1"/>
  <c r="P368" i="1"/>
  <c r="Q368" i="1" s="1"/>
  <c r="R368" i="1" s="1"/>
  <c r="M368" i="1"/>
  <c r="N368" i="1" s="1"/>
  <c r="O368" i="1" s="1"/>
  <c r="I284" i="1"/>
  <c r="L284" i="1" s="1"/>
  <c r="L288" i="1"/>
  <c r="I314" i="1"/>
  <c r="L314" i="1" s="1"/>
  <c r="P327" i="1"/>
  <c r="Q327" i="1" s="1"/>
  <c r="R327" i="1" s="1"/>
  <c r="P385" i="1"/>
  <c r="Q385" i="1" s="1"/>
  <c r="R385" i="1" s="1"/>
  <c r="M385" i="1"/>
  <c r="N385" i="1" s="1"/>
  <c r="O385" i="1" s="1"/>
  <c r="L273" i="1"/>
  <c r="P363" i="1"/>
  <c r="Q363" i="1" s="1"/>
  <c r="R363" i="1" s="1"/>
  <c r="M363" i="1"/>
  <c r="N363" i="1" s="1"/>
  <c r="O363" i="1" s="1"/>
  <c r="P374" i="1"/>
  <c r="Q374" i="1" s="1"/>
  <c r="R374" i="1" s="1"/>
  <c r="M374" i="1"/>
  <c r="N374" i="1" s="1"/>
  <c r="O374" i="1" s="1"/>
  <c r="P392" i="1"/>
  <c r="Q392" i="1" s="1"/>
  <c r="R392" i="1" s="1"/>
  <c r="M392" i="1"/>
  <c r="N392" i="1" s="1"/>
  <c r="O392" i="1" s="1"/>
  <c r="M415" i="1"/>
  <c r="N415" i="1" s="1"/>
  <c r="O415" i="1" s="1"/>
  <c r="P425" i="1"/>
  <c r="Q425" i="1" s="1"/>
  <c r="R425" i="1" s="1"/>
  <c r="M425" i="1"/>
  <c r="N425" i="1" s="1"/>
  <c r="O425" i="1" s="1"/>
  <c r="P428" i="1"/>
  <c r="Q428" i="1" s="1"/>
  <c r="R428" i="1" s="1"/>
  <c r="M428" i="1"/>
  <c r="N428" i="1" s="1"/>
  <c r="O428" i="1" s="1"/>
  <c r="M357" i="1"/>
  <c r="N357" i="1" s="1"/>
  <c r="O357" i="1" s="1"/>
  <c r="P357" i="1"/>
  <c r="Q357" i="1" s="1"/>
  <c r="R357" i="1" s="1"/>
  <c r="M379" i="1"/>
  <c r="N379" i="1" s="1"/>
  <c r="O379" i="1" s="1"/>
  <c r="P401" i="1"/>
  <c r="Q401" i="1" s="1"/>
  <c r="R401" i="1" s="1"/>
  <c r="M401" i="1"/>
  <c r="N401" i="1" s="1"/>
  <c r="O401" i="1" s="1"/>
  <c r="L434" i="1"/>
  <c r="P437" i="1"/>
  <c r="Q437" i="1" s="1"/>
  <c r="R437" i="1" s="1"/>
  <c r="M437" i="1"/>
  <c r="N437" i="1" s="1"/>
  <c r="O437" i="1" s="1"/>
  <c r="L299" i="1"/>
  <c r="P312" i="1"/>
  <c r="Q312" i="1" s="1"/>
  <c r="R312" i="1" s="1"/>
  <c r="L315" i="1"/>
  <c r="I328" i="1"/>
  <c r="L328" i="1" s="1"/>
  <c r="I360" i="1"/>
  <c r="L360" i="1" s="1"/>
  <c r="P389" i="1"/>
  <c r="Q389" i="1" s="1"/>
  <c r="R389" i="1" s="1"/>
  <c r="M389" i="1"/>
  <c r="N389" i="1" s="1"/>
  <c r="O389" i="1" s="1"/>
  <c r="I398" i="1"/>
  <c r="L398" i="1" s="1"/>
  <c r="L419" i="1"/>
  <c r="I434" i="1"/>
  <c r="P396" i="1"/>
  <c r="Q396" i="1" s="1"/>
  <c r="R396" i="1" s="1"/>
  <c r="M396" i="1"/>
  <c r="N396" i="1" s="1"/>
  <c r="O396" i="1" s="1"/>
  <c r="L399" i="1"/>
  <c r="P432" i="1"/>
  <c r="Q432" i="1" s="1"/>
  <c r="R432" i="1" s="1"/>
  <c r="M432" i="1"/>
  <c r="N432" i="1" s="1"/>
  <c r="O432" i="1" s="1"/>
  <c r="L435" i="1"/>
  <c r="L337" i="1"/>
  <c r="P372" i="1"/>
  <c r="Q372" i="1" s="1"/>
  <c r="R372" i="1" s="1"/>
  <c r="M372" i="1"/>
  <c r="N372" i="1" s="1"/>
  <c r="O372" i="1" s="1"/>
  <c r="P386" i="1"/>
  <c r="Q386" i="1" s="1"/>
  <c r="R386" i="1" s="1"/>
  <c r="M386" i="1"/>
  <c r="N386" i="1" s="1"/>
  <c r="O386" i="1" s="1"/>
  <c r="P409" i="1"/>
  <c r="Q409" i="1" s="1"/>
  <c r="R409" i="1" s="1"/>
  <c r="M409" i="1"/>
  <c r="N409" i="1" s="1"/>
  <c r="O409" i="1" s="1"/>
  <c r="P422" i="1"/>
  <c r="Q422" i="1" s="1"/>
  <c r="R422" i="1" s="1"/>
  <c r="M422" i="1"/>
  <c r="N422" i="1" s="1"/>
  <c r="O422" i="1" s="1"/>
  <c r="P445" i="1"/>
  <c r="Q445" i="1" s="1"/>
  <c r="R445" i="1" s="1"/>
  <c r="M445" i="1"/>
  <c r="N445" i="1" s="1"/>
  <c r="O445" i="1" s="1"/>
  <c r="L335" i="1"/>
  <c r="L344" i="1"/>
  <c r="L349" i="1"/>
  <c r="L361" i="1"/>
  <c r="M332" i="1"/>
  <c r="N332" i="1" s="1"/>
  <c r="O332" i="1" s="1"/>
  <c r="P370" i="1"/>
  <c r="Q370" i="1" s="1"/>
  <c r="R370" i="1" s="1"/>
  <c r="M380" i="1"/>
  <c r="N380" i="1" s="1"/>
  <c r="O380" i="1" s="1"/>
  <c r="L384" i="1"/>
  <c r="L387" i="1"/>
  <c r="L393" i="1"/>
  <c r="M416" i="1"/>
  <c r="N416" i="1" s="1"/>
  <c r="O416" i="1" s="1"/>
  <c r="L420" i="1"/>
  <c r="L423" i="1"/>
  <c r="L429" i="1"/>
  <c r="L369" i="1"/>
  <c r="P397" i="1"/>
  <c r="Q397" i="1" s="1"/>
  <c r="R397" i="1" s="1"/>
  <c r="M397" i="1"/>
  <c r="N397" i="1" s="1"/>
  <c r="O397" i="1" s="1"/>
  <c r="P405" i="1"/>
  <c r="Q405" i="1" s="1"/>
  <c r="R405" i="1" s="1"/>
  <c r="P407" i="1"/>
  <c r="Q407" i="1" s="1"/>
  <c r="R407" i="1" s="1"/>
  <c r="P410" i="1"/>
  <c r="Q410" i="1" s="1"/>
  <c r="R410" i="1" s="1"/>
  <c r="M410" i="1"/>
  <c r="N410" i="1" s="1"/>
  <c r="O410" i="1" s="1"/>
  <c r="P433" i="1"/>
  <c r="Q433" i="1" s="1"/>
  <c r="R433" i="1" s="1"/>
  <c r="M433" i="1"/>
  <c r="N433" i="1" s="1"/>
  <c r="O433" i="1" s="1"/>
  <c r="L440" i="1"/>
  <c r="P441" i="1"/>
  <c r="Q441" i="1" s="1"/>
  <c r="R441" i="1" s="1"/>
  <c r="P443" i="1"/>
  <c r="Q443" i="1" s="1"/>
  <c r="R443" i="1" s="1"/>
  <c r="L446" i="1"/>
  <c r="P347" i="1"/>
  <c r="Q347" i="1" s="1"/>
  <c r="R347" i="1" s="1"/>
  <c r="P359" i="1"/>
  <c r="Q359" i="1" s="1"/>
  <c r="R359" i="1" s="1"/>
  <c r="L373" i="1"/>
  <c r="L325" i="1"/>
  <c r="L371" i="1"/>
  <c r="M375" i="1"/>
  <c r="N375" i="1" s="1"/>
  <c r="O375" i="1" s="1"/>
  <c r="M377" i="1"/>
  <c r="N377" i="1" s="1"/>
  <c r="O377" i="1" s="1"/>
  <c r="P382" i="1"/>
  <c r="Q382" i="1" s="1"/>
  <c r="R382" i="1" s="1"/>
  <c r="L406" i="1"/>
  <c r="P418" i="1"/>
  <c r="Q418" i="1" s="1"/>
  <c r="R418" i="1" s="1"/>
  <c r="L442" i="1"/>
  <c r="P360" i="1" l="1"/>
  <c r="Q360" i="1" s="1"/>
  <c r="R360" i="1" s="1"/>
  <c r="M360" i="1"/>
  <c r="N360" i="1" s="1"/>
  <c r="O360" i="1" s="1"/>
  <c r="P55" i="1"/>
  <c r="Q55" i="1" s="1"/>
  <c r="R55" i="1" s="1"/>
  <c r="M55" i="1"/>
  <c r="N55" i="1" s="1"/>
  <c r="O55" i="1" s="1"/>
  <c r="P328" i="1"/>
  <c r="Q328" i="1" s="1"/>
  <c r="R328" i="1" s="1"/>
  <c r="M328" i="1"/>
  <c r="N328" i="1" s="1"/>
  <c r="O328" i="1" s="1"/>
  <c r="P221" i="1"/>
  <c r="Q221" i="1" s="1"/>
  <c r="R221" i="1" s="1"/>
  <c r="M221" i="1"/>
  <c r="N221" i="1" s="1"/>
  <c r="O221" i="1" s="1"/>
  <c r="M145" i="1"/>
  <c r="N145" i="1" s="1"/>
  <c r="O145" i="1" s="1"/>
  <c r="P145" i="1"/>
  <c r="Q145" i="1" s="1"/>
  <c r="R145" i="1" s="1"/>
  <c r="P265" i="1"/>
  <c r="Q265" i="1" s="1"/>
  <c r="R265" i="1" s="1"/>
  <c r="M265" i="1"/>
  <c r="N265" i="1" s="1"/>
  <c r="O265" i="1" s="1"/>
  <c r="P314" i="1"/>
  <c r="Q314" i="1" s="1"/>
  <c r="R314" i="1" s="1"/>
  <c r="M314" i="1"/>
  <c r="N314" i="1" s="1"/>
  <c r="O314" i="1" s="1"/>
  <c r="P398" i="1"/>
  <c r="Q398" i="1" s="1"/>
  <c r="R398" i="1" s="1"/>
  <c r="M398" i="1"/>
  <c r="N398" i="1" s="1"/>
  <c r="O398" i="1" s="1"/>
  <c r="P202" i="1"/>
  <c r="Q202" i="1" s="1"/>
  <c r="R202" i="1" s="1"/>
  <c r="M202" i="1"/>
  <c r="N202" i="1" s="1"/>
  <c r="O202" i="1" s="1"/>
  <c r="M417" i="1"/>
  <c r="N417" i="1" s="1"/>
  <c r="O417" i="1" s="1"/>
  <c r="P417" i="1"/>
  <c r="Q417" i="1" s="1"/>
  <c r="R417" i="1" s="1"/>
  <c r="P183" i="1"/>
  <c r="Q183" i="1" s="1"/>
  <c r="R183" i="1" s="1"/>
  <c r="M183" i="1"/>
  <c r="N183" i="1" s="1"/>
  <c r="O183" i="1" s="1"/>
  <c r="M50" i="1"/>
  <c r="N50" i="1" s="1"/>
  <c r="O50" i="1" s="1"/>
  <c r="P50" i="1"/>
  <c r="Q50" i="1" s="1"/>
  <c r="R50" i="1" s="1"/>
  <c r="P238" i="1"/>
  <c r="Q238" i="1" s="1"/>
  <c r="R238" i="1" s="1"/>
  <c r="M238" i="1"/>
  <c r="N238" i="1" s="1"/>
  <c r="O238" i="1" s="1"/>
  <c r="P114" i="1"/>
  <c r="Q114" i="1" s="1"/>
  <c r="R114" i="1" s="1"/>
  <c r="M114" i="1"/>
  <c r="N114" i="1" s="1"/>
  <c r="O114" i="1" s="1"/>
  <c r="P2" i="1"/>
  <c r="Q2" i="1" s="1"/>
  <c r="R2" i="1" s="1"/>
  <c r="M2" i="1"/>
  <c r="N2" i="1" s="1"/>
  <c r="O2" i="1" s="1"/>
  <c r="M371" i="1"/>
  <c r="N371" i="1" s="1"/>
  <c r="O371" i="1" s="1"/>
  <c r="P371" i="1"/>
  <c r="Q371" i="1" s="1"/>
  <c r="R371" i="1" s="1"/>
  <c r="M210" i="1"/>
  <c r="N210" i="1" s="1"/>
  <c r="O210" i="1" s="1"/>
  <c r="P210" i="1"/>
  <c r="Q210" i="1" s="1"/>
  <c r="R210" i="1" s="1"/>
  <c r="P434" i="1"/>
  <c r="Q434" i="1" s="1"/>
  <c r="R434" i="1" s="1"/>
  <c r="M434" i="1"/>
  <c r="N434" i="1" s="1"/>
  <c r="O434" i="1" s="1"/>
  <c r="M284" i="1"/>
  <c r="N284" i="1" s="1"/>
  <c r="O284" i="1" s="1"/>
  <c r="P284" i="1"/>
  <c r="Q284" i="1" s="1"/>
  <c r="R284" i="1" s="1"/>
  <c r="M222" i="1"/>
  <c r="N222" i="1" s="1"/>
  <c r="O222" i="1" s="1"/>
  <c r="P222" i="1"/>
  <c r="Q222" i="1" s="1"/>
  <c r="R222" i="1" s="1"/>
  <c r="P249" i="1"/>
  <c r="Q249" i="1" s="1"/>
  <c r="R249" i="1" s="1"/>
  <c r="M249" i="1"/>
  <c r="N249" i="1" s="1"/>
  <c r="O249" i="1" s="1"/>
  <c r="P209" i="1"/>
  <c r="Q209" i="1" s="1"/>
  <c r="R209" i="1" s="1"/>
  <c r="M209" i="1"/>
  <c r="N209" i="1" s="1"/>
  <c r="O209" i="1" s="1"/>
  <c r="M170" i="1"/>
  <c r="N170" i="1" s="1"/>
  <c r="O170" i="1" s="1"/>
  <c r="P170" i="1"/>
  <c r="Q170" i="1" s="1"/>
  <c r="R170" i="1" s="1"/>
  <c r="M132" i="1"/>
  <c r="N132" i="1" s="1"/>
  <c r="O132" i="1" s="1"/>
  <c r="P132" i="1"/>
  <c r="Q132" i="1" s="1"/>
  <c r="R132" i="1" s="1"/>
  <c r="P161" i="1"/>
  <c r="Q161" i="1" s="1"/>
  <c r="R161" i="1" s="1"/>
  <c r="M161" i="1"/>
  <c r="N161" i="1" s="1"/>
  <c r="O161" i="1" s="1"/>
  <c r="M100" i="1"/>
  <c r="N100" i="1" s="1"/>
  <c r="O100" i="1" s="1"/>
  <c r="P100" i="1"/>
  <c r="Q100" i="1" s="1"/>
  <c r="R100" i="1" s="1"/>
  <c r="M39" i="1"/>
  <c r="N39" i="1" s="1"/>
  <c r="O39" i="1" s="1"/>
  <c r="P39" i="1"/>
  <c r="Q39" i="1" s="1"/>
  <c r="R39" i="1" s="1"/>
  <c r="P387" i="1"/>
  <c r="Q387" i="1" s="1"/>
  <c r="R387" i="1" s="1"/>
  <c r="M387" i="1"/>
  <c r="N387" i="1" s="1"/>
  <c r="O387" i="1" s="1"/>
  <c r="P292" i="1"/>
  <c r="Q292" i="1" s="1"/>
  <c r="R292" i="1" s="1"/>
  <c r="M292" i="1"/>
  <c r="N292" i="1" s="1"/>
  <c r="O292" i="1" s="1"/>
  <c r="P373" i="1"/>
  <c r="Q373" i="1" s="1"/>
  <c r="R373" i="1" s="1"/>
  <c r="M373" i="1"/>
  <c r="N373" i="1" s="1"/>
  <c r="O373" i="1" s="1"/>
  <c r="P109" i="1"/>
  <c r="Q109" i="1" s="1"/>
  <c r="R109" i="1" s="1"/>
  <c r="M109" i="1"/>
  <c r="N109" i="1" s="1"/>
  <c r="O109" i="1" s="1"/>
  <c r="P80" i="1"/>
  <c r="Q80" i="1" s="1"/>
  <c r="R80" i="1" s="1"/>
  <c r="M80" i="1"/>
  <c r="N80" i="1" s="1"/>
  <c r="O80" i="1" s="1"/>
  <c r="P348" i="1"/>
  <c r="Q348" i="1" s="1"/>
  <c r="R348" i="1" s="1"/>
  <c r="M348" i="1"/>
  <c r="N348" i="1" s="1"/>
  <c r="O348" i="1" s="1"/>
  <c r="P361" i="1"/>
  <c r="Q361" i="1" s="1"/>
  <c r="R361" i="1" s="1"/>
  <c r="M361" i="1"/>
  <c r="N361" i="1" s="1"/>
  <c r="O361" i="1" s="1"/>
  <c r="M345" i="1"/>
  <c r="N345" i="1" s="1"/>
  <c r="O345" i="1" s="1"/>
  <c r="P345" i="1"/>
  <c r="Q345" i="1" s="1"/>
  <c r="R345" i="1" s="1"/>
  <c r="P237" i="1"/>
  <c r="Q237" i="1" s="1"/>
  <c r="R237" i="1" s="1"/>
  <c r="M237" i="1"/>
  <c r="N237" i="1" s="1"/>
  <c r="O237" i="1" s="1"/>
  <c r="P131" i="1"/>
  <c r="Q131" i="1" s="1"/>
  <c r="R131" i="1" s="1"/>
  <c r="M131" i="1"/>
  <c r="N131" i="1" s="1"/>
  <c r="O131" i="1" s="1"/>
  <c r="M167" i="1"/>
  <c r="N167" i="1" s="1"/>
  <c r="O167" i="1" s="1"/>
  <c r="P167" i="1"/>
  <c r="Q167" i="1" s="1"/>
  <c r="R167" i="1" s="1"/>
  <c r="P135" i="1"/>
  <c r="Q135" i="1" s="1"/>
  <c r="R135" i="1" s="1"/>
  <c r="M135" i="1"/>
  <c r="N135" i="1" s="1"/>
  <c r="O135" i="1" s="1"/>
  <c r="P97" i="1"/>
  <c r="Q97" i="1" s="1"/>
  <c r="R97" i="1" s="1"/>
  <c r="M97" i="1"/>
  <c r="N97" i="1" s="1"/>
  <c r="O97" i="1" s="1"/>
  <c r="P41" i="1"/>
  <c r="Q41" i="1" s="1"/>
  <c r="R41" i="1" s="1"/>
  <c r="M41" i="1"/>
  <c r="N41" i="1" s="1"/>
  <c r="O41" i="1" s="1"/>
  <c r="M63" i="1"/>
  <c r="N63" i="1" s="1"/>
  <c r="O63" i="1" s="1"/>
  <c r="P63" i="1"/>
  <c r="Q63" i="1" s="1"/>
  <c r="R63" i="1" s="1"/>
  <c r="P408" i="1"/>
  <c r="Q408" i="1" s="1"/>
  <c r="R408" i="1" s="1"/>
  <c r="M408" i="1"/>
  <c r="N408" i="1" s="1"/>
  <c r="O408" i="1" s="1"/>
  <c r="M419" i="1"/>
  <c r="N419" i="1" s="1"/>
  <c r="O419" i="1" s="1"/>
  <c r="P419" i="1"/>
  <c r="Q419" i="1" s="1"/>
  <c r="R419" i="1" s="1"/>
  <c r="M383" i="1"/>
  <c r="N383" i="1" s="1"/>
  <c r="O383" i="1" s="1"/>
  <c r="P383" i="1"/>
  <c r="Q383" i="1" s="1"/>
  <c r="R383" i="1" s="1"/>
  <c r="P147" i="1"/>
  <c r="Q147" i="1" s="1"/>
  <c r="R147" i="1" s="1"/>
  <c r="M147" i="1"/>
  <c r="N147" i="1" s="1"/>
  <c r="O147" i="1" s="1"/>
  <c r="P159" i="1"/>
  <c r="Q159" i="1" s="1"/>
  <c r="R159" i="1" s="1"/>
  <c r="M159" i="1"/>
  <c r="N159" i="1" s="1"/>
  <c r="O159" i="1" s="1"/>
  <c r="M358" i="1"/>
  <c r="N358" i="1" s="1"/>
  <c r="O358" i="1" s="1"/>
  <c r="P358" i="1"/>
  <c r="Q358" i="1" s="1"/>
  <c r="R358" i="1" s="1"/>
  <c r="P446" i="1"/>
  <c r="Q446" i="1" s="1"/>
  <c r="R446" i="1" s="1"/>
  <c r="M446" i="1"/>
  <c r="N446" i="1" s="1"/>
  <c r="O446" i="1" s="1"/>
  <c r="M369" i="1"/>
  <c r="N369" i="1" s="1"/>
  <c r="O369" i="1" s="1"/>
  <c r="P369" i="1"/>
  <c r="Q369" i="1" s="1"/>
  <c r="R369" i="1" s="1"/>
  <c r="P349" i="1"/>
  <c r="Q349" i="1" s="1"/>
  <c r="R349" i="1" s="1"/>
  <c r="M349" i="1"/>
  <c r="N349" i="1" s="1"/>
  <c r="O349" i="1" s="1"/>
  <c r="P270" i="1"/>
  <c r="Q270" i="1" s="1"/>
  <c r="R270" i="1" s="1"/>
  <c r="M270" i="1"/>
  <c r="N270" i="1" s="1"/>
  <c r="O270" i="1" s="1"/>
  <c r="P191" i="1"/>
  <c r="Q191" i="1" s="1"/>
  <c r="R191" i="1" s="1"/>
  <c r="M191" i="1"/>
  <c r="N191" i="1" s="1"/>
  <c r="O191" i="1" s="1"/>
  <c r="M211" i="1"/>
  <c r="N211" i="1" s="1"/>
  <c r="O211" i="1" s="1"/>
  <c r="P211" i="1"/>
  <c r="Q211" i="1" s="1"/>
  <c r="R211" i="1" s="1"/>
  <c r="M99" i="1"/>
  <c r="N99" i="1" s="1"/>
  <c r="O99" i="1" s="1"/>
  <c r="P99" i="1"/>
  <c r="Q99" i="1" s="1"/>
  <c r="R99" i="1" s="1"/>
  <c r="M88" i="1"/>
  <c r="N88" i="1" s="1"/>
  <c r="O88" i="1" s="1"/>
  <c r="P88" i="1"/>
  <c r="Q88" i="1" s="1"/>
  <c r="R88" i="1" s="1"/>
  <c r="P43" i="1"/>
  <c r="Q43" i="1" s="1"/>
  <c r="R43" i="1" s="1"/>
  <c r="M43" i="1"/>
  <c r="N43" i="1" s="1"/>
  <c r="O43" i="1" s="1"/>
  <c r="P266" i="1"/>
  <c r="Q266" i="1" s="1"/>
  <c r="R266" i="1" s="1"/>
  <c r="M266" i="1"/>
  <c r="N266" i="1" s="1"/>
  <c r="O266" i="1" s="1"/>
  <c r="M274" i="1"/>
  <c r="N274" i="1" s="1"/>
  <c r="O274" i="1" s="1"/>
  <c r="P274" i="1"/>
  <c r="Q274" i="1" s="1"/>
  <c r="R274" i="1" s="1"/>
  <c r="M192" i="1"/>
  <c r="N192" i="1" s="1"/>
  <c r="O192" i="1" s="1"/>
  <c r="P192" i="1"/>
  <c r="Q192" i="1" s="1"/>
  <c r="R192" i="1" s="1"/>
  <c r="M442" i="1"/>
  <c r="N442" i="1" s="1"/>
  <c r="O442" i="1" s="1"/>
  <c r="P442" i="1"/>
  <c r="Q442" i="1" s="1"/>
  <c r="R442" i="1" s="1"/>
  <c r="M429" i="1"/>
  <c r="N429" i="1" s="1"/>
  <c r="O429" i="1" s="1"/>
  <c r="P429" i="1"/>
  <c r="Q429" i="1" s="1"/>
  <c r="R429" i="1" s="1"/>
  <c r="M298" i="1"/>
  <c r="N298" i="1" s="1"/>
  <c r="O298" i="1" s="1"/>
  <c r="P298" i="1"/>
  <c r="Q298" i="1" s="1"/>
  <c r="R298" i="1" s="1"/>
  <c r="P126" i="1"/>
  <c r="Q126" i="1" s="1"/>
  <c r="R126" i="1" s="1"/>
  <c r="M126" i="1"/>
  <c r="N126" i="1" s="1"/>
  <c r="O126" i="1" s="1"/>
  <c r="M87" i="1"/>
  <c r="N87" i="1" s="1"/>
  <c r="O87" i="1" s="1"/>
  <c r="P87" i="1"/>
  <c r="Q87" i="1" s="1"/>
  <c r="R87" i="1" s="1"/>
  <c r="M123" i="1"/>
  <c r="N123" i="1" s="1"/>
  <c r="O123" i="1" s="1"/>
  <c r="P123" i="1"/>
  <c r="Q123" i="1" s="1"/>
  <c r="R123" i="1" s="1"/>
  <c r="P85" i="1"/>
  <c r="Q85" i="1" s="1"/>
  <c r="R85" i="1" s="1"/>
  <c r="M85" i="1"/>
  <c r="N85" i="1" s="1"/>
  <c r="O85" i="1" s="1"/>
  <c r="P224" i="1"/>
  <c r="Q224" i="1" s="1"/>
  <c r="R224" i="1" s="1"/>
  <c r="M224" i="1"/>
  <c r="N224" i="1" s="1"/>
  <c r="O224" i="1" s="1"/>
  <c r="P184" i="1"/>
  <c r="Q184" i="1" s="1"/>
  <c r="R184" i="1" s="1"/>
  <c r="M184" i="1"/>
  <c r="N184" i="1" s="1"/>
  <c r="O184" i="1" s="1"/>
  <c r="M344" i="1"/>
  <c r="N344" i="1" s="1"/>
  <c r="O344" i="1" s="1"/>
  <c r="P344" i="1"/>
  <c r="Q344" i="1" s="1"/>
  <c r="R344" i="1" s="1"/>
  <c r="P423" i="1"/>
  <c r="Q423" i="1" s="1"/>
  <c r="R423" i="1" s="1"/>
  <c r="M423" i="1"/>
  <c r="N423" i="1" s="1"/>
  <c r="O423" i="1" s="1"/>
  <c r="M335" i="1"/>
  <c r="N335" i="1" s="1"/>
  <c r="O335" i="1" s="1"/>
  <c r="P335" i="1"/>
  <c r="Q335" i="1" s="1"/>
  <c r="R335" i="1" s="1"/>
  <c r="P435" i="1"/>
  <c r="Q435" i="1" s="1"/>
  <c r="R435" i="1" s="1"/>
  <c r="M435" i="1"/>
  <c r="N435" i="1" s="1"/>
  <c r="O435" i="1" s="1"/>
  <c r="P324" i="1"/>
  <c r="Q324" i="1" s="1"/>
  <c r="R324" i="1" s="1"/>
  <c r="M324" i="1"/>
  <c r="N324" i="1" s="1"/>
  <c r="O324" i="1" s="1"/>
  <c r="M248" i="1"/>
  <c r="N248" i="1" s="1"/>
  <c r="O248" i="1" s="1"/>
  <c r="P248" i="1"/>
  <c r="Q248" i="1" s="1"/>
  <c r="R248" i="1" s="1"/>
  <c r="P316" i="1"/>
  <c r="Q316" i="1" s="1"/>
  <c r="R316" i="1" s="1"/>
  <c r="M316" i="1"/>
  <c r="N316" i="1" s="1"/>
  <c r="O316" i="1" s="1"/>
  <c r="M259" i="1"/>
  <c r="N259" i="1" s="1"/>
  <c r="O259" i="1" s="1"/>
  <c r="P259" i="1"/>
  <c r="Q259" i="1" s="1"/>
  <c r="R259" i="1" s="1"/>
  <c r="M98" i="1"/>
  <c r="N98" i="1" s="1"/>
  <c r="O98" i="1" s="1"/>
  <c r="P98" i="1"/>
  <c r="Q98" i="1" s="1"/>
  <c r="R98" i="1" s="1"/>
  <c r="P113" i="1"/>
  <c r="Q113" i="1" s="1"/>
  <c r="R113" i="1" s="1"/>
  <c r="M113" i="1"/>
  <c r="N113" i="1" s="1"/>
  <c r="O113" i="1" s="1"/>
  <c r="M112" i="1"/>
  <c r="N112" i="1" s="1"/>
  <c r="O112" i="1" s="1"/>
  <c r="P112" i="1"/>
  <c r="Q112" i="1" s="1"/>
  <c r="R112" i="1" s="1"/>
  <c r="P198" i="1"/>
  <c r="Q198" i="1" s="1"/>
  <c r="R198" i="1" s="1"/>
  <c r="M198" i="1"/>
  <c r="N198" i="1" s="1"/>
  <c r="O198" i="1" s="1"/>
  <c r="P384" i="1"/>
  <c r="Q384" i="1" s="1"/>
  <c r="R384" i="1" s="1"/>
  <c r="M384" i="1"/>
  <c r="N384" i="1" s="1"/>
  <c r="O384" i="1" s="1"/>
  <c r="M300" i="1"/>
  <c r="N300" i="1" s="1"/>
  <c r="O300" i="1" s="1"/>
  <c r="P300" i="1"/>
  <c r="Q300" i="1" s="1"/>
  <c r="R300" i="1" s="1"/>
  <c r="M288" i="1"/>
  <c r="N288" i="1" s="1"/>
  <c r="O288" i="1" s="1"/>
  <c r="P288" i="1"/>
  <c r="Q288" i="1" s="1"/>
  <c r="R288" i="1" s="1"/>
  <c r="P257" i="1"/>
  <c r="Q257" i="1" s="1"/>
  <c r="R257" i="1" s="1"/>
  <c r="M257" i="1"/>
  <c r="N257" i="1" s="1"/>
  <c r="O257" i="1" s="1"/>
  <c r="M406" i="1"/>
  <c r="N406" i="1" s="1"/>
  <c r="O406" i="1" s="1"/>
  <c r="P406" i="1"/>
  <c r="Q406" i="1" s="1"/>
  <c r="R406" i="1" s="1"/>
  <c r="M440" i="1"/>
  <c r="N440" i="1" s="1"/>
  <c r="O440" i="1" s="1"/>
  <c r="P440" i="1"/>
  <c r="Q440" i="1" s="1"/>
  <c r="R440" i="1" s="1"/>
  <c r="P420" i="1"/>
  <c r="Q420" i="1" s="1"/>
  <c r="R420" i="1" s="1"/>
  <c r="M420" i="1"/>
  <c r="N420" i="1" s="1"/>
  <c r="O420" i="1" s="1"/>
  <c r="P315" i="1"/>
  <c r="Q315" i="1" s="1"/>
  <c r="R315" i="1" s="1"/>
  <c r="M315" i="1"/>
  <c r="N315" i="1" s="1"/>
  <c r="O315" i="1" s="1"/>
  <c r="P245" i="1"/>
  <c r="Q245" i="1" s="1"/>
  <c r="R245" i="1" s="1"/>
  <c r="M245" i="1"/>
  <c r="N245" i="1" s="1"/>
  <c r="O245" i="1" s="1"/>
  <c r="P240" i="1"/>
  <c r="Q240" i="1" s="1"/>
  <c r="R240" i="1" s="1"/>
  <c r="M240" i="1"/>
  <c r="N240" i="1" s="1"/>
  <c r="O240" i="1" s="1"/>
  <c r="M158" i="1"/>
  <c r="N158" i="1" s="1"/>
  <c r="O158" i="1" s="1"/>
  <c r="P158" i="1"/>
  <c r="Q158" i="1" s="1"/>
  <c r="R158" i="1" s="1"/>
  <c r="M86" i="1"/>
  <c r="N86" i="1" s="1"/>
  <c r="O86" i="1" s="1"/>
  <c r="P86" i="1"/>
  <c r="Q86" i="1" s="1"/>
  <c r="R86" i="1" s="1"/>
  <c r="P73" i="1"/>
  <c r="Q73" i="1" s="1"/>
  <c r="R73" i="1" s="1"/>
  <c r="M73" i="1"/>
  <c r="N73" i="1" s="1"/>
  <c r="O73" i="1" s="1"/>
  <c r="P273" i="1"/>
  <c r="Q273" i="1" s="1"/>
  <c r="R273" i="1" s="1"/>
  <c r="M273" i="1"/>
  <c r="N273" i="1" s="1"/>
  <c r="O273" i="1" s="1"/>
  <c r="P444" i="1"/>
  <c r="Q444" i="1" s="1"/>
  <c r="R444" i="1" s="1"/>
  <c r="M444" i="1"/>
  <c r="N444" i="1" s="1"/>
  <c r="O444" i="1" s="1"/>
  <c r="M236" i="1"/>
  <c r="N236" i="1" s="1"/>
  <c r="O236" i="1" s="1"/>
  <c r="P236" i="1"/>
  <c r="Q236" i="1" s="1"/>
  <c r="R236" i="1" s="1"/>
  <c r="P155" i="1"/>
  <c r="Q155" i="1" s="1"/>
  <c r="R155" i="1" s="1"/>
  <c r="M155" i="1"/>
  <c r="N155" i="1" s="1"/>
  <c r="O155" i="1" s="1"/>
  <c r="M74" i="1"/>
  <c r="N74" i="1" s="1"/>
  <c r="O74" i="1" s="1"/>
  <c r="P74" i="1"/>
  <c r="Q74" i="1" s="1"/>
  <c r="R74" i="1" s="1"/>
  <c r="P61" i="1"/>
  <c r="Q61" i="1" s="1"/>
  <c r="R61" i="1" s="1"/>
  <c r="M61" i="1"/>
  <c r="N61" i="1" s="1"/>
  <c r="O61" i="1" s="1"/>
  <c r="M286" i="1"/>
  <c r="N286" i="1" s="1"/>
  <c r="O286" i="1" s="1"/>
  <c r="P286" i="1"/>
  <c r="Q286" i="1" s="1"/>
  <c r="R286" i="1" s="1"/>
  <c r="P239" i="1"/>
  <c r="Q239" i="1" s="1"/>
  <c r="R239" i="1" s="1"/>
  <c r="M239" i="1"/>
  <c r="N239" i="1" s="1"/>
  <c r="O239" i="1" s="1"/>
  <c r="P301" i="1"/>
  <c r="Q301" i="1" s="1"/>
  <c r="R301" i="1" s="1"/>
  <c r="M301" i="1"/>
  <c r="N301" i="1" s="1"/>
  <c r="O301" i="1" s="1"/>
  <c r="P325" i="1"/>
  <c r="Q325" i="1" s="1"/>
  <c r="R325" i="1" s="1"/>
  <c r="M325" i="1"/>
  <c r="N325" i="1" s="1"/>
  <c r="O325" i="1" s="1"/>
  <c r="M264" i="1"/>
  <c r="N264" i="1" s="1"/>
  <c r="O264" i="1" s="1"/>
  <c r="P264" i="1"/>
  <c r="Q264" i="1" s="1"/>
  <c r="R264" i="1" s="1"/>
  <c r="P337" i="1"/>
  <c r="Q337" i="1" s="1"/>
  <c r="R337" i="1" s="1"/>
  <c r="M337" i="1"/>
  <c r="N337" i="1" s="1"/>
  <c r="O337" i="1" s="1"/>
  <c r="P411" i="1"/>
  <c r="Q411" i="1" s="1"/>
  <c r="R411" i="1" s="1"/>
  <c r="M411" i="1"/>
  <c r="N411" i="1" s="1"/>
  <c r="O411" i="1" s="1"/>
  <c r="M393" i="1"/>
  <c r="N393" i="1" s="1"/>
  <c r="O393" i="1" s="1"/>
  <c r="P393" i="1"/>
  <c r="Q393" i="1" s="1"/>
  <c r="R393" i="1" s="1"/>
  <c r="P399" i="1"/>
  <c r="Q399" i="1" s="1"/>
  <c r="R399" i="1" s="1"/>
  <c r="M399" i="1"/>
  <c r="N399" i="1" s="1"/>
  <c r="O399" i="1" s="1"/>
  <c r="M299" i="1"/>
  <c r="N299" i="1" s="1"/>
  <c r="O299" i="1" s="1"/>
  <c r="P299" i="1"/>
  <c r="Q299" i="1" s="1"/>
  <c r="R299" i="1" s="1"/>
  <c r="P233" i="1"/>
  <c r="Q233" i="1" s="1"/>
  <c r="R233" i="1" s="1"/>
  <c r="M233" i="1"/>
  <c r="N233" i="1" s="1"/>
  <c r="O233" i="1" s="1"/>
  <c r="P250" i="1"/>
  <c r="Q250" i="1" s="1"/>
  <c r="R250" i="1" s="1"/>
  <c r="M250" i="1"/>
  <c r="N250" i="1" s="1"/>
  <c r="O250" i="1" s="1"/>
  <c r="M62" i="1"/>
  <c r="N62" i="1" s="1"/>
  <c r="O62" i="1" s="1"/>
  <c r="P62" i="1"/>
  <c r="Q62" i="1" s="1"/>
  <c r="R62" i="1" s="1"/>
  <c r="P195" i="1"/>
  <c r="Q195" i="1" s="1"/>
  <c r="R195" i="1" s="1"/>
  <c r="M195" i="1"/>
  <c r="N195" i="1" s="1"/>
  <c r="O195" i="1" s="1"/>
  <c r="M75" i="1"/>
  <c r="N75" i="1" s="1"/>
  <c r="O75" i="1" s="1"/>
  <c r="P75" i="1"/>
  <c r="Q75" i="1" s="1"/>
  <c r="R75" i="1" s="1"/>
</calcChain>
</file>

<file path=xl/sharedStrings.xml><?xml version="1.0" encoding="utf-8"?>
<sst xmlns="http://schemas.openxmlformats.org/spreadsheetml/2006/main" count="32" uniqueCount="32">
  <si>
    <t>하한</t>
  </si>
  <si>
    <t>상한</t>
  </si>
  <si>
    <t>배대지비용</t>
  </si>
  <si>
    <t>카드수수료</t>
  </si>
  <si>
    <t>관부가세</t>
  </si>
  <si>
    <t>부가세</t>
  </si>
  <si>
    <t>더하기마진</t>
  </si>
  <si>
    <t/>
  </si>
  <si>
    <t>마진율 설정값</t>
  </si>
  <si>
    <t>최대 마진율(저가 cap)</t>
  </si>
  <si>
    <t>최소 마진율(고가 floor)</t>
  </si>
  <si>
    <t>고정마진액(원)</t>
  </si>
  <si>
    <t>100만원 이하 평균마진율(검증)</t>
  </si>
  <si>
    <t>전체 445구간 평균마진율(참고)</t>
  </si>
  <si>
    <t>더하기마진 설정값</t>
  </si>
  <si>
    <t>시작금액(최저가, 원)</t>
  </si>
  <si>
    <t>증가율(상승 기울기)</t>
  </si>
  <si>
    <t>상한(최대 고정마진, 원)</t>
  </si>
  <si>
    <t>총마진액(G×B+H)</t>
  </si>
  <si>
    <t>마켓수수료 설정값</t>
  </si>
  <si>
    <t>스토어(스마트스토어) 수수료율</t>
  </si>
  <si>
    <t>기타마켓 수수료율</t>
  </si>
  <si>
    <t>기준가(원가+배송비+관부가세+마진)</t>
  </si>
  <si>
    <t>스마트스토어(6%)판매가</t>
  </si>
  <si>
    <t>스마트스토어 총마진액</t>
  </si>
  <si>
    <t>스마트스토어 마진율</t>
  </si>
  <si>
    <t>오픈마켓(13%)판매가</t>
  </si>
  <si>
    <t>오픈마켓 총마진액</t>
  </si>
  <si>
    <t>오픈마켓 마진율</t>
  </si>
  <si>
    <t>곱하기마진</t>
    <phoneticPr fontId="1" type="noConversion"/>
  </si>
  <si>
    <t>부가세 선할인율(상한 기준)</t>
  </si>
  <si>
    <t>※ G열은 올에잇 입력용 계수(정책마진 - 선할인율 K17)이며 실제 마진율이 아님. 실제 마진율은 O열·R열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</si>
</sst>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_(* #,##0_);_(* \(#,##0\);_(* &quot;-&quot;_);_(@_)"/>
  </numFmts>
  <fonts count="9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12"/>
      <color rgb="FF0000FF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i/>
      <sz val="11"/>
      <color rgb="FF80808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9" fontId="3" fillId="0" borderId="0" xfId="0" applyNumberFormat="1" applyFont="1"/>
    <xf numFmtId="3" fontId="3" fillId="0" borderId="0" xfId="0" applyNumberFormat="1" applyFont="1"/>
    <xf numFmtId="176" fontId="0" fillId="0" borderId="0" xfId="0" applyNumberFormat="1"/>
    <xf numFmtId="176" fontId="3" fillId="0" borderId="0" xfId="0" applyNumberFormat="1" applyFont="1"/>
    <xf numFmtId="177" fontId="0" fillId="0" borderId="0" xfId="0" applyNumberFormat="1"/>
    <xf numFmtId="9" fontId="4" fillId="2" borderId="0" xfId="1" applyNumberFormat="1" applyAlignment="1"/>
    <xf numFmtId="0" fontId="0" fillId="0" borderId="0" xfId="0"/>
    <xf numFmtId="0" fontId="2" fillId="0" borderId="0" xfId="0" applyFont="1"/>
    <xf numFmtId="0" fontId="5" fillId="0" borderId="0" xfId="0" applyFont="1"/>
    <xf numFmtId="177" fontId="6" fillId="0" borderId="0" xfId="0" applyNumberFormat="1" applyFont="1"/>
    <xf numFmtId="176" fontId="6" fillId="0" borderId="0" xfId="0" applyNumberFormat="1" applyFont="1"/>
    <xf numFmtId="0" fontId="4" fillId="2" borderId="0" xfId="1" applyAlignment="1"/>
    <xf numFmtId="9" fontId="0" fillId="0" borderId="0" xfId="0" applyNumberFormat="1"/>
    <xf numFmtId="0" fontId="6" fillId="0" borderId="0" xfId="0" applyFont="1"/>
    <xf numFmtId="9" fontId="7" fillId="0" borderId="0" xfId="0" applyNumberFormat="1" applyFont="1"/>
    <xf numFmtId="0" fontId="8" fillId="0" borderId="0" xfId="0" applyFont="1"/>
  </cellXfs>
  <cellStyles count="2">
    <cellStyle name="보통" xfId="1" builtinId="28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3A476B-4AE1-40DA-A495-F2B266B508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9a6b2e-44ba-4796-bdd9-cdbf3c4918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workbookViewId="0">
      <selection activeCell="J26" sqref="J26"/>
    </sheetView>
  </sheetViews>
  <sheetFormatPr defaultRowHeight="17.25" x14ac:dyDescent="0.3"/>
  <cols>
    <col min="1" max="1" width="12" style="7" customWidth="1"/>
    <col min="2" max="2" width="11.5546875" style="7" customWidth="1"/>
    <col min="3" max="3" width="9" style="7" bestFit="1" customWidth="1"/>
    <col min="4" max="4" width="8.88671875" style="7"/>
    <col min="5" max="5" width="10.88671875" style="7" customWidth="1"/>
    <col min="6" max="6" width="9.5546875" style="7" bestFit="1" customWidth="1"/>
    <col min="7" max="7" width="9" style="13" bestFit="1" customWidth="1"/>
    <col min="8" max="8" width="9" style="7" bestFit="1" customWidth="1"/>
    <col min="9" max="9" width="8.88671875" style="7"/>
    <col min="10" max="10" width="28.44140625" style="7" customWidth="1"/>
    <col min="11" max="11" width="8.88671875" style="7"/>
    <col min="12" max="12" width="12.33203125" style="7" customWidth="1"/>
    <col min="13" max="13" width="14.88671875" style="7" customWidth="1"/>
    <col min="14" max="14" width="21" style="7" bestFit="1" customWidth="1"/>
    <col min="15" max="15" width="19" style="7" bestFit="1" customWidth="1"/>
    <col min="16" max="16" width="21" style="7" customWidth="1"/>
    <col min="17" max="17" width="17.109375" style="7" bestFit="1" customWidth="1"/>
    <col min="18" max="18" width="15.109375" style="7" bestFit="1" customWidth="1"/>
    <col min="19" max="16384" width="8.88671875" style="7"/>
  </cols>
  <sheetData>
    <row r="1" spans="1:18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6" t="s">
        <v>29</v>
      </c>
      <c r="H1" s="12" t="s">
        <v>6</v>
      </c>
      <c r="I1" s="7" t="s">
        <v>18</v>
      </c>
      <c r="J1" s="8" t="s">
        <v>8</v>
      </c>
      <c r="L1" s="8" t="s">
        <v>22</v>
      </c>
      <c r="M1" s="8" t="s">
        <v>23</v>
      </c>
      <c r="N1" s="9" t="s">
        <v>24</v>
      </c>
      <c r="O1" s="9" t="s">
        <v>25</v>
      </c>
      <c r="P1" s="8" t="s">
        <v>26</v>
      </c>
      <c r="Q1" s="9" t="s">
        <v>27</v>
      </c>
      <c r="R1" s="9" t="s">
        <v>28</v>
      </c>
    </row>
    <row r="2" spans="1:18" x14ac:dyDescent="0.3">
      <c r="A2" s="7">
        <v>1</v>
      </c>
      <c r="B2" s="7">
        <v>10000</v>
      </c>
      <c r="C2" s="7">
        <v>30000</v>
      </c>
      <c r="D2" s="7" t="s">
        <v>7</v>
      </c>
      <c r="E2" s="7">
        <v>0</v>
      </c>
      <c r="F2" s="7">
        <v>0</v>
      </c>
      <c r="G2" s="13">
        <f>MIN($K$2,MAX($K$3,$K$4/B2+$K$3))-$K$17</f>
        <v>0.24999999999999997</v>
      </c>
      <c r="H2" s="7">
        <f>MIN($K$11,$K$9+$K$10*(B2-$B$2))</f>
        <v>5000</v>
      </c>
      <c r="I2" s="5">
        <f>B2*G2+H2</f>
        <v>7500</v>
      </c>
      <c r="J2" s="7" t="s">
        <v>9</v>
      </c>
      <c r="K2" s="1">
        <v>0.35</v>
      </c>
      <c r="L2" s="5">
        <f>B2+C2+E2+F2+I2</f>
        <v>47500</v>
      </c>
      <c r="M2" s="5">
        <f>L2/(1-$K$14)</f>
        <v>50531.914893617024</v>
      </c>
      <c r="N2" s="10">
        <f>M2*(1-$K$14)-(B2+E2+F2)*(1-$K$17)-C2</f>
        <v>8500</v>
      </c>
      <c r="O2" s="11">
        <f>N2/M2</f>
        <v>0.16821052631578948</v>
      </c>
      <c r="P2" s="5">
        <f>L2/(1-$K$15)</f>
        <v>54597.701149425287</v>
      </c>
      <c r="Q2" s="10">
        <f>P2*(1-$K$15)-(B2+E2+F2)*(1-$K$17)-C2</f>
        <v>8500</v>
      </c>
      <c r="R2" s="11">
        <f>Q2/P2</f>
        <v>0.15568421052631579</v>
      </c>
    </row>
    <row r="3" spans="1:18" x14ac:dyDescent="0.3">
      <c r="A3" s="7">
        <v>10001</v>
      </c>
      <c r="B3" s="7">
        <v>20000</v>
      </c>
      <c r="C3" s="7">
        <v>30000</v>
      </c>
      <c r="E3" s="7">
        <v>0</v>
      </c>
      <c r="F3" s="7">
        <v>0</v>
      </c>
      <c r="G3" s="13">
        <f t="shared" ref="G3:G66" si="0">MIN($K$2,MAX($K$3,$K$4/B3+$K$3))-$K$17</f>
        <v>0.24999999999999997</v>
      </c>
      <c r="H3" s="7">
        <f t="shared" ref="H3:H66" si="1">MIN($K$11,$K$9+$K$10*(B3-$B$2))</f>
        <v>5250</v>
      </c>
      <c r="I3" s="5">
        <f t="shared" ref="I3:I66" si="2">B3*G3+H3</f>
        <v>10250</v>
      </c>
      <c r="J3" s="7" t="s">
        <v>10</v>
      </c>
      <c r="K3" s="1">
        <v>0.12</v>
      </c>
      <c r="L3" s="5">
        <f t="shared" ref="L3:L66" si="3">B3+C3+E3+F3+I3</f>
        <v>60250</v>
      </c>
      <c r="M3" s="5">
        <f t="shared" ref="M3:M66" si="4">L3/(1-$K$14)</f>
        <v>64095.744680851065</v>
      </c>
      <c r="N3" s="10">
        <f t="shared" ref="N3:N66" si="5">M3*(1-$K$14)-(B3+E3+F3)*(1-$K$17)-C3</f>
        <v>12250</v>
      </c>
      <c r="O3" s="11">
        <f t="shared" ref="O3:O66" si="6">N3/M3</f>
        <v>0.19112033195020747</v>
      </c>
      <c r="P3" s="5">
        <f t="shared" ref="P3:P66" si="7">L3/(1-$K$15)</f>
        <v>69252.873563218396</v>
      </c>
      <c r="Q3" s="10">
        <f t="shared" ref="Q3:Q66" si="8">P3*(1-$K$15)-(B3+E3+F3)*(1-$K$17)-C3</f>
        <v>12250.000000000007</v>
      </c>
      <c r="R3" s="11">
        <f t="shared" ref="R3:R66" si="9">Q3/P3</f>
        <v>0.17688796680497934</v>
      </c>
    </row>
    <row r="4" spans="1:18" x14ac:dyDescent="0.3">
      <c r="A4" s="7">
        <v>20001</v>
      </c>
      <c r="B4" s="7">
        <v>30000</v>
      </c>
      <c r="C4" s="7">
        <v>30000</v>
      </c>
      <c r="E4" s="7">
        <v>0</v>
      </c>
      <c r="F4" s="7">
        <v>0</v>
      </c>
      <c r="G4" s="13">
        <f t="shared" si="0"/>
        <v>0.24999999999999997</v>
      </c>
      <c r="H4" s="7">
        <f t="shared" si="1"/>
        <v>5500</v>
      </c>
      <c r="I4" s="5">
        <f t="shared" si="2"/>
        <v>13000</v>
      </c>
      <c r="J4" s="7" t="s">
        <v>11</v>
      </c>
      <c r="K4" s="2">
        <v>13000</v>
      </c>
      <c r="L4" s="5">
        <f t="shared" si="3"/>
        <v>73000</v>
      </c>
      <c r="M4" s="5">
        <f t="shared" si="4"/>
        <v>77659.574468085106</v>
      </c>
      <c r="N4" s="10">
        <f t="shared" si="5"/>
        <v>16000</v>
      </c>
      <c r="O4" s="11">
        <f t="shared" si="6"/>
        <v>0.20602739726027397</v>
      </c>
      <c r="P4" s="5">
        <f t="shared" si="7"/>
        <v>83908.045977011498</v>
      </c>
      <c r="Q4" s="10">
        <f t="shared" si="8"/>
        <v>16000</v>
      </c>
      <c r="R4" s="11">
        <f t="shared" si="9"/>
        <v>0.19068493150684931</v>
      </c>
    </row>
    <row r="5" spans="1:18" x14ac:dyDescent="0.3">
      <c r="A5" s="7">
        <v>30001</v>
      </c>
      <c r="B5" s="7">
        <v>40000</v>
      </c>
      <c r="C5" s="7">
        <v>30000</v>
      </c>
      <c r="E5" s="7">
        <v>0</v>
      </c>
      <c r="F5" s="7">
        <v>0</v>
      </c>
      <c r="G5" s="13">
        <f t="shared" si="0"/>
        <v>0.24999999999999997</v>
      </c>
      <c r="H5" s="7">
        <f t="shared" si="1"/>
        <v>5750</v>
      </c>
      <c r="I5" s="5">
        <f t="shared" si="2"/>
        <v>15749.999999999998</v>
      </c>
      <c r="J5" s="7" t="s">
        <v>12</v>
      </c>
      <c r="K5" s="3">
        <f>AVERAGEIF(B2:B446,"&lt;=1000000",G2:G446)</f>
        <v>8.7243855364997333E-2</v>
      </c>
      <c r="L5" s="5">
        <f t="shared" si="3"/>
        <v>85750</v>
      </c>
      <c r="M5" s="5">
        <f t="shared" si="4"/>
        <v>91223.404255319154</v>
      </c>
      <c r="N5" s="10">
        <f t="shared" si="5"/>
        <v>19750</v>
      </c>
      <c r="O5" s="11">
        <f t="shared" si="6"/>
        <v>0.2165014577259475</v>
      </c>
      <c r="P5" s="5">
        <f t="shared" si="7"/>
        <v>98563.218390804599</v>
      </c>
      <c r="Q5" s="10">
        <f t="shared" si="8"/>
        <v>19750</v>
      </c>
      <c r="R5" s="11">
        <f t="shared" si="9"/>
        <v>0.20037900874635567</v>
      </c>
    </row>
    <row r="6" spans="1:18" x14ac:dyDescent="0.3">
      <c r="A6" s="7">
        <v>40001</v>
      </c>
      <c r="B6" s="7">
        <v>50000</v>
      </c>
      <c r="C6" s="7">
        <v>30000</v>
      </c>
      <c r="E6" s="7">
        <v>0</v>
      </c>
      <c r="F6" s="7">
        <v>0</v>
      </c>
      <c r="G6" s="13">
        <f t="shared" si="0"/>
        <v>0.24999999999999997</v>
      </c>
      <c r="H6" s="7">
        <f t="shared" si="1"/>
        <v>6000</v>
      </c>
      <c r="I6" s="5">
        <f t="shared" si="2"/>
        <v>18500</v>
      </c>
      <c r="J6" s="7" t="s">
        <v>13</v>
      </c>
      <c r="K6" s="3">
        <f>AVERAGE(G2:G446)</f>
        <v>3.1409043890473533E-2</v>
      </c>
      <c r="L6" s="5">
        <f t="shared" si="3"/>
        <v>98500</v>
      </c>
      <c r="M6" s="5">
        <f t="shared" si="4"/>
        <v>104787.2340425532</v>
      </c>
      <c r="N6" s="10">
        <f t="shared" si="5"/>
        <v>23500</v>
      </c>
      <c r="O6" s="11">
        <f t="shared" si="6"/>
        <v>0.22426395939086291</v>
      </c>
      <c r="P6" s="5">
        <f t="shared" si="7"/>
        <v>113218.3908045977</v>
      </c>
      <c r="Q6" s="10">
        <f t="shared" si="8"/>
        <v>23500</v>
      </c>
      <c r="R6" s="11">
        <f t="shared" si="9"/>
        <v>0.20756345177664975</v>
      </c>
    </row>
    <row r="7" spans="1:18" x14ac:dyDescent="0.3">
      <c r="A7" s="7">
        <v>50001</v>
      </c>
      <c r="B7" s="7">
        <v>60000</v>
      </c>
      <c r="C7" s="7">
        <v>30000</v>
      </c>
      <c r="E7" s="7">
        <v>0</v>
      </c>
      <c r="F7" s="7">
        <v>0</v>
      </c>
      <c r="G7" s="13">
        <f t="shared" si="0"/>
        <v>0.23666666666666666</v>
      </c>
      <c r="H7" s="7">
        <f t="shared" si="1"/>
        <v>6250</v>
      </c>
      <c r="I7" s="5">
        <f t="shared" si="2"/>
        <v>20450</v>
      </c>
      <c r="L7" s="5">
        <f t="shared" si="3"/>
        <v>110450</v>
      </c>
      <c r="M7" s="5">
        <f t="shared" si="4"/>
        <v>117500</v>
      </c>
      <c r="N7" s="10">
        <f t="shared" si="5"/>
        <v>26450</v>
      </c>
      <c r="O7" s="11">
        <f t="shared" si="6"/>
        <v>0.2251063829787234</v>
      </c>
      <c r="P7" s="5">
        <f t="shared" si="7"/>
        <v>126954.02298850575</v>
      </c>
      <c r="Q7" s="10">
        <f t="shared" si="8"/>
        <v>26450</v>
      </c>
      <c r="R7" s="11">
        <f t="shared" si="9"/>
        <v>0.20834314169307377</v>
      </c>
    </row>
    <row r="8" spans="1:18" x14ac:dyDescent="0.3">
      <c r="A8" s="7">
        <v>60001</v>
      </c>
      <c r="B8" s="7">
        <v>70000</v>
      </c>
      <c r="C8" s="7">
        <v>30000</v>
      </c>
      <c r="E8" s="7">
        <v>0</v>
      </c>
      <c r="F8" s="7">
        <v>0</v>
      </c>
      <c r="G8" s="13">
        <f t="shared" si="0"/>
        <v>0.20571428571428571</v>
      </c>
      <c r="H8" s="7">
        <f t="shared" si="1"/>
        <v>6500</v>
      </c>
      <c r="I8" s="5">
        <f t="shared" si="2"/>
        <v>20900</v>
      </c>
      <c r="J8" s="8" t="s">
        <v>14</v>
      </c>
      <c r="L8" s="5">
        <f t="shared" si="3"/>
        <v>120900</v>
      </c>
      <c r="M8" s="5">
        <f t="shared" si="4"/>
        <v>128617.02127659575</v>
      </c>
      <c r="N8" s="10">
        <f t="shared" si="5"/>
        <v>27900</v>
      </c>
      <c r="O8" s="11">
        <f t="shared" si="6"/>
        <v>0.21692307692307691</v>
      </c>
      <c r="P8" s="5">
        <f t="shared" si="7"/>
        <v>138965.5172413793</v>
      </c>
      <c r="Q8" s="10">
        <f t="shared" si="8"/>
        <v>27900</v>
      </c>
      <c r="R8" s="11">
        <f t="shared" si="9"/>
        <v>0.20076923076923078</v>
      </c>
    </row>
    <row r="9" spans="1:18" x14ac:dyDescent="0.3">
      <c r="A9" s="7">
        <v>70001</v>
      </c>
      <c r="B9" s="7">
        <v>80000</v>
      </c>
      <c r="C9" s="7">
        <v>30000</v>
      </c>
      <c r="E9" s="7">
        <v>0</v>
      </c>
      <c r="F9" s="7">
        <v>0</v>
      </c>
      <c r="G9" s="13">
        <f t="shared" si="0"/>
        <v>0.18249999999999997</v>
      </c>
      <c r="H9" s="7">
        <f t="shared" si="1"/>
        <v>6750</v>
      </c>
      <c r="I9" s="5">
        <f t="shared" si="2"/>
        <v>21350</v>
      </c>
      <c r="J9" s="7" t="s">
        <v>15</v>
      </c>
      <c r="K9" s="2">
        <v>5000</v>
      </c>
      <c r="L9" s="5">
        <f t="shared" si="3"/>
        <v>131350</v>
      </c>
      <c r="M9" s="5">
        <f t="shared" si="4"/>
        <v>139734.04255319151</v>
      </c>
      <c r="N9" s="10">
        <f t="shared" si="5"/>
        <v>29350</v>
      </c>
      <c r="O9" s="11">
        <f t="shared" si="6"/>
        <v>0.21004187285877424</v>
      </c>
      <c r="P9" s="5">
        <f t="shared" si="7"/>
        <v>150977.01149425286</v>
      </c>
      <c r="Q9" s="10">
        <f t="shared" si="8"/>
        <v>29350</v>
      </c>
      <c r="R9" s="11">
        <f t="shared" si="9"/>
        <v>0.19440045679482301</v>
      </c>
    </row>
    <row r="10" spans="1:18" x14ac:dyDescent="0.3">
      <c r="A10" s="7">
        <v>80001</v>
      </c>
      <c r="B10" s="7">
        <v>90000</v>
      </c>
      <c r="C10" s="7">
        <v>30000</v>
      </c>
      <c r="E10" s="7">
        <v>0</v>
      </c>
      <c r="F10" s="7">
        <v>0</v>
      </c>
      <c r="G10" s="13">
        <f t="shared" si="0"/>
        <v>0.16444444444444442</v>
      </c>
      <c r="H10" s="7">
        <f t="shared" si="1"/>
        <v>7000</v>
      </c>
      <c r="I10" s="5">
        <f t="shared" si="2"/>
        <v>21800</v>
      </c>
      <c r="J10" s="7" t="s">
        <v>16</v>
      </c>
      <c r="K10" s="4">
        <v>2.5000000000000001E-2</v>
      </c>
      <c r="L10" s="5">
        <f t="shared" si="3"/>
        <v>141800</v>
      </c>
      <c r="M10" s="5">
        <f t="shared" si="4"/>
        <v>150851.06382978725</v>
      </c>
      <c r="N10" s="10">
        <f t="shared" si="5"/>
        <v>30800</v>
      </c>
      <c r="O10" s="11">
        <f t="shared" si="6"/>
        <v>0.2041748942172073</v>
      </c>
      <c r="P10" s="5">
        <f t="shared" si="7"/>
        <v>162988.50574712644</v>
      </c>
      <c r="Q10" s="10">
        <f t="shared" si="8"/>
        <v>30800</v>
      </c>
      <c r="R10" s="11">
        <f t="shared" si="9"/>
        <v>0.18897038081805359</v>
      </c>
    </row>
    <row r="11" spans="1:18" x14ac:dyDescent="0.3">
      <c r="A11" s="7">
        <v>90001</v>
      </c>
      <c r="B11" s="7">
        <v>100000</v>
      </c>
      <c r="C11" s="7">
        <v>30000</v>
      </c>
      <c r="E11" s="7">
        <v>0</v>
      </c>
      <c r="F11" s="7">
        <v>0</v>
      </c>
      <c r="G11" s="13">
        <f t="shared" si="0"/>
        <v>0.15</v>
      </c>
      <c r="H11" s="7">
        <f t="shared" si="1"/>
        <v>7250</v>
      </c>
      <c r="I11" s="5">
        <f t="shared" si="2"/>
        <v>22250</v>
      </c>
      <c r="J11" s="7" t="s">
        <v>17</v>
      </c>
      <c r="K11" s="2">
        <v>30000</v>
      </c>
      <c r="L11" s="5">
        <f t="shared" si="3"/>
        <v>152250</v>
      </c>
      <c r="M11" s="5">
        <f t="shared" si="4"/>
        <v>161968.08510638299</v>
      </c>
      <c r="N11" s="10">
        <f t="shared" si="5"/>
        <v>32250</v>
      </c>
      <c r="O11" s="11">
        <f t="shared" si="6"/>
        <v>0.19911330049261083</v>
      </c>
      <c r="P11" s="5">
        <f t="shared" si="7"/>
        <v>175000</v>
      </c>
      <c r="Q11" s="10">
        <f t="shared" si="8"/>
        <v>32250</v>
      </c>
      <c r="R11" s="11">
        <f t="shared" si="9"/>
        <v>0.18428571428571427</v>
      </c>
    </row>
    <row r="12" spans="1:18" x14ac:dyDescent="0.3">
      <c r="A12" s="7">
        <v>100001</v>
      </c>
      <c r="B12" s="7">
        <v>110000</v>
      </c>
      <c r="C12" s="7">
        <v>30000</v>
      </c>
      <c r="E12" s="7">
        <v>0</v>
      </c>
      <c r="F12" s="7">
        <v>0</v>
      </c>
      <c r="G12" s="13">
        <f t="shared" si="0"/>
        <v>0.13818181818181816</v>
      </c>
      <c r="H12" s="7">
        <f t="shared" si="1"/>
        <v>7500</v>
      </c>
      <c r="I12" s="5">
        <f t="shared" si="2"/>
        <v>22699.999999999996</v>
      </c>
      <c r="L12" s="5">
        <f t="shared" si="3"/>
        <v>162700</v>
      </c>
      <c r="M12" s="5">
        <f t="shared" si="4"/>
        <v>173085.10638297873</v>
      </c>
      <c r="N12" s="10">
        <f t="shared" si="5"/>
        <v>33700</v>
      </c>
      <c r="O12" s="11">
        <f t="shared" si="6"/>
        <v>0.19470190534726489</v>
      </c>
      <c r="P12" s="5">
        <f t="shared" si="7"/>
        <v>187011.49425287356</v>
      </c>
      <c r="Q12" s="10">
        <f t="shared" si="8"/>
        <v>33700</v>
      </c>
      <c r="R12" s="11">
        <f t="shared" si="9"/>
        <v>0.18020282728948986</v>
      </c>
    </row>
    <row r="13" spans="1:18" x14ac:dyDescent="0.3">
      <c r="A13" s="7">
        <v>110001</v>
      </c>
      <c r="B13" s="7">
        <v>120000</v>
      </c>
      <c r="C13" s="7">
        <v>30000</v>
      </c>
      <c r="E13" s="7">
        <v>0</v>
      </c>
      <c r="F13" s="7">
        <v>0</v>
      </c>
      <c r="G13" s="13">
        <f t="shared" si="0"/>
        <v>0.12833333333333333</v>
      </c>
      <c r="H13" s="7">
        <f t="shared" si="1"/>
        <v>7750</v>
      </c>
      <c r="I13" s="5">
        <f t="shared" si="2"/>
        <v>23150</v>
      </c>
      <c r="J13" s="8" t="s">
        <v>19</v>
      </c>
      <c r="L13" s="5">
        <f t="shared" si="3"/>
        <v>173150</v>
      </c>
      <c r="M13" s="5">
        <f t="shared" si="4"/>
        <v>184202.12765957447</v>
      </c>
      <c r="N13" s="10">
        <f t="shared" si="5"/>
        <v>35150</v>
      </c>
      <c r="O13" s="11">
        <f t="shared" si="6"/>
        <v>0.19082298585041871</v>
      </c>
      <c r="P13" s="5">
        <f t="shared" si="7"/>
        <v>199022.98850574714</v>
      </c>
      <c r="Q13" s="10">
        <f t="shared" si="8"/>
        <v>35150</v>
      </c>
      <c r="R13" s="11">
        <f t="shared" si="9"/>
        <v>0.17661276349985561</v>
      </c>
    </row>
    <row r="14" spans="1:18" x14ac:dyDescent="0.3">
      <c r="A14" s="7">
        <v>120001</v>
      </c>
      <c r="B14" s="7">
        <v>130000</v>
      </c>
      <c r="C14" s="7">
        <v>30000</v>
      </c>
      <c r="E14" s="7">
        <v>0</v>
      </c>
      <c r="F14" s="7">
        <v>0</v>
      </c>
      <c r="G14" s="13">
        <f t="shared" si="0"/>
        <v>0.12</v>
      </c>
      <c r="H14" s="7">
        <f t="shared" si="1"/>
        <v>8000</v>
      </c>
      <c r="I14" s="5">
        <f t="shared" si="2"/>
        <v>23600</v>
      </c>
      <c r="J14" s="7" t="s">
        <v>20</v>
      </c>
      <c r="K14" s="1">
        <v>0.06</v>
      </c>
      <c r="L14" s="5">
        <f t="shared" si="3"/>
        <v>183600</v>
      </c>
      <c r="M14" s="5">
        <f t="shared" si="4"/>
        <v>195319.14893617021</v>
      </c>
      <c r="N14" s="10">
        <f t="shared" si="5"/>
        <v>36600</v>
      </c>
      <c r="O14" s="11">
        <f t="shared" si="6"/>
        <v>0.18738562091503269</v>
      </c>
      <c r="P14" s="5">
        <f t="shared" si="7"/>
        <v>211034.4827586207</v>
      </c>
      <c r="Q14" s="10">
        <f t="shared" si="8"/>
        <v>36600</v>
      </c>
      <c r="R14" s="11">
        <f t="shared" si="9"/>
        <v>0.17343137254901961</v>
      </c>
    </row>
    <row r="15" spans="1:18" x14ac:dyDescent="0.3">
      <c r="A15" s="7">
        <v>130001</v>
      </c>
      <c r="B15" s="7">
        <v>140000</v>
      </c>
      <c r="C15" s="7">
        <v>30000</v>
      </c>
      <c r="E15" s="7">
        <v>0</v>
      </c>
      <c r="F15" s="7">
        <v>0</v>
      </c>
      <c r="G15" s="13">
        <f t="shared" si="0"/>
        <v>0.11285714285714285</v>
      </c>
      <c r="H15" s="7">
        <f t="shared" si="1"/>
        <v>8250</v>
      </c>
      <c r="I15" s="5">
        <f t="shared" si="2"/>
        <v>24050</v>
      </c>
      <c r="J15" s="7" t="s">
        <v>21</v>
      </c>
      <c r="K15" s="1">
        <v>0.13</v>
      </c>
      <c r="L15" s="5">
        <f t="shared" si="3"/>
        <v>194050</v>
      </c>
      <c r="M15" s="5">
        <f t="shared" si="4"/>
        <v>206436.17021276598</v>
      </c>
      <c r="N15" s="10">
        <f t="shared" si="5"/>
        <v>38050</v>
      </c>
      <c r="O15" s="11">
        <f t="shared" si="6"/>
        <v>0.1843184746199433</v>
      </c>
      <c r="P15" s="5">
        <f t="shared" si="7"/>
        <v>223045.97701149425</v>
      </c>
      <c r="Q15" s="10">
        <f t="shared" si="8"/>
        <v>38050</v>
      </c>
      <c r="R15" s="11">
        <f t="shared" si="9"/>
        <v>0.17059263076526668</v>
      </c>
    </row>
    <row r="16" spans="1:18" x14ac:dyDescent="0.3">
      <c r="A16" s="7">
        <v>140001</v>
      </c>
      <c r="B16" s="7">
        <v>150000</v>
      </c>
      <c r="C16" s="7">
        <v>30000</v>
      </c>
      <c r="E16" s="7">
        <v>0</v>
      </c>
      <c r="F16" s="7">
        <v>0</v>
      </c>
      <c r="G16" s="13">
        <f t="shared" si="0"/>
        <v>0.10666666666666666</v>
      </c>
      <c r="H16" s="7">
        <f t="shared" si="1"/>
        <v>8500</v>
      </c>
      <c r="I16" s="5">
        <f t="shared" si="2"/>
        <v>24500</v>
      </c>
      <c r="L16" s="5">
        <f t="shared" si="3"/>
        <v>204500</v>
      </c>
      <c r="M16" s="5">
        <f t="shared" si="4"/>
        <v>217553.19148936172</v>
      </c>
      <c r="N16" s="10">
        <f t="shared" si="5"/>
        <v>39500</v>
      </c>
      <c r="O16" s="11">
        <f t="shared" si="6"/>
        <v>0.1815647921760391</v>
      </c>
      <c r="P16" s="5">
        <f t="shared" si="7"/>
        <v>235057.47126436781</v>
      </c>
      <c r="Q16" s="10">
        <f t="shared" si="8"/>
        <v>39500</v>
      </c>
      <c r="R16" s="11">
        <f t="shared" si="9"/>
        <v>0.1680440097799511</v>
      </c>
    </row>
    <row r="17" spans="1:18" x14ac:dyDescent="0.3">
      <c r="A17" s="7">
        <v>150001</v>
      </c>
      <c r="B17" s="7">
        <v>160000</v>
      </c>
      <c r="C17" s="7">
        <v>30000</v>
      </c>
      <c r="E17" s="7">
        <v>0</v>
      </c>
      <c r="F17" s="7">
        <v>0</v>
      </c>
      <c r="G17" s="13">
        <f t="shared" si="0"/>
        <v>0.10124999999999998</v>
      </c>
      <c r="H17" s="7">
        <f t="shared" si="1"/>
        <v>8750</v>
      </c>
      <c r="I17" s="5">
        <f t="shared" si="2"/>
        <v>24949.999999999996</v>
      </c>
      <c r="J17" s="14" t="s">
        <v>30</v>
      </c>
      <c r="K17" s="15">
        <v>0.1</v>
      </c>
      <c r="L17" s="5">
        <f t="shared" si="3"/>
        <v>214950</v>
      </c>
      <c r="M17" s="5">
        <f t="shared" si="4"/>
        <v>228670.21276595746</v>
      </c>
      <c r="N17" s="10">
        <f t="shared" si="5"/>
        <v>40950</v>
      </c>
      <c r="O17" s="11">
        <f t="shared" si="6"/>
        <v>0.17907885554780181</v>
      </c>
      <c r="P17" s="5">
        <f t="shared" si="7"/>
        <v>247068.96551724139</v>
      </c>
      <c r="Q17" s="10">
        <f t="shared" si="8"/>
        <v>40950</v>
      </c>
      <c r="R17" s="11">
        <f t="shared" si="9"/>
        <v>0.16574319609211444</v>
      </c>
    </row>
    <row r="18" spans="1:18" x14ac:dyDescent="0.3">
      <c r="A18" s="7">
        <v>160001</v>
      </c>
      <c r="B18" s="7">
        <v>170000</v>
      </c>
      <c r="C18" s="7">
        <v>30000</v>
      </c>
      <c r="E18" s="7">
        <v>0</v>
      </c>
      <c r="F18" s="7">
        <v>0</v>
      </c>
      <c r="G18" s="13">
        <f t="shared" si="0"/>
        <v>9.6470588235294114E-2</v>
      </c>
      <c r="H18" s="7">
        <f t="shared" si="1"/>
        <v>9000</v>
      </c>
      <c r="I18" s="5">
        <f t="shared" si="2"/>
        <v>25400</v>
      </c>
      <c r="L18" s="5">
        <f t="shared" si="3"/>
        <v>225400</v>
      </c>
      <c r="M18" s="5">
        <f t="shared" si="4"/>
        <v>239787.2340425532</v>
      </c>
      <c r="N18" s="10">
        <f t="shared" si="5"/>
        <v>42400</v>
      </c>
      <c r="O18" s="11">
        <f t="shared" si="6"/>
        <v>0.17682342502218279</v>
      </c>
      <c r="P18" s="5">
        <f t="shared" si="7"/>
        <v>259080.45977011495</v>
      </c>
      <c r="Q18" s="10">
        <f t="shared" si="8"/>
        <v>42400</v>
      </c>
      <c r="R18" s="11">
        <f t="shared" si="9"/>
        <v>0.16365572315882876</v>
      </c>
    </row>
    <row r="19" spans="1:18" x14ac:dyDescent="0.3">
      <c r="A19" s="7">
        <v>170001</v>
      </c>
      <c r="B19" s="7">
        <v>180000</v>
      </c>
      <c r="C19" s="7">
        <v>30000</v>
      </c>
      <c r="E19" s="7">
        <v>0</v>
      </c>
      <c r="F19" s="7">
        <v>0</v>
      </c>
      <c r="G19" s="13">
        <f t="shared" si="0"/>
        <v>9.2222222222222205E-2</v>
      </c>
      <c r="H19" s="7">
        <f t="shared" si="1"/>
        <v>9250</v>
      </c>
      <c r="I19" s="5">
        <f t="shared" si="2"/>
        <v>25849.999999999996</v>
      </c>
      <c r="J19" s="16" t="s">
        <v>31</v>
      </c>
      <c r="L19" s="5">
        <f t="shared" si="3"/>
        <v>235850</v>
      </c>
      <c r="M19" s="5">
        <f t="shared" si="4"/>
        <v>250904.25531914894</v>
      </c>
      <c r="N19" s="10">
        <f t="shared" si="5"/>
        <v>43850</v>
      </c>
      <c r="O19" s="11">
        <f t="shared" si="6"/>
        <v>0.17476786092855628</v>
      </c>
      <c r="P19" s="5">
        <f t="shared" si="7"/>
        <v>271091.9540229885</v>
      </c>
      <c r="Q19" s="10">
        <f t="shared" si="8"/>
        <v>43850</v>
      </c>
      <c r="R19" s="11">
        <f t="shared" si="9"/>
        <v>0.16175323298706806</v>
      </c>
    </row>
    <row r="20" spans="1:18" x14ac:dyDescent="0.3">
      <c r="A20" s="7">
        <v>180001</v>
      </c>
      <c r="B20" s="7">
        <v>190000</v>
      </c>
      <c r="C20" s="7">
        <v>30000</v>
      </c>
      <c r="E20" s="7">
        <v>0</v>
      </c>
      <c r="F20" s="7">
        <v>0</v>
      </c>
      <c r="G20" s="13">
        <f t="shared" si="0"/>
        <v>8.8421052631578928E-2</v>
      </c>
      <c r="H20" s="7">
        <f t="shared" si="1"/>
        <v>9500</v>
      </c>
      <c r="I20" s="5">
        <f t="shared" si="2"/>
        <v>26299.999999999996</v>
      </c>
      <c r="L20" s="5">
        <f t="shared" si="3"/>
        <v>246300</v>
      </c>
      <c r="M20" s="5">
        <f t="shared" si="4"/>
        <v>262021.27659574468</v>
      </c>
      <c r="N20" s="10">
        <f t="shared" si="5"/>
        <v>45300</v>
      </c>
      <c r="O20" s="11">
        <f t="shared" si="6"/>
        <v>0.17288672350791717</v>
      </c>
      <c r="P20" s="5">
        <f t="shared" si="7"/>
        <v>283103.44827586209</v>
      </c>
      <c r="Q20" s="10">
        <f t="shared" si="8"/>
        <v>45300</v>
      </c>
      <c r="R20" s="11">
        <f t="shared" si="9"/>
        <v>0.16001218026796588</v>
      </c>
    </row>
    <row r="21" spans="1:18" x14ac:dyDescent="0.3">
      <c r="A21" s="7">
        <v>190001</v>
      </c>
      <c r="B21" s="7">
        <v>200000</v>
      </c>
      <c r="C21" s="7">
        <v>30000</v>
      </c>
      <c r="E21" s="7">
        <v>0</v>
      </c>
      <c r="F21" s="7">
        <v>0</v>
      </c>
      <c r="G21" s="13">
        <f t="shared" si="0"/>
        <v>8.4999999999999992E-2</v>
      </c>
      <c r="H21" s="7">
        <f t="shared" si="1"/>
        <v>9750</v>
      </c>
      <c r="I21" s="5">
        <f t="shared" si="2"/>
        <v>26750</v>
      </c>
      <c r="L21" s="5">
        <f t="shared" si="3"/>
        <v>256750</v>
      </c>
      <c r="M21" s="5">
        <f t="shared" si="4"/>
        <v>273138.29787234042</v>
      </c>
      <c r="N21" s="10">
        <f t="shared" si="5"/>
        <v>46749.999999999971</v>
      </c>
      <c r="O21" s="11">
        <f t="shared" si="6"/>
        <v>0.17115871470301838</v>
      </c>
      <c r="P21" s="5">
        <f t="shared" si="7"/>
        <v>295114.94252873561</v>
      </c>
      <c r="Q21" s="10">
        <f t="shared" si="8"/>
        <v>46749.999999999971</v>
      </c>
      <c r="R21" s="11">
        <f t="shared" si="9"/>
        <v>0.15841285296981492</v>
      </c>
    </row>
    <row r="22" spans="1:18" x14ac:dyDescent="0.3">
      <c r="A22" s="7">
        <v>200001</v>
      </c>
      <c r="B22" s="7">
        <v>210000</v>
      </c>
      <c r="C22" s="7">
        <v>30000</v>
      </c>
      <c r="E22" s="7">
        <v>0</v>
      </c>
      <c r="F22" s="7">
        <v>0</v>
      </c>
      <c r="G22" s="13">
        <f t="shared" si="0"/>
        <v>8.1904761904761897E-2</v>
      </c>
      <c r="H22" s="7">
        <f t="shared" si="1"/>
        <v>10000</v>
      </c>
      <c r="I22" s="5">
        <f t="shared" si="2"/>
        <v>27200</v>
      </c>
      <c r="L22" s="5">
        <f t="shared" si="3"/>
        <v>267200</v>
      </c>
      <c r="M22" s="5">
        <f t="shared" si="4"/>
        <v>284255.31914893619</v>
      </c>
      <c r="N22" s="10">
        <f t="shared" si="5"/>
        <v>48200</v>
      </c>
      <c r="O22" s="11">
        <f t="shared" si="6"/>
        <v>0.16956586826347303</v>
      </c>
      <c r="P22" s="5">
        <f t="shared" si="7"/>
        <v>307126.4367816092</v>
      </c>
      <c r="Q22" s="10">
        <f t="shared" si="8"/>
        <v>48200</v>
      </c>
      <c r="R22" s="11">
        <f t="shared" si="9"/>
        <v>0.15693862275449103</v>
      </c>
    </row>
    <row r="23" spans="1:18" x14ac:dyDescent="0.3">
      <c r="A23" s="7">
        <v>210001</v>
      </c>
      <c r="B23" s="7">
        <v>220000</v>
      </c>
      <c r="C23" s="7">
        <v>30000</v>
      </c>
      <c r="E23" s="7">
        <v>0</v>
      </c>
      <c r="F23" s="7">
        <v>0</v>
      </c>
      <c r="G23" s="13">
        <f t="shared" si="0"/>
        <v>7.9090909090909073E-2</v>
      </c>
      <c r="H23" s="7">
        <f t="shared" si="1"/>
        <v>10250</v>
      </c>
      <c r="I23" s="5">
        <f t="shared" si="2"/>
        <v>27649.999999999996</v>
      </c>
      <c r="L23" s="5">
        <f t="shared" si="3"/>
        <v>277650</v>
      </c>
      <c r="M23" s="5">
        <f t="shared" si="4"/>
        <v>295372.3404255319</v>
      </c>
      <c r="N23" s="10">
        <f t="shared" si="5"/>
        <v>49650</v>
      </c>
      <c r="O23" s="11">
        <f t="shared" si="6"/>
        <v>0.16809292274446247</v>
      </c>
      <c r="P23" s="5">
        <f t="shared" si="7"/>
        <v>319137.93103448278</v>
      </c>
      <c r="Q23" s="10">
        <f t="shared" si="8"/>
        <v>49650</v>
      </c>
      <c r="R23" s="11">
        <f t="shared" si="9"/>
        <v>0.15557536466774716</v>
      </c>
    </row>
    <row r="24" spans="1:18" x14ac:dyDescent="0.3">
      <c r="A24" s="7">
        <v>220001</v>
      </c>
      <c r="B24" s="7">
        <v>230000</v>
      </c>
      <c r="C24" s="7">
        <v>30000</v>
      </c>
      <c r="E24" s="7">
        <v>0</v>
      </c>
      <c r="F24" s="7">
        <v>0</v>
      </c>
      <c r="G24" s="13">
        <f t="shared" si="0"/>
        <v>7.6521739130434779E-2</v>
      </c>
      <c r="H24" s="7">
        <f t="shared" si="1"/>
        <v>10500</v>
      </c>
      <c r="I24" s="5">
        <f t="shared" si="2"/>
        <v>28100</v>
      </c>
      <c r="L24" s="5">
        <f t="shared" si="3"/>
        <v>288100</v>
      </c>
      <c r="M24" s="5">
        <f t="shared" si="4"/>
        <v>306489.36170212767</v>
      </c>
      <c r="N24" s="10">
        <f t="shared" si="5"/>
        <v>51100</v>
      </c>
      <c r="O24" s="11">
        <f t="shared" si="6"/>
        <v>0.1667268309614717</v>
      </c>
      <c r="P24" s="5">
        <f t="shared" si="7"/>
        <v>331149.42528735631</v>
      </c>
      <c r="Q24" s="10">
        <f t="shared" si="8"/>
        <v>51100</v>
      </c>
      <c r="R24" s="11">
        <f t="shared" si="9"/>
        <v>0.15431100312391532</v>
      </c>
    </row>
    <row r="25" spans="1:18" x14ac:dyDescent="0.3">
      <c r="A25" s="7">
        <v>230001</v>
      </c>
      <c r="B25" s="7">
        <v>240000</v>
      </c>
      <c r="C25" s="7">
        <v>30000</v>
      </c>
      <c r="E25" s="7">
        <v>0</v>
      </c>
      <c r="F25" s="7">
        <f>(B25+E25)*10%</f>
        <v>24000</v>
      </c>
      <c r="G25" s="13">
        <f t="shared" si="0"/>
        <v>7.4166666666666659E-2</v>
      </c>
      <c r="H25" s="7">
        <f t="shared" si="1"/>
        <v>10750</v>
      </c>
      <c r="I25" s="5">
        <f t="shared" si="2"/>
        <v>28549.999999999996</v>
      </c>
      <c r="L25" s="5">
        <f t="shared" si="3"/>
        <v>322550</v>
      </c>
      <c r="M25" s="5">
        <f t="shared" si="4"/>
        <v>343138.29787234042</v>
      </c>
      <c r="N25" s="10">
        <f t="shared" si="5"/>
        <v>54950</v>
      </c>
      <c r="O25" s="11">
        <f t="shared" si="6"/>
        <v>0.16013951325375911</v>
      </c>
      <c r="P25" s="5">
        <f t="shared" si="7"/>
        <v>370747.1264367816</v>
      </c>
      <c r="Q25" s="10">
        <f t="shared" si="8"/>
        <v>54950</v>
      </c>
      <c r="R25" s="11">
        <f t="shared" si="9"/>
        <v>0.14821423035188344</v>
      </c>
    </row>
    <row r="26" spans="1:18" x14ac:dyDescent="0.3">
      <c r="A26" s="7">
        <v>240001</v>
      </c>
      <c r="B26" s="7">
        <v>250000</v>
      </c>
      <c r="C26" s="7">
        <v>30000</v>
      </c>
      <c r="E26" s="7">
        <v>0</v>
      </c>
      <c r="F26" s="7">
        <f t="shared" ref="F26:F89" si="10">(B26+E26)*10%</f>
        <v>25000</v>
      </c>
      <c r="G26" s="13">
        <f t="shared" si="0"/>
        <v>7.1999999999999981E-2</v>
      </c>
      <c r="H26" s="7">
        <f t="shared" si="1"/>
        <v>11000</v>
      </c>
      <c r="I26" s="5">
        <f t="shared" si="2"/>
        <v>28999.999999999996</v>
      </c>
      <c r="L26" s="5">
        <f t="shared" si="3"/>
        <v>334000</v>
      </c>
      <c r="M26" s="5">
        <f t="shared" si="4"/>
        <v>355319.14893617021</v>
      </c>
      <c r="N26" s="10">
        <f t="shared" si="5"/>
        <v>56500</v>
      </c>
      <c r="O26" s="11">
        <f t="shared" si="6"/>
        <v>0.15901197604790418</v>
      </c>
      <c r="P26" s="5">
        <f t="shared" si="7"/>
        <v>383908.0459770115</v>
      </c>
      <c r="Q26" s="10">
        <f t="shared" si="8"/>
        <v>56500</v>
      </c>
      <c r="R26" s="11">
        <f t="shared" si="9"/>
        <v>0.14717065868263474</v>
      </c>
    </row>
    <row r="27" spans="1:18" x14ac:dyDescent="0.3">
      <c r="A27" s="7">
        <v>250001</v>
      </c>
      <c r="B27" s="7">
        <v>260000</v>
      </c>
      <c r="C27" s="7">
        <v>30000</v>
      </c>
      <c r="E27" s="7">
        <v>0</v>
      </c>
      <c r="F27" s="7">
        <f t="shared" si="10"/>
        <v>26000</v>
      </c>
      <c r="G27" s="13">
        <f t="shared" si="0"/>
        <v>6.9999999999999979E-2</v>
      </c>
      <c r="H27" s="7">
        <f t="shared" si="1"/>
        <v>11250</v>
      </c>
      <c r="I27" s="5">
        <f t="shared" si="2"/>
        <v>29449.999999999993</v>
      </c>
      <c r="L27" s="5">
        <f t="shared" si="3"/>
        <v>345450</v>
      </c>
      <c r="M27" s="5">
        <f t="shared" si="4"/>
        <v>367500</v>
      </c>
      <c r="N27" s="10">
        <f t="shared" si="5"/>
        <v>58050</v>
      </c>
      <c r="O27" s="11">
        <f t="shared" si="6"/>
        <v>0.15795918367346939</v>
      </c>
      <c r="P27" s="5">
        <f t="shared" si="7"/>
        <v>397068.96551724139</v>
      </c>
      <c r="Q27" s="10">
        <f t="shared" si="8"/>
        <v>58050</v>
      </c>
      <c r="R27" s="11">
        <f t="shared" si="9"/>
        <v>0.14619626574033867</v>
      </c>
    </row>
    <row r="28" spans="1:18" x14ac:dyDescent="0.3">
      <c r="A28" s="7">
        <v>260001</v>
      </c>
      <c r="B28" s="7">
        <v>270000</v>
      </c>
      <c r="C28" s="7">
        <v>30000</v>
      </c>
      <c r="E28" s="7">
        <v>0</v>
      </c>
      <c r="F28" s="7">
        <f t="shared" si="10"/>
        <v>27000</v>
      </c>
      <c r="G28" s="13">
        <f t="shared" si="0"/>
        <v>6.8148148148148152E-2</v>
      </c>
      <c r="H28" s="7">
        <f t="shared" si="1"/>
        <v>11500</v>
      </c>
      <c r="I28" s="5">
        <f t="shared" si="2"/>
        <v>29900</v>
      </c>
      <c r="L28" s="5">
        <f t="shared" si="3"/>
        <v>356900</v>
      </c>
      <c r="M28" s="5">
        <f t="shared" si="4"/>
        <v>379680.85106382979</v>
      </c>
      <c r="N28" s="10">
        <f t="shared" si="5"/>
        <v>59600</v>
      </c>
      <c r="O28" s="11">
        <f t="shared" si="6"/>
        <v>0.1569739422807509</v>
      </c>
      <c r="P28" s="5">
        <f t="shared" si="7"/>
        <v>410229.88505747129</v>
      </c>
      <c r="Q28" s="10">
        <f t="shared" si="8"/>
        <v>59600</v>
      </c>
      <c r="R28" s="11">
        <f t="shared" si="9"/>
        <v>0.14528439338750349</v>
      </c>
    </row>
    <row r="29" spans="1:18" x14ac:dyDescent="0.3">
      <c r="A29" s="7">
        <v>270001</v>
      </c>
      <c r="B29" s="7">
        <v>280000</v>
      </c>
      <c r="C29" s="7">
        <v>30000</v>
      </c>
      <c r="E29" s="7">
        <v>0</v>
      </c>
      <c r="F29" s="7">
        <f t="shared" si="10"/>
        <v>28000</v>
      </c>
      <c r="G29" s="13">
        <f t="shared" si="0"/>
        <v>6.642857142857142E-2</v>
      </c>
      <c r="H29" s="7">
        <f t="shared" si="1"/>
        <v>11750</v>
      </c>
      <c r="I29" s="5">
        <f t="shared" si="2"/>
        <v>30349.999999999996</v>
      </c>
      <c r="L29" s="5">
        <f t="shared" si="3"/>
        <v>368350</v>
      </c>
      <c r="M29" s="5">
        <f t="shared" si="4"/>
        <v>391861.70212765958</v>
      </c>
      <c r="N29" s="10">
        <f t="shared" si="5"/>
        <v>61150</v>
      </c>
      <c r="O29" s="11">
        <f t="shared" si="6"/>
        <v>0.15604995249083753</v>
      </c>
      <c r="P29" s="5">
        <f t="shared" si="7"/>
        <v>423390.80459770118</v>
      </c>
      <c r="Q29" s="10">
        <f t="shared" si="8"/>
        <v>61150</v>
      </c>
      <c r="R29" s="11">
        <f t="shared" si="9"/>
        <v>0.14442921134790279</v>
      </c>
    </row>
    <row r="30" spans="1:18" x14ac:dyDescent="0.3">
      <c r="A30" s="7">
        <v>280001</v>
      </c>
      <c r="B30" s="7">
        <v>290000</v>
      </c>
      <c r="C30" s="7">
        <v>30000</v>
      </c>
      <c r="E30" s="7">
        <v>0</v>
      </c>
      <c r="F30" s="7">
        <f t="shared" si="10"/>
        <v>29000</v>
      </c>
      <c r="G30" s="13">
        <f t="shared" si="0"/>
        <v>6.4827586206896548E-2</v>
      </c>
      <c r="H30" s="7">
        <f t="shared" si="1"/>
        <v>12000</v>
      </c>
      <c r="I30" s="5">
        <f t="shared" si="2"/>
        <v>30800</v>
      </c>
      <c r="L30" s="5">
        <f t="shared" si="3"/>
        <v>379800</v>
      </c>
      <c r="M30" s="5">
        <f t="shared" si="4"/>
        <v>404042.55319148937</v>
      </c>
      <c r="N30" s="10">
        <f t="shared" si="5"/>
        <v>62700</v>
      </c>
      <c r="O30" s="11">
        <f t="shared" si="6"/>
        <v>0.15518167456556081</v>
      </c>
      <c r="P30" s="5">
        <f t="shared" si="7"/>
        <v>436551.72413793101</v>
      </c>
      <c r="Q30" s="10">
        <f t="shared" si="8"/>
        <v>62700</v>
      </c>
      <c r="R30" s="11">
        <f t="shared" si="9"/>
        <v>0.14362559241706163</v>
      </c>
    </row>
    <row r="31" spans="1:18" x14ac:dyDescent="0.3">
      <c r="A31" s="7">
        <v>290001</v>
      </c>
      <c r="B31" s="7">
        <v>300000</v>
      </c>
      <c r="C31" s="7">
        <v>30000</v>
      </c>
      <c r="E31" s="7">
        <v>0</v>
      </c>
      <c r="F31" s="7">
        <f t="shared" si="10"/>
        <v>30000</v>
      </c>
      <c r="G31" s="13">
        <f t="shared" si="0"/>
        <v>6.3333333333333325E-2</v>
      </c>
      <c r="H31" s="7">
        <f t="shared" si="1"/>
        <v>12250</v>
      </c>
      <c r="I31" s="5">
        <f t="shared" si="2"/>
        <v>31249.999999999996</v>
      </c>
      <c r="L31" s="5">
        <f t="shared" si="3"/>
        <v>391250</v>
      </c>
      <c r="M31" s="5">
        <f t="shared" si="4"/>
        <v>416223.40425531915</v>
      </c>
      <c r="N31" s="10">
        <f t="shared" si="5"/>
        <v>64250</v>
      </c>
      <c r="O31" s="11">
        <f t="shared" si="6"/>
        <v>0.15436421725239616</v>
      </c>
      <c r="P31" s="5">
        <f t="shared" si="7"/>
        <v>449712.64367816091</v>
      </c>
      <c r="Q31" s="10">
        <f t="shared" si="8"/>
        <v>64250</v>
      </c>
      <c r="R31" s="11">
        <f t="shared" si="9"/>
        <v>0.14286900958466453</v>
      </c>
    </row>
    <row r="32" spans="1:18" x14ac:dyDescent="0.3">
      <c r="A32" s="7">
        <v>300001</v>
      </c>
      <c r="B32" s="7">
        <v>310000</v>
      </c>
      <c r="C32" s="7">
        <v>30000</v>
      </c>
      <c r="E32" s="7">
        <v>0</v>
      </c>
      <c r="F32" s="7">
        <f t="shared" si="10"/>
        <v>31000</v>
      </c>
      <c r="G32" s="13">
        <f t="shared" si="0"/>
        <v>6.1935483870967728E-2</v>
      </c>
      <c r="H32" s="7">
        <f t="shared" si="1"/>
        <v>12500</v>
      </c>
      <c r="I32" s="5">
        <f t="shared" si="2"/>
        <v>31699.999999999996</v>
      </c>
      <c r="L32" s="5">
        <f t="shared" si="3"/>
        <v>402700</v>
      </c>
      <c r="M32" s="5">
        <f t="shared" si="4"/>
        <v>428404.25531914894</v>
      </c>
      <c r="N32" s="10">
        <f t="shared" si="5"/>
        <v>65800</v>
      </c>
      <c r="O32" s="11">
        <f t="shared" si="6"/>
        <v>0.15359324559225229</v>
      </c>
      <c r="P32" s="5">
        <f t="shared" si="7"/>
        <v>462873.5632183908</v>
      </c>
      <c r="Q32" s="10">
        <f t="shared" si="8"/>
        <v>65800</v>
      </c>
      <c r="R32" s="11">
        <f t="shared" si="9"/>
        <v>0.14215545070772287</v>
      </c>
    </row>
    <row r="33" spans="1:18" x14ac:dyDescent="0.3">
      <c r="A33" s="7">
        <v>310001</v>
      </c>
      <c r="B33" s="7">
        <v>320000</v>
      </c>
      <c r="C33" s="7">
        <v>30000</v>
      </c>
      <c r="E33" s="7">
        <v>0</v>
      </c>
      <c r="F33" s="7">
        <f t="shared" si="10"/>
        <v>32000</v>
      </c>
      <c r="G33" s="13">
        <f t="shared" si="0"/>
        <v>6.0624999999999984E-2</v>
      </c>
      <c r="H33" s="7">
        <f t="shared" si="1"/>
        <v>12750</v>
      </c>
      <c r="I33" s="5">
        <f t="shared" si="2"/>
        <v>32149.999999999996</v>
      </c>
      <c r="L33" s="5">
        <f t="shared" si="3"/>
        <v>414150</v>
      </c>
      <c r="M33" s="5">
        <f t="shared" si="4"/>
        <v>440585.10638297873</v>
      </c>
      <c r="N33" s="10">
        <f t="shared" si="5"/>
        <v>67350</v>
      </c>
      <c r="O33" s="11">
        <f t="shared" si="6"/>
        <v>0.15286490402028249</v>
      </c>
      <c r="P33" s="5">
        <f t="shared" si="7"/>
        <v>476034.4827586207</v>
      </c>
      <c r="Q33" s="10">
        <f t="shared" si="8"/>
        <v>67350</v>
      </c>
      <c r="R33" s="11">
        <f t="shared" si="9"/>
        <v>0.14148134733792103</v>
      </c>
    </row>
    <row r="34" spans="1:18" x14ac:dyDescent="0.3">
      <c r="A34" s="7">
        <v>320001</v>
      </c>
      <c r="B34" s="7">
        <v>330000</v>
      </c>
      <c r="C34" s="7">
        <v>30000</v>
      </c>
      <c r="E34" s="7">
        <v>0</v>
      </c>
      <c r="F34" s="7">
        <f t="shared" si="10"/>
        <v>33000</v>
      </c>
      <c r="G34" s="13">
        <f t="shared" si="0"/>
        <v>5.9393939393939388E-2</v>
      </c>
      <c r="H34" s="7">
        <f t="shared" si="1"/>
        <v>13000</v>
      </c>
      <c r="I34" s="5">
        <f t="shared" si="2"/>
        <v>32599.999999999996</v>
      </c>
      <c r="L34" s="5">
        <f t="shared" si="3"/>
        <v>425600</v>
      </c>
      <c r="M34" s="5">
        <f t="shared" si="4"/>
        <v>452765.95744680852</v>
      </c>
      <c r="N34" s="10">
        <f t="shared" si="5"/>
        <v>68900</v>
      </c>
      <c r="O34" s="11">
        <f t="shared" si="6"/>
        <v>0.15217575187969926</v>
      </c>
      <c r="P34" s="5">
        <f t="shared" si="7"/>
        <v>489195.40229885059</v>
      </c>
      <c r="Q34" s="10">
        <f t="shared" si="8"/>
        <v>68900</v>
      </c>
      <c r="R34" s="11">
        <f t="shared" si="9"/>
        <v>0.14084351503759399</v>
      </c>
    </row>
    <row r="35" spans="1:18" x14ac:dyDescent="0.3">
      <c r="A35" s="7">
        <v>330001</v>
      </c>
      <c r="B35" s="7">
        <v>340000</v>
      </c>
      <c r="C35" s="7">
        <v>30000</v>
      </c>
      <c r="E35" s="7">
        <v>0</v>
      </c>
      <c r="F35" s="7">
        <f t="shared" si="10"/>
        <v>34000</v>
      </c>
      <c r="G35" s="13">
        <f t="shared" si="0"/>
        <v>5.8235294117647052E-2</v>
      </c>
      <c r="H35" s="7">
        <f t="shared" si="1"/>
        <v>13250</v>
      </c>
      <c r="I35" s="5">
        <f t="shared" si="2"/>
        <v>33050</v>
      </c>
      <c r="L35" s="5">
        <f t="shared" si="3"/>
        <v>437050</v>
      </c>
      <c r="M35" s="5">
        <f t="shared" si="4"/>
        <v>464946.80851063831</v>
      </c>
      <c r="N35" s="10">
        <f t="shared" si="5"/>
        <v>70450</v>
      </c>
      <c r="O35" s="11">
        <f t="shared" si="6"/>
        <v>0.15152270907218854</v>
      </c>
      <c r="P35" s="5">
        <f t="shared" si="7"/>
        <v>502356.32183908048</v>
      </c>
      <c r="Q35" s="10">
        <f t="shared" si="8"/>
        <v>70450</v>
      </c>
      <c r="R35" s="11">
        <f t="shared" si="9"/>
        <v>0.14023910307745108</v>
      </c>
    </row>
    <row r="36" spans="1:18" x14ac:dyDescent="0.3">
      <c r="A36" s="7">
        <v>340001</v>
      </c>
      <c r="B36" s="7">
        <v>350000</v>
      </c>
      <c r="C36" s="7">
        <v>30000</v>
      </c>
      <c r="E36" s="7">
        <v>0</v>
      </c>
      <c r="F36" s="7">
        <f t="shared" si="10"/>
        <v>35000</v>
      </c>
      <c r="G36" s="13">
        <f t="shared" si="0"/>
        <v>5.7142857142857134E-2</v>
      </c>
      <c r="H36" s="7">
        <f t="shared" si="1"/>
        <v>13500</v>
      </c>
      <c r="I36" s="5">
        <f t="shared" si="2"/>
        <v>33500</v>
      </c>
      <c r="L36" s="5">
        <f t="shared" si="3"/>
        <v>448500</v>
      </c>
      <c r="M36" s="5">
        <f t="shared" si="4"/>
        <v>477127.6595744681</v>
      </c>
      <c r="N36" s="10">
        <f t="shared" si="5"/>
        <v>72000</v>
      </c>
      <c r="O36" s="11">
        <f t="shared" si="6"/>
        <v>0.15090301003344481</v>
      </c>
      <c r="P36" s="5">
        <f t="shared" si="7"/>
        <v>515517.24137931032</v>
      </c>
      <c r="Q36" s="10">
        <f t="shared" si="8"/>
        <v>72000</v>
      </c>
      <c r="R36" s="11">
        <f t="shared" si="9"/>
        <v>0.13966555183946489</v>
      </c>
    </row>
    <row r="37" spans="1:18" x14ac:dyDescent="0.3">
      <c r="A37" s="7">
        <v>350001</v>
      </c>
      <c r="B37" s="7">
        <v>360000</v>
      </c>
      <c r="C37" s="7">
        <v>30000</v>
      </c>
      <c r="E37" s="7">
        <v>0</v>
      </c>
      <c r="F37" s="7">
        <f t="shared" si="10"/>
        <v>36000</v>
      </c>
      <c r="G37" s="13">
        <f t="shared" si="0"/>
        <v>5.6111111111111084E-2</v>
      </c>
      <c r="H37" s="7">
        <f t="shared" si="1"/>
        <v>13750</v>
      </c>
      <c r="I37" s="5">
        <f t="shared" si="2"/>
        <v>33949.999999999985</v>
      </c>
      <c r="L37" s="5">
        <f t="shared" si="3"/>
        <v>459950</v>
      </c>
      <c r="M37" s="5">
        <f t="shared" si="4"/>
        <v>489308.51063829788</v>
      </c>
      <c r="N37" s="10">
        <f t="shared" si="5"/>
        <v>73550</v>
      </c>
      <c r="O37" s="11">
        <f t="shared" si="6"/>
        <v>0.15031416458310687</v>
      </c>
      <c r="P37" s="5">
        <f t="shared" si="7"/>
        <v>528678.16091954021</v>
      </c>
      <c r="Q37" s="10">
        <f t="shared" si="8"/>
        <v>73550</v>
      </c>
      <c r="R37" s="11">
        <f t="shared" si="9"/>
        <v>0.13912055658223721</v>
      </c>
    </row>
    <row r="38" spans="1:18" x14ac:dyDescent="0.3">
      <c r="A38" s="7">
        <v>360001</v>
      </c>
      <c r="B38" s="7">
        <v>370000</v>
      </c>
      <c r="C38" s="7">
        <v>30000</v>
      </c>
      <c r="E38" s="7">
        <v>0</v>
      </c>
      <c r="F38" s="7">
        <f t="shared" si="10"/>
        <v>37000</v>
      </c>
      <c r="G38" s="13">
        <f t="shared" si="0"/>
        <v>5.5135135135135127E-2</v>
      </c>
      <c r="H38" s="7">
        <f t="shared" si="1"/>
        <v>14000</v>
      </c>
      <c r="I38" s="5">
        <f t="shared" si="2"/>
        <v>34400</v>
      </c>
      <c r="L38" s="5">
        <f t="shared" si="3"/>
        <v>471400</v>
      </c>
      <c r="M38" s="5">
        <f t="shared" si="4"/>
        <v>501489.36170212767</v>
      </c>
      <c r="N38" s="10">
        <f t="shared" si="5"/>
        <v>75100</v>
      </c>
      <c r="O38" s="11">
        <f t="shared" si="6"/>
        <v>0.14975392448027153</v>
      </c>
      <c r="P38" s="5">
        <f t="shared" si="7"/>
        <v>541839.08045977016</v>
      </c>
      <c r="Q38" s="10">
        <f t="shared" si="8"/>
        <v>75100.000000000058</v>
      </c>
      <c r="R38" s="11">
        <f t="shared" si="9"/>
        <v>0.1386020364870599</v>
      </c>
    </row>
    <row r="39" spans="1:18" x14ac:dyDescent="0.3">
      <c r="A39" s="7">
        <v>370001</v>
      </c>
      <c r="B39" s="7">
        <v>380000</v>
      </c>
      <c r="C39" s="7">
        <v>30000</v>
      </c>
      <c r="E39" s="7">
        <v>0</v>
      </c>
      <c r="F39" s="7">
        <f t="shared" si="10"/>
        <v>38000</v>
      </c>
      <c r="G39" s="13">
        <f t="shared" si="0"/>
        <v>5.4210526315789459E-2</v>
      </c>
      <c r="H39" s="7">
        <f t="shared" si="1"/>
        <v>14250</v>
      </c>
      <c r="I39" s="5">
        <f t="shared" si="2"/>
        <v>34849.999999999993</v>
      </c>
      <c r="L39" s="5">
        <f t="shared" si="3"/>
        <v>482850</v>
      </c>
      <c r="M39" s="5">
        <f t="shared" si="4"/>
        <v>513670.21276595746</v>
      </c>
      <c r="N39" s="10">
        <f t="shared" si="5"/>
        <v>76650</v>
      </c>
      <c r="O39" s="11">
        <f t="shared" si="6"/>
        <v>0.14922025473749612</v>
      </c>
      <c r="P39" s="5">
        <f t="shared" si="7"/>
        <v>555000</v>
      </c>
      <c r="Q39" s="10">
        <f t="shared" si="8"/>
        <v>76650</v>
      </c>
      <c r="R39" s="11">
        <f t="shared" si="9"/>
        <v>0.13810810810810811</v>
      </c>
    </row>
    <row r="40" spans="1:18" x14ac:dyDescent="0.3">
      <c r="A40" s="7">
        <v>380001</v>
      </c>
      <c r="B40" s="7">
        <v>390000</v>
      </c>
      <c r="C40" s="7">
        <v>30000</v>
      </c>
      <c r="E40" s="7">
        <v>0</v>
      </c>
      <c r="F40" s="7">
        <f t="shared" si="10"/>
        <v>39000</v>
      </c>
      <c r="G40" s="13">
        <f t="shared" si="0"/>
        <v>5.3333333333333316E-2</v>
      </c>
      <c r="H40" s="7">
        <f t="shared" si="1"/>
        <v>14500</v>
      </c>
      <c r="I40" s="5">
        <f t="shared" si="2"/>
        <v>35299.999999999993</v>
      </c>
      <c r="L40" s="5">
        <f t="shared" si="3"/>
        <v>494300</v>
      </c>
      <c r="M40" s="5">
        <f t="shared" si="4"/>
        <v>525851.06382978731</v>
      </c>
      <c r="N40" s="10">
        <f t="shared" si="5"/>
        <v>78200.000000000058</v>
      </c>
      <c r="O40" s="11">
        <f t="shared" si="6"/>
        <v>0.14871130892170756</v>
      </c>
      <c r="P40" s="5">
        <f t="shared" si="7"/>
        <v>568160.91954022984</v>
      </c>
      <c r="Q40" s="10">
        <f t="shared" si="8"/>
        <v>78199.999999999942</v>
      </c>
      <c r="R40" s="11">
        <f t="shared" si="9"/>
        <v>0.13763706251264404</v>
      </c>
    </row>
    <row r="41" spans="1:18" x14ac:dyDescent="0.3">
      <c r="A41" s="7">
        <v>390001</v>
      </c>
      <c r="B41" s="7">
        <v>400000</v>
      </c>
      <c r="C41" s="7">
        <v>30000</v>
      </c>
      <c r="E41" s="7">
        <v>0</v>
      </c>
      <c r="F41" s="7">
        <f t="shared" si="10"/>
        <v>40000</v>
      </c>
      <c r="G41" s="13">
        <f t="shared" si="0"/>
        <v>5.2499999999999991E-2</v>
      </c>
      <c r="H41" s="7">
        <f t="shared" si="1"/>
        <v>14750</v>
      </c>
      <c r="I41" s="5">
        <f t="shared" si="2"/>
        <v>35750</v>
      </c>
      <c r="L41" s="5">
        <f t="shared" si="3"/>
        <v>505750</v>
      </c>
      <c r="M41" s="5">
        <f t="shared" si="4"/>
        <v>538031.91489361704</v>
      </c>
      <c r="N41" s="10">
        <f t="shared" si="5"/>
        <v>79750</v>
      </c>
      <c r="O41" s="11">
        <f t="shared" si="6"/>
        <v>0.1482254078101829</v>
      </c>
      <c r="P41" s="5">
        <f t="shared" si="7"/>
        <v>581321.83908045979</v>
      </c>
      <c r="Q41" s="10">
        <f t="shared" si="8"/>
        <v>79750</v>
      </c>
      <c r="R41" s="11">
        <f t="shared" si="9"/>
        <v>0.13718734552644588</v>
      </c>
    </row>
    <row r="42" spans="1:18" x14ac:dyDescent="0.3">
      <c r="A42" s="7">
        <v>400001</v>
      </c>
      <c r="B42" s="7">
        <v>410000</v>
      </c>
      <c r="C42" s="7">
        <v>30000</v>
      </c>
      <c r="E42" s="7">
        <v>0</v>
      </c>
      <c r="F42" s="7">
        <f t="shared" si="10"/>
        <v>41000</v>
      </c>
      <c r="G42" s="13">
        <f t="shared" si="0"/>
        <v>5.1707317073170722E-2</v>
      </c>
      <c r="H42" s="7">
        <f t="shared" si="1"/>
        <v>15000</v>
      </c>
      <c r="I42" s="5">
        <f t="shared" si="2"/>
        <v>36200</v>
      </c>
      <c r="L42" s="5">
        <f t="shared" si="3"/>
        <v>517200</v>
      </c>
      <c r="M42" s="5">
        <f t="shared" si="4"/>
        <v>550212.76595744689</v>
      </c>
      <c r="N42" s="10">
        <f t="shared" si="5"/>
        <v>81300.000000000058</v>
      </c>
      <c r="O42" s="11">
        <f t="shared" si="6"/>
        <v>0.14776102088167062</v>
      </c>
      <c r="P42" s="5">
        <f t="shared" si="7"/>
        <v>594482.75862068962</v>
      </c>
      <c r="Q42" s="10">
        <f t="shared" si="8"/>
        <v>81299.999999999942</v>
      </c>
      <c r="R42" s="11">
        <f t="shared" si="9"/>
        <v>0.13675754060324816</v>
      </c>
    </row>
    <row r="43" spans="1:18" x14ac:dyDescent="0.3">
      <c r="A43" s="7">
        <v>410001</v>
      </c>
      <c r="B43" s="7">
        <v>420000</v>
      </c>
      <c r="C43" s="7">
        <v>30000</v>
      </c>
      <c r="E43" s="7">
        <v>0</v>
      </c>
      <c r="F43" s="7">
        <f t="shared" si="10"/>
        <v>42000</v>
      </c>
      <c r="G43" s="13">
        <f t="shared" si="0"/>
        <v>5.0952380952380943E-2</v>
      </c>
      <c r="H43" s="7">
        <f t="shared" si="1"/>
        <v>15250</v>
      </c>
      <c r="I43" s="5">
        <f t="shared" si="2"/>
        <v>36650</v>
      </c>
      <c r="L43" s="5">
        <f t="shared" si="3"/>
        <v>528650</v>
      </c>
      <c r="M43" s="5">
        <f t="shared" si="4"/>
        <v>562393.61702127662</v>
      </c>
      <c r="N43" s="10">
        <f t="shared" si="5"/>
        <v>82850</v>
      </c>
      <c r="O43" s="11">
        <f t="shared" si="6"/>
        <v>0.14731675021280619</v>
      </c>
      <c r="P43" s="5">
        <f t="shared" si="7"/>
        <v>607643.67816091958</v>
      </c>
      <c r="Q43" s="10">
        <f t="shared" si="8"/>
        <v>82850</v>
      </c>
      <c r="R43" s="11">
        <f t="shared" si="9"/>
        <v>0.13634635392036318</v>
      </c>
    </row>
    <row r="44" spans="1:18" x14ac:dyDescent="0.3">
      <c r="A44" s="7">
        <v>420001</v>
      </c>
      <c r="B44" s="7">
        <v>430000</v>
      </c>
      <c r="C44" s="7">
        <v>30000</v>
      </c>
      <c r="E44" s="7">
        <v>0</v>
      </c>
      <c r="F44" s="7">
        <f t="shared" si="10"/>
        <v>43000</v>
      </c>
      <c r="G44" s="13">
        <f t="shared" si="0"/>
        <v>5.0232558139534866E-2</v>
      </c>
      <c r="H44" s="7">
        <f t="shared" si="1"/>
        <v>15500</v>
      </c>
      <c r="I44" s="5">
        <f t="shared" si="2"/>
        <v>37099.999999999993</v>
      </c>
      <c r="L44" s="5">
        <f t="shared" si="3"/>
        <v>540100</v>
      </c>
      <c r="M44" s="5">
        <f t="shared" si="4"/>
        <v>574574.46808510646</v>
      </c>
      <c r="N44" s="10">
        <f t="shared" si="5"/>
        <v>84400</v>
      </c>
      <c r="O44" s="11">
        <f t="shared" si="6"/>
        <v>0.14689131642288464</v>
      </c>
      <c r="P44" s="5">
        <f t="shared" si="7"/>
        <v>620804.59770114941</v>
      </c>
      <c r="Q44" s="10">
        <f t="shared" si="8"/>
        <v>84400</v>
      </c>
      <c r="R44" s="11">
        <f t="shared" si="9"/>
        <v>0.13595260137011664</v>
      </c>
    </row>
    <row r="45" spans="1:18" x14ac:dyDescent="0.3">
      <c r="A45" s="7">
        <v>430001</v>
      </c>
      <c r="B45" s="7">
        <v>440000</v>
      </c>
      <c r="C45" s="7">
        <v>30000</v>
      </c>
      <c r="E45" s="7">
        <v>0</v>
      </c>
      <c r="F45" s="7">
        <f t="shared" si="10"/>
        <v>44000</v>
      </c>
      <c r="G45" s="13">
        <f t="shared" si="0"/>
        <v>4.9545454545454531E-2</v>
      </c>
      <c r="H45" s="7">
        <f t="shared" si="1"/>
        <v>15750</v>
      </c>
      <c r="I45" s="5">
        <f t="shared" si="2"/>
        <v>37549.999999999993</v>
      </c>
      <c r="L45" s="5">
        <f t="shared" si="3"/>
        <v>551550</v>
      </c>
      <c r="M45" s="5">
        <f t="shared" si="4"/>
        <v>586755.31914893619</v>
      </c>
      <c r="N45" s="10">
        <f t="shared" si="5"/>
        <v>85950</v>
      </c>
      <c r="O45" s="11">
        <f t="shared" si="6"/>
        <v>0.14648354636932281</v>
      </c>
      <c r="P45" s="5">
        <f t="shared" si="7"/>
        <v>633965.51724137936</v>
      </c>
      <c r="Q45" s="10">
        <f t="shared" si="8"/>
        <v>85950</v>
      </c>
      <c r="R45" s="11">
        <f t="shared" si="9"/>
        <v>0.13557519717160726</v>
      </c>
    </row>
    <row r="46" spans="1:18" x14ac:dyDescent="0.3">
      <c r="A46" s="7">
        <v>440001</v>
      </c>
      <c r="B46" s="7">
        <v>450000</v>
      </c>
      <c r="C46" s="7">
        <v>30000</v>
      </c>
      <c r="E46" s="7">
        <v>0</v>
      </c>
      <c r="F46" s="7">
        <f t="shared" si="10"/>
        <v>45000</v>
      </c>
      <c r="G46" s="13">
        <f t="shared" si="0"/>
        <v>4.8888888888888871E-2</v>
      </c>
      <c r="H46" s="7">
        <f t="shared" si="1"/>
        <v>16000</v>
      </c>
      <c r="I46" s="5">
        <f t="shared" si="2"/>
        <v>37999.999999999993</v>
      </c>
      <c r="L46" s="5">
        <f t="shared" si="3"/>
        <v>563000</v>
      </c>
      <c r="M46" s="5">
        <f t="shared" si="4"/>
        <v>598936.17021276604</v>
      </c>
      <c r="N46" s="10">
        <f t="shared" si="5"/>
        <v>87500</v>
      </c>
      <c r="O46" s="11">
        <f t="shared" si="6"/>
        <v>0.14609236234458256</v>
      </c>
      <c r="P46" s="5">
        <f t="shared" si="7"/>
        <v>647126.4367816092</v>
      </c>
      <c r="Q46" s="10">
        <f t="shared" si="8"/>
        <v>87500</v>
      </c>
      <c r="R46" s="11">
        <f t="shared" si="9"/>
        <v>0.13521314387211367</v>
      </c>
    </row>
    <row r="47" spans="1:18" x14ac:dyDescent="0.3">
      <c r="A47" s="7">
        <v>450001</v>
      </c>
      <c r="B47" s="7">
        <v>460000</v>
      </c>
      <c r="C47" s="7">
        <v>30000</v>
      </c>
      <c r="E47" s="7">
        <v>0</v>
      </c>
      <c r="F47" s="7">
        <f t="shared" si="10"/>
        <v>46000</v>
      </c>
      <c r="G47" s="13">
        <f t="shared" si="0"/>
        <v>4.8260869565217385E-2</v>
      </c>
      <c r="H47" s="7">
        <f t="shared" si="1"/>
        <v>16250</v>
      </c>
      <c r="I47" s="5">
        <f t="shared" si="2"/>
        <v>38450</v>
      </c>
      <c r="L47" s="5">
        <f t="shared" si="3"/>
        <v>574450</v>
      </c>
      <c r="M47" s="5">
        <f t="shared" si="4"/>
        <v>611117.02127659577</v>
      </c>
      <c r="N47" s="10">
        <f t="shared" si="5"/>
        <v>89050</v>
      </c>
      <c r="O47" s="11">
        <f t="shared" si="6"/>
        <v>0.14571677256506221</v>
      </c>
      <c r="P47" s="5">
        <f t="shared" si="7"/>
        <v>660287.35632183903</v>
      </c>
      <c r="Q47" s="10">
        <f t="shared" si="8"/>
        <v>89050</v>
      </c>
      <c r="R47" s="11">
        <f t="shared" si="9"/>
        <v>0.13486552354425974</v>
      </c>
    </row>
    <row r="48" spans="1:18" x14ac:dyDescent="0.3">
      <c r="A48" s="7">
        <v>460001</v>
      </c>
      <c r="B48" s="7">
        <v>470000</v>
      </c>
      <c r="C48" s="7">
        <v>30000</v>
      </c>
      <c r="E48" s="7">
        <v>0</v>
      </c>
      <c r="F48" s="7">
        <f t="shared" si="10"/>
        <v>47000</v>
      </c>
      <c r="G48" s="13">
        <f t="shared" si="0"/>
        <v>4.7659574468085081E-2</v>
      </c>
      <c r="H48" s="7">
        <f t="shared" si="1"/>
        <v>16500</v>
      </c>
      <c r="I48" s="5">
        <f t="shared" si="2"/>
        <v>38899.999999999985</v>
      </c>
      <c r="L48" s="5">
        <f t="shared" si="3"/>
        <v>585900</v>
      </c>
      <c r="M48" s="5">
        <f t="shared" si="4"/>
        <v>623297.87234042562</v>
      </c>
      <c r="N48" s="10">
        <f t="shared" si="5"/>
        <v>90600</v>
      </c>
      <c r="O48" s="11">
        <f t="shared" si="6"/>
        <v>0.14535586277521759</v>
      </c>
      <c r="P48" s="5">
        <f t="shared" si="7"/>
        <v>673448.27586206899</v>
      </c>
      <c r="Q48" s="10">
        <f t="shared" si="8"/>
        <v>90600</v>
      </c>
      <c r="R48" s="11">
        <f t="shared" si="9"/>
        <v>0.13453149001536097</v>
      </c>
    </row>
    <row r="49" spans="1:18" x14ac:dyDescent="0.3">
      <c r="A49" s="7">
        <v>470001</v>
      </c>
      <c r="B49" s="7">
        <v>480000</v>
      </c>
      <c r="C49" s="7">
        <v>30000</v>
      </c>
      <c r="E49" s="7">
        <v>0</v>
      </c>
      <c r="F49" s="7">
        <f t="shared" si="10"/>
        <v>48000</v>
      </c>
      <c r="G49" s="13">
        <f t="shared" si="0"/>
        <v>4.7083333333333338E-2</v>
      </c>
      <c r="H49" s="7">
        <f t="shared" si="1"/>
        <v>16750</v>
      </c>
      <c r="I49" s="5">
        <f t="shared" si="2"/>
        <v>39350</v>
      </c>
      <c r="L49" s="5">
        <f t="shared" si="3"/>
        <v>597350</v>
      </c>
      <c r="M49" s="5">
        <f t="shared" si="4"/>
        <v>635478.72340425535</v>
      </c>
      <c r="N49" s="10">
        <f t="shared" si="5"/>
        <v>92150</v>
      </c>
      <c r="O49" s="11">
        <f t="shared" si="6"/>
        <v>0.1450087888172763</v>
      </c>
      <c r="P49" s="5">
        <f t="shared" si="7"/>
        <v>686609.19540229882</v>
      </c>
      <c r="Q49" s="10">
        <f t="shared" si="8"/>
        <v>92150</v>
      </c>
      <c r="R49" s="11">
        <f t="shared" si="9"/>
        <v>0.13421026199045785</v>
      </c>
    </row>
    <row r="50" spans="1:18" x14ac:dyDescent="0.3">
      <c r="A50" s="7">
        <v>480001</v>
      </c>
      <c r="B50" s="7">
        <v>490000</v>
      </c>
      <c r="C50" s="7">
        <v>30000</v>
      </c>
      <c r="E50" s="7">
        <v>0</v>
      </c>
      <c r="F50" s="7">
        <f t="shared" si="10"/>
        <v>49000</v>
      </c>
      <c r="G50" s="13">
        <f t="shared" si="0"/>
        <v>4.6530612244897934E-2</v>
      </c>
      <c r="H50" s="7">
        <f t="shared" si="1"/>
        <v>17000</v>
      </c>
      <c r="I50" s="5">
        <f t="shared" si="2"/>
        <v>39799.999999999985</v>
      </c>
      <c r="L50" s="5">
        <f t="shared" si="3"/>
        <v>608800</v>
      </c>
      <c r="M50" s="5">
        <f t="shared" si="4"/>
        <v>647659.57446808519</v>
      </c>
      <c r="N50" s="10">
        <f t="shared" si="5"/>
        <v>93700</v>
      </c>
      <c r="O50" s="11">
        <f t="shared" si="6"/>
        <v>0.14467477003942181</v>
      </c>
      <c r="P50" s="5">
        <f t="shared" si="7"/>
        <v>699770.11494252877</v>
      </c>
      <c r="Q50" s="10">
        <f t="shared" si="8"/>
        <v>93700</v>
      </c>
      <c r="R50" s="11">
        <f t="shared" si="9"/>
        <v>0.13390111695137977</v>
      </c>
    </row>
    <row r="51" spans="1:18" x14ac:dyDescent="0.3">
      <c r="A51" s="7">
        <v>490001</v>
      </c>
      <c r="B51" s="7">
        <v>500000</v>
      </c>
      <c r="C51" s="7">
        <v>30000</v>
      </c>
      <c r="E51" s="7">
        <v>0</v>
      </c>
      <c r="F51" s="7">
        <f t="shared" si="10"/>
        <v>50000</v>
      </c>
      <c r="G51" s="13">
        <f t="shared" si="0"/>
        <v>4.5999999999999985E-2</v>
      </c>
      <c r="H51" s="7">
        <f t="shared" si="1"/>
        <v>17250</v>
      </c>
      <c r="I51" s="5">
        <f t="shared" si="2"/>
        <v>40249.999999999993</v>
      </c>
      <c r="L51" s="5">
        <f t="shared" si="3"/>
        <v>620250</v>
      </c>
      <c r="M51" s="5">
        <f t="shared" si="4"/>
        <v>659840.42553191492</v>
      </c>
      <c r="N51" s="10">
        <f t="shared" si="5"/>
        <v>95250</v>
      </c>
      <c r="O51" s="11">
        <f t="shared" si="6"/>
        <v>0.14435308343409914</v>
      </c>
      <c r="P51" s="5">
        <f t="shared" si="7"/>
        <v>712931.03448275861</v>
      </c>
      <c r="Q51" s="10">
        <f t="shared" si="8"/>
        <v>95250</v>
      </c>
      <c r="R51" s="11">
        <f t="shared" si="9"/>
        <v>0.13360338573155986</v>
      </c>
    </row>
    <row r="52" spans="1:18" x14ac:dyDescent="0.3">
      <c r="A52" s="7">
        <v>500001</v>
      </c>
      <c r="B52" s="7">
        <v>510000</v>
      </c>
      <c r="C52" s="7">
        <v>30000</v>
      </c>
      <c r="E52" s="7">
        <v>0</v>
      </c>
      <c r="F52" s="7">
        <f t="shared" si="10"/>
        <v>51000</v>
      </c>
      <c r="G52" s="13">
        <f t="shared" si="0"/>
        <v>4.5490196078431355E-2</v>
      </c>
      <c r="H52" s="7">
        <f t="shared" si="1"/>
        <v>17500</v>
      </c>
      <c r="I52" s="5">
        <f t="shared" si="2"/>
        <v>40699.999999999993</v>
      </c>
      <c r="L52" s="5">
        <f t="shared" si="3"/>
        <v>631700</v>
      </c>
      <c r="M52" s="5">
        <f t="shared" si="4"/>
        <v>672021.27659574477</v>
      </c>
      <c r="N52" s="10">
        <f t="shared" si="5"/>
        <v>96800</v>
      </c>
      <c r="O52" s="11">
        <f t="shared" si="6"/>
        <v>0.14404305841380399</v>
      </c>
      <c r="P52" s="5">
        <f t="shared" si="7"/>
        <v>726091.95402298856</v>
      </c>
      <c r="Q52" s="10">
        <f t="shared" si="8"/>
        <v>96800</v>
      </c>
      <c r="R52" s="11">
        <f t="shared" si="9"/>
        <v>0.13331644768086115</v>
      </c>
    </row>
    <row r="53" spans="1:18" x14ac:dyDescent="0.3">
      <c r="A53" s="7">
        <v>510001</v>
      </c>
      <c r="B53" s="7">
        <v>520000</v>
      </c>
      <c r="C53" s="7">
        <v>30000</v>
      </c>
      <c r="E53" s="7">
        <v>0</v>
      </c>
      <c r="F53" s="7">
        <f t="shared" si="10"/>
        <v>52000</v>
      </c>
      <c r="G53" s="13">
        <f t="shared" si="0"/>
        <v>4.4999999999999984E-2</v>
      </c>
      <c r="H53" s="7">
        <f t="shared" si="1"/>
        <v>17750</v>
      </c>
      <c r="I53" s="5">
        <f t="shared" si="2"/>
        <v>41149.999999999993</v>
      </c>
      <c r="L53" s="5">
        <f t="shared" si="3"/>
        <v>643150</v>
      </c>
      <c r="M53" s="5">
        <f t="shared" si="4"/>
        <v>684202.1276595745</v>
      </c>
      <c r="N53" s="10">
        <f t="shared" si="5"/>
        <v>98350</v>
      </c>
      <c r="O53" s="11">
        <f t="shared" si="6"/>
        <v>0.14374407214491175</v>
      </c>
      <c r="P53" s="5">
        <f t="shared" si="7"/>
        <v>739252.8735632184</v>
      </c>
      <c r="Q53" s="10">
        <f t="shared" si="8"/>
        <v>98350</v>
      </c>
      <c r="R53" s="11">
        <f t="shared" si="9"/>
        <v>0.13303972634688641</v>
      </c>
    </row>
    <row r="54" spans="1:18" x14ac:dyDescent="0.3">
      <c r="A54" s="7">
        <v>520001</v>
      </c>
      <c r="B54" s="7">
        <v>530000</v>
      </c>
      <c r="C54" s="7">
        <v>30000</v>
      </c>
      <c r="E54" s="7">
        <v>0</v>
      </c>
      <c r="F54" s="7">
        <f t="shared" si="10"/>
        <v>53000</v>
      </c>
      <c r="G54" s="13">
        <f t="shared" si="0"/>
        <v>4.4528301886792437E-2</v>
      </c>
      <c r="H54" s="7">
        <f t="shared" si="1"/>
        <v>18000</v>
      </c>
      <c r="I54" s="5">
        <f t="shared" si="2"/>
        <v>41599.999999999993</v>
      </c>
      <c r="L54" s="5">
        <f t="shared" si="3"/>
        <v>654600</v>
      </c>
      <c r="M54" s="5">
        <f t="shared" si="4"/>
        <v>696382.97872340435</v>
      </c>
      <c r="N54" s="10">
        <f t="shared" si="5"/>
        <v>99900</v>
      </c>
      <c r="O54" s="11">
        <f t="shared" si="6"/>
        <v>0.14345554537121905</v>
      </c>
      <c r="P54" s="5">
        <f t="shared" si="7"/>
        <v>752413.79310344823</v>
      </c>
      <c r="Q54" s="10">
        <f t="shared" si="8"/>
        <v>99900</v>
      </c>
      <c r="R54" s="11">
        <f t="shared" si="9"/>
        <v>0.13277268560953254</v>
      </c>
    </row>
    <row r="55" spans="1:18" x14ac:dyDescent="0.3">
      <c r="A55" s="7">
        <v>530001</v>
      </c>
      <c r="B55" s="7">
        <v>540000</v>
      </c>
      <c r="C55" s="7">
        <v>30000</v>
      </c>
      <c r="E55" s="7">
        <v>0</v>
      </c>
      <c r="F55" s="7">
        <f t="shared" si="10"/>
        <v>54000</v>
      </c>
      <c r="G55" s="13">
        <f t="shared" si="0"/>
        <v>4.4074074074074071E-2</v>
      </c>
      <c r="H55" s="7">
        <f t="shared" si="1"/>
        <v>18250</v>
      </c>
      <c r="I55" s="5">
        <f t="shared" si="2"/>
        <v>42050</v>
      </c>
      <c r="L55" s="5">
        <f t="shared" si="3"/>
        <v>666050</v>
      </c>
      <c r="M55" s="5">
        <f t="shared" si="4"/>
        <v>708563.82978723408</v>
      </c>
      <c r="N55" s="10">
        <f t="shared" si="5"/>
        <v>101450</v>
      </c>
      <c r="O55" s="11">
        <f t="shared" si="6"/>
        <v>0.14317693866826814</v>
      </c>
      <c r="P55" s="5">
        <f t="shared" si="7"/>
        <v>765574.71264367818</v>
      </c>
      <c r="Q55" s="10">
        <f t="shared" si="8"/>
        <v>101450</v>
      </c>
      <c r="R55" s="11">
        <f t="shared" si="9"/>
        <v>0.13251482621424818</v>
      </c>
    </row>
    <row r="56" spans="1:18" x14ac:dyDescent="0.3">
      <c r="A56" s="7">
        <v>540001</v>
      </c>
      <c r="B56" s="7">
        <v>550000</v>
      </c>
      <c r="C56" s="7">
        <v>30000</v>
      </c>
      <c r="E56" s="7">
        <v>0</v>
      </c>
      <c r="F56" s="7">
        <f t="shared" si="10"/>
        <v>55000</v>
      </c>
      <c r="G56" s="13">
        <f t="shared" si="0"/>
        <v>4.3636363636363612E-2</v>
      </c>
      <c r="H56" s="7">
        <f t="shared" si="1"/>
        <v>18500</v>
      </c>
      <c r="I56" s="5">
        <f t="shared" si="2"/>
        <v>42499.999999999985</v>
      </c>
      <c r="L56" s="5">
        <f t="shared" si="3"/>
        <v>677500</v>
      </c>
      <c r="M56" s="5">
        <f t="shared" si="4"/>
        <v>720744.68085106392</v>
      </c>
      <c r="N56" s="10">
        <f t="shared" si="5"/>
        <v>103000</v>
      </c>
      <c r="O56" s="11">
        <f t="shared" si="6"/>
        <v>0.14290774907749076</v>
      </c>
      <c r="P56" s="5">
        <f t="shared" si="7"/>
        <v>778735.63218390802</v>
      </c>
      <c r="Q56" s="10">
        <f t="shared" si="8"/>
        <v>103000</v>
      </c>
      <c r="R56" s="11">
        <f t="shared" si="9"/>
        <v>0.13226568265682656</v>
      </c>
    </row>
    <row r="57" spans="1:18" x14ac:dyDescent="0.3">
      <c r="A57" s="7">
        <v>550001</v>
      </c>
      <c r="B57" s="7">
        <v>600000</v>
      </c>
      <c r="C57" s="7">
        <v>30000</v>
      </c>
      <c r="E57" s="7">
        <v>0</v>
      </c>
      <c r="F57" s="7">
        <f t="shared" si="10"/>
        <v>60000</v>
      </c>
      <c r="G57" s="13">
        <f t="shared" si="0"/>
        <v>4.1666666666666657E-2</v>
      </c>
      <c r="H57" s="7">
        <f t="shared" si="1"/>
        <v>19750</v>
      </c>
      <c r="I57" s="5">
        <f t="shared" si="2"/>
        <v>44749.999999999993</v>
      </c>
      <c r="L57" s="5">
        <f t="shared" si="3"/>
        <v>734750</v>
      </c>
      <c r="M57" s="5">
        <f t="shared" si="4"/>
        <v>781648.93617021281</v>
      </c>
      <c r="N57" s="10">
        <f t="shared" si="5"/>
        <v>110750</v>
      </c>
      <c r="O57" s="11">
        <f t="shared" si="6"/>
        <v>0.1416876488601565</v>
      </c>
      <c r="P57" s="5">
        <f t="shared" si="7"/>
        <v>844540.22988505743</v>
      </c>
      <c r="Q57" s="10">
        <f t="shared" si="8"/>
        <v>110750</v>
      </c>
      <c r="R57" s="11">
        <f t="shared" si="9"/>
        <v>0.13113644096631508</v>
      </c>
    </row>
    <row r="58" spans="1:18" x14ac:dyDescent="0.3">
      <c r="A58" s="7">
        <v>600001</v>
      </c>
      <c r="B58" s="7">
        <v>650000</v>
      </c>
      <c r="C58" s="7">
        <v>30000</v>
      </c>
      <c r="E58" s="7">
        <v>0</v>
      </c>
      <c r="F58" s="7">
        <f t="shared" si="10"/>
        <v>65000</v>
      </c>
      <c r="G58" s="13">
        <f t="shared" si="0"/>
        <v>3.999999999999998E-2</v>
      </c>
      <c r="H58" s="7">
        <f t="shared" si="1"/>
        <v>21000</v>
      </c>
      <c r="I58" s="5">
        <f t="shared" si="2"/>
        <v>46999.999999999985</v>
      </c>
      <c r="L58" s="5">
        <f t="shared" si="3"/>
        <v>792000</v>
      </c>
      <c r="M58" s="5">
        <f t="shared" si="4"/>
        <v>842553.19148936169</v>
      </c>
      <c r="N58" s="10">
        <f t="shared" si="5"/>
        <v>118500</v>
      </c>
      <c r="O58" s="11">
        <f t="shared" si="6"/>
        <v>0.1406439393939394</v>
      </c>
      <c r="P58" s="5">
        <f t="shared" si="7"/>
        <v>910344.82758620696</v>
      </c>
      <c r="Q58" s="10">
        <f t="shared" si="8"/>
        <v>118500</v>
      </c>
      <c r="R58" s="11">
        <f t="shared" si="9"/>
        <v>0.13017045454545453</v>
      </c>
    </row>
    <row r="59" spans="1:18" x14ac:dyDescent="0.3">
      <c r="A59" s="7">
        <v>650001</v>
      </c>
      <c r="B59" s="7">
        <v>700000</v>
      </c>
      <c r="C59" s="7">
        <v>30000</v>
      </c>
      <c r="E59" s="7">
        <v>0</v>
      </c>
      <c r="F59" s="7">
        <f t="shared" si="10"/>
        <v>70000</v>
      </c>
      <c r="G59" s="13">
        <f t="shared" si="0"/>
        <v>3.8571428571428562E-2</v>
      </c>
      <c r="H59" s="7">
        <f t="shared" si="1"/>
        <v>22250</v>
      </c>
      <c r="I59" s="5">
        <f t="shared" si="2"/>
        <v>49249.999999999993</v>
      </c>
      <c r="L59" s="5">
        <f t="shared" si="3"/>
        <v>849250</v>
      </c>
      <c r="M59" s="5">
        <f t="shared" si="4"/>
        <v>903457.44680851069</v>
      </c>
      <c r="N59" s="10">
        <f t="shared" si="5"/>
        <v>126250</v>
      </c>
      <c r="O59" s="11">
        <f t="shared" si="6"/>
        <v>0.13974094789520164</v>
      </c>
      <c r="P59" s="5">
        <f t="shared" si="7"/>
        <v>976149.42528735637</v>
      </c>
      <c r="Q59" s="10">
        <f t="shared" si="8"/>
        <v>126250</v>
      </c>
      <c r="R59" s="11">
        <f t="shared" si="9"/>
        <v>0.12933470709449513</v>
      </c>
    </row>
    <row r="60" spans="1:18" x14ac:dyDescent="0.3">
      <c r="A60" s="7">
        <v>700001</v>
      </c>
      <c r="B60" s="7">
        <v>750000</v>
      </c>
      <c r="C60" s="7">
        <v>30000</v>
      </c>
      <c r="E60" s="7">
        <v>0</v>
      </c>
      <c r="F60" s="7">
        <f t="shared" si="10"/>
        <v>75000</v>
      </c>
      <c r="G60" s="13">
        <f t="shared" si="0"/>
        <v>3.7333333333333329E-2</v>
      </c>
      <c r="H60" s="7">
        <f t="shared" si="1"/>
        <v>23500</v>
      </c>
      <c r="I60" s="5">
        <f t="shared" si="2"/>
        <v>51500</v>
      </c>
      <c r="L60" s="5">
        <f t="shared" si="3"/>
        <v>906500</v>
      </c>
      <c r="M60" s="5">
        <f t="shared" si="4"/>
        <v>964361.70212765958</v>
      </c>
      <c r="N60" s="10">
        <f t="shared" si="5"/>
        <v>134000</v>
      </c>
      <c r="O60" s="11">
        <f t="shared" si="6"/>
        <v>0.13895201323772752</v>
      </c>
      <c r="P60" s="5">
        <f t="shared" si="7"/>
        <v>1041954.0229885058</v>
      </c>
      <c r="Q60" s="10">
        <f t="shared" si="8"/>
        <v>134000</v>
      </c>
      <c r="R60" s="11">
        <f t="shared" si="9"/>
        <v>0.12860452289023716</v>
      </c>
    </row>
    <row r="61" spans="1:18" x14ac:dyDescent="0.3">
      <c r="A61" s="7">
        <v>750001</v>
      </c>
      <c r="B61" s="7">
        <v>800000</v>
      </c>
      <c r="C61" s="7">
        <v>30000</v>
      </c>
      <c r="E61" s="7">
        <v>0</v>
      </c>
      <c r="F61" s="7">
        <f t="shared" si="10"/>
        <v>80000</v>
      </c>
      <c r="G61" s="13">
        <f t="shared" si="0"/>
        <v>3.6249999999999977E-2</v>
      </c>
      <c r="H61" s="7">
        <f t="shared" si="1"/>
        <v>24750</v>
      </c>
      <c r="I61" s="5">
        <f t="shared" si="2"/>
        <v>53749.999999999985</v>
      </c>
      <c r="L61" s="5">
        <f t="shared" si="3"/>
        <v>963750</v>
      </c>
      <c r="M61" s="5">
        <f t="shared" si="4"/>
        <v>1025265.9574468086</v>
      </c>
      <c r="N61" s="10">
        <f t="shared" si="5"/>
        <v>141750</v>
      </c>
      <c r="O61" s="11">
        <f t="shared" si="6"/>
        <v>0.13825680933852139</v>
      </c>
      <c r="P61" s="5">
        <f t="shared" si="7"/>
        <v>1107758.6206896552</v>
      </c>
      <c r="Q61" s="10">
        <f t="shared" si="8"/>
        <v>141750</v>
      </c>
      <c r="R61" s="11">
        <f t="shared" si="9"/>
        <v>0.12796108949416343</v>
      </c>
    </row>
    <row r="62" spans="1:18" x14ac:dyDescent="0.3">
      <c r="A62" s="7">
        <v>800001</v>
      </c>
      <c r="B62" s="7">
        <v>850000</v>
      </c>
      <c r="C62" s="7">
        <v>30000</v>
      </c>
      <c r="E62" s="7">
        <v>0</v>
      </c>
      <c r="F62" s="7">
        <f t="shared" si="10"/>
        <v>85000</v>
      </c>
      <c r="G62" s="13">
        <f t="shared" si="0"/>
        <v>3.5294117647058809E-2</v>
      </c>
      <c r="H62" s="7">
        <f t="shared" si="1"/>
        <v>26000</v>
      </c>
      <c r="I62" s="5">
        <f t="shared" si="2"/>
        <v>55999.999999999985</v>
      </c>
      <c r="L62" s="5">
        <f t="shared" si="3"/>
        <v>1021000</v>
      </c>
      <c r="M62" s="5">
        <f t="shared" si="4"/>
        <v>1086170.2127659575</v>
      </c>
      <c r="N62" s="10">
        <f t="shared" si="5"/>
        <v>149500</v>
      </c>
      <c r="O62" s="11">
        <f t="shared" si="6"/>
        <v>0.13763956904995103</v>
      </c>
      <c r="P62" s="5">
        <f t="shared" si="7"/>
        <v>1173563.2183908047</v>
      </c>
      <c r="Q62" s="10">
        <f t="shared" si="8"/>
        <v>149500.00000000012</v>
      </c>
      <c r="R62" s="11">
        <f t="shared" si="9"/>
        <v>0.1273898139079335</v>
      </c>
    </row>
    <row r="63" spans="1:18" x14ac:dyDescent="0.3">
      <c r="A63" s="7">
        <v>850001</v>
      </c>
      <c r="B63" s="7">
        <v>900000</v>
      </c>
      <c r="C63" s="7">
        <v>30000</v>
      </c>
      <c r="E63" s="7">
        <v>0</v>
      </c>
      <c r="F63" s="7">
        <f t="shared" si="10"/>
        <v>90000</v>
      </c>
      <c r="G63" s="13">
        <f t="shared" si="0"/>
        <v>3.4444444444444444E-2</v>
      </c>
      <c r="H63" s="7">
        <f t="shared" si="1"/>
        <v>27250</v>
      </c>
      <c r="I63" s="5">
        <f t="shared" si="2"/>
        <v>58250</v>
      </c>
      <c r="L63" s="5">
        <f t="shared" si="3"/>
        <v>1078250</v>
      </c>
      <c r="M63" s="5">
        <f t="shared" si="4"/>
        <v>1147074.4680851065</v>
      </c>
      <c r="N63" s="10">
        <f t="shared" si="5"/>
        <v>157250</v>
      </c>
      <c r="O63" s="11">
        <f t="shared" si="6"/>
        <v>0.13708787386969626</v>
      </c>
      <c r="P63" s="5">
        <f t="shared" si="7"/>
        <v>1239367.816091954</v>
      </c>
      <c r="Q63" s="10">
        <f t="shared" si="8"/>
        <v>157250</v>
      </c>
      <c r="R63" s="11">
        <f t="shared" si="9"/>
        <v>0.12687920241131462</v>
      </c>
    </row>
    <row r="64" spans="1:18" x14ac:dyDescent="0.3">
      <c r="A64" s="7">
        <v>900001</v>
      </c>
      <c r="B64" s="7">
        <v>950000</v>
      </c>
      <c r="C64" s="7">
        <v>30000</v>
      </c>
      <c r="E64" s="7">
        <v>0</v>
      </c>
      <c r="F64" s="7">
        <f t="shared" si="10"/>
        <v>95000</v>
      </c>
      <c r="G64" s="13">
        <f t="shared" si="0"/>
        <v>3.3684210526315789E-2</v>
      </c>
      <c r="H64" s="7">
        <f t="shared" si="1"/>
        <v>28500</v>
      </c>
      <c r="I64" s="5">
        <f t="shared" si="2"/>
        <v>60500</v>
      </c>
      <c r="L64" s="5">
        <f t="shared" si="3"/>
        <v>1135500</v>
      </c>
      <c r="M64" s="5">
        <f t="shared" si="4"/>
        <v>1207978.7234042555</v>
      </c>
      <c r="N64" s="10">
        <f t="shared" si="5"/>
        <v>165000</v>
      </c>
      <c r="O64" s="11">
        <f t="shared" si="6"/>
        <v>0.13659180977542931</v>
      </c>
      <c r="P64" s="5">
        <f t="shared" si="7"/>
        <v>1305172.4137931035</v>
      </c>
      <c r="Q64" s="10">
        <f t="shared" si="8"/>
        <v>165000</v>
      </c>
      <c r="R64" s="11">
        <f t="shared" si="9"/>
        <v>0.12642007926023777</v>
      </c>
    </row>
    <row r="65" spans="1:18" x14ac:dyDescent="0.3">
      <c r="A65" s="7">
        <v>950001</v>
      </c>
      <c r="B65" s="7">
        <v>1000000</v>
      </c>
      <c r="C65" s="7">
        <v>30000</v>
      </c>
      <c r="E65" s="7">
        <v>0</v>
      </c>
      <c r="F65" s="7">
        <f t="shared" si="10"/>
        <v>100000</v>
      </c>
      <c r="G65" s="13">
        <f t="shared" si="0"/>
        <v>3.3000000000000002E-2</v>
      </c>
      <c r="H65" s="7">
        <f t="shared" si="1"/>
        <v>29750</v>
      </c>
      <c r="I65" s="5">
        <f t="shared" si="2"/>
        <v>62750</v>
      </c>
      <c r="L65" s="5">
        <f t="shared" si="3"/>
        <v>1192750</v>
      </c>
      <c r="M65" s="5">
        <f t="shared" si="4"/>
        <v>1268882.9787234042</v>
      </c>
      <c r="N65" s="10">
        <f t="shared" si="5"/>
        <v>172750</v>
      </c>
      <c r="O65" s="11">
        <f t="shared" si="6"/>
        <v>0.13614336617061412</v>
      </c>
      <c r="P65" s="5">
        <f t="shared" si="7"/>
        <v>1370977.0114942528</v>
      </c>
      <c r="Q65" s="10">
        <f t="shared" si="8"/>
        <v>172750</v>
      </c>
      <c r="R65" s="11">
        <f t="shared" si="9"/>
        <v>0.12600503039195138</v>
      </c>
    </row>
    <row r="66" spans="1:18" x14ac:dyDescent="0.3">
      <c r="A66" s="7">
        <v>1000001</v>
      </c>
      <c r="B66" s="7">
        <v>1050000</v>
      </c>
      <c r="C66" s="7">
        <v>30000</v>
      </c>
      <c r="E66" s="7">
        <v>0</v>
      </c>
      <c r="F66" s="7">
        <f t="shared" si="10"/>
        <v>105000</v>
      </c>
      <c r="G66" s="13">
        <f t="shared" si="0"/>
        <v>3.2380952380952371E-2</v>
      </c>
      <c r="H66" s="7">
        <f t="shared" si="1"/>
        <v>30000</v>
      </c>
      <c r="I66" s="5">
        <f t="shared" si="2"/>
        <v>63999.999999999993</v>
      </c>
      <c r="L66" s="5">
        <f t="shared" si="3"/>
        <v>1249000</v>
      </c>
      <c r="M66" s="5">
        <f t="shared" si="4"/>
        <v>1328723.4042553192</v>
      </c>
      <c r="N66" s="10">
        <f t="shared" si="5"/>
        <v>179500</v>
      </c>
      <c r="O66" s="11">
        <f t="shared" si="6"/>
        <v>0.13509207365892714</v>
      </c>
      <c r="P66" s="5">
        <f t="shared" si="7"/>
        <v>1435632.183908046</v>
      </c>
      <c r="Q66" s="10">
        <f t="shared" si="8"/>
        <v>179500</v>
      </c>
      <c r="R66" s="11">
        <f t="shared" si="9"/>
        <v>0.1250320256204964</v>
      </c>
    </row>
    <row r="67" spans="1:18" x14ac:dyDescent="0.3">
      <c r="A67" s="7">
        <v>1050001</v>
      </c>
      <c r="B67" s="7">
        <v>1100000</v>
      </c>
      <c r="C67" s="7">
        <v>30000</v>
      </c>
      <c r="E67" s="7">
        <v>0</v>
      </c>
      <c r="F67" s="7">
        <f t="shared" si="10"/>
        <v>110000</v>
      </c>
      <c r="G67" s="13">
        <f t="shared" ref="G67:G130" si="11">MIN($K$2,MAX($K$3,$K$4/B67+$K$3))-$K$17</f>
        <v>3.1818181818181801E-2</v>
      </c>
      <c r="H67" s="7">
        <f t="shared" ref="H67:H130" si="12">MIN($K$11,$K$9+$K$10*(B67-$B$2))</f>
        <v>30000</v>
      </c>
      <c r="I67" s="5">
        <f t="shared" ref="I67:I130" si="13">B67*G67+H67</f>
        <v>64999.999999999978</v>
      </c>
      <c r="L67" s="5">
        <f t="shared" ref="L67:L130" si="14">B67+C67+E67+F67+I67</f>
        <v>1305000</v>
      </c>
      <c r="M67" s="5">
        <f t="shared" ref="M67:M130" si="15">L67/(1-$K$14)</f>
        <v>1388297.8723404256</v>
      </c>
      <c r="N67" s="10">
        <f t="shared" ref="N67:N130" si="16">M67*(1-$K$14)-(B67+E67+F67)*(1-$K$17)-C67</f>
        <v>186000</v>
      </c>
      <c r="O67" s="11">
        <f t="shared" ref="O67:O130" si="17">N67/M67</f>
        <v>0.13397701149425287</v>
      </c>
      <c r="P67" s="5">
        <f t="shared" ref="P67:P130" si="18">L67/(1-$K$15)</f>
        <v>1500000</v>
      </c>
      <c r="Q67" s="10">
        <f t="shared" ref="Q67:Q130" si="19">P67*(1-$K$15)-(B67+E67+F67)*(1-$K$17)-C67</f>
        <v>186000</v>
      </c>
      <c r="R67" s="11">
        <f t="shared" ref="R67:R130" si="20">Q67/P67</f>
        <v>0.124</v>
      </c>
    </row>
    <row r="68" spans="1:18" x14ac:dyDescent="0.3">
      <c r="A68" s="7">
        <v>1100001</v>
      </c>
      <c r="B68" s="7">
        <v>1150000</v>
      </c>
      <c r="C68" s="7">
        <v>30000</v>
      </c>
      <c r="E68" s="7">
        <v>0</v>
      </c>
      <c r="F68" s="7">
        <f t="shared" si="10"/>
        <v>115000</v>
      </c>
      <c r="G68" s="13">
        <f t="shared" si="11"/>
        <v>3.1304347826086959E-2</v>
      </c>
      <c r="H68" s="7">
        <f t="shared" si="12"/>
        <v>30000</v>
      </c>
      <c r="I68" s="5">
        <f t="shared" si="13"/>
        <v>66000</v>
      </c>
      <c r="L68" s="5">
        <f t="shared" si="14"/>
        <v>1361000</v>
      </c>
      <c r="M68" s="5">
        <f t="shared" si="15"/>
        <v>1447872.3404255321</v>
      </c>
      <c r="N68" s="10">
        <f t="shared" si="16"/>
        <v>192500</v>
      </c>
      <c r="O68" s="11">
        <f t="shared" si="17"/>
        <v>0.13295371050698016</v>
      </c>
      <c r="P68" s="5">
        <f t="shared" si="18"/>
        <v>1564367.816091954</v>
      </c>
      <c r="Q68" s="10">
        <f t="shared" si="19"/>
        <v>192500</v>
      </c>
      <c r="R68" s="11">
        <f t="shared" si="20"/>
        <v>0.12305290227773696</v>
      </c>
    </row>
    <row r="69" spans="1:18" x14ac:dyDescent="0.3">
      <c r="A69" s="7">
        <v>1150001</v>
      </c>
      <c r="B69" s="7">
        <v>1200000</v>
      </c>
      <c r="C69" s="7">
        <v>30000</v>
      </c>
      <c r="E69" s="7">
        <v>0</v>
      </c>
      <c r="F69" s="7">
        <f t="shared" si="10"/>
        <v>120000</v>
      </c>
      <c r="G69" s="13">
        <f t="shared" si="11"/>
        <v>3.0833333333333324E-2</v>
      </c>
      <c r="H69" s="7">
        <f t="shared" si="12"/>
        <v>30000</v>
      </c>
      <c r="I69" s="5">
        <f t="shared" si="13"/>
        <v>66999.999999999985</v>
      </c>
      <c r="L69" s="5">
        <f t="shared" si="14"/>
        <v>1417000</v>
      </c>
      <c r="M69" s="5">
        <f t="shared" si="15"/>
        <v>1507446.8085106383</v>
      </c>
      <c r="N69" s="10">
        <f t="shared" si="16"/>
        <v>199000</v>
      </c>
      <c r="O69" s="11">
        <f t="shared" si="17"/>
        <v>0.13201129146083274</v>
      </c>
      <c r="P69" s="5">
        <f t="shared" si="18"/>
        <v>1628735.632183908</v>
      </c>
      <c r="Q69" s="10">
        <f t="shared" si="19"/>
        <v>199000</v>
      </c>
      <c r="R69" s="11">
        <f t="shared" si="20"/>
        <v>0.12218066337332392</v>
      </c>
    </row>
    <row r="70" spans="1:18" x14ac:dyDescent="0.3">
      <c r="A70" s="7">
        <v>1200001</v>
      </c>
      <c r="B70" s="7">
        <v>1250000</v>
      </c>
      <c r="C70" s="7">
        <v>30000</v>
      </c>
      <c r="E70" s="7">
        <v>0</v>
      </c>
      <c r="F70" s="7">
        <f t="shared" si="10"/>
        <v>125000</v>
      </c>
      <c r="G70" s="13">
        <f t="shared" si="11"/>
        <v>3.0399999999999983E-2</v>
      </c>
      <c r="H70" s="7">
        <f t="shared" si="12"/>
        <v>30000</v>
      </c>
      <c r="I70" s="5">
        <f t="shared" si="13"/>
        <v>67999.999999999971</v>
      </c>
      <c r="L70" s="5">
        <f t="shared" si="14"/>
        <v>1473000</v>
      </c>
      <c r="M70" s="5">
        <f t="shared" si="15"/>
        <v>1567021.2765957448</v>
      </c>
      <c r="N70" s="10">
        <f t="shared" si="16"/>
        <v>205500</v>
      </c>
      <c r="O70" s="11">
        <f t="shared" si="17"/>
        <v>0.13114052953156821</v>
      </c>
      <c r="P70" s="5">
        <f t="shared" si="18"/>
        <v>1693103.448275862</v>
      </c>
      <c r="Q70" s="10">
        <f t="shared" si="19"/>
        <v>205500</v>
      </c>
      <c r="R70" s="11">
        <f t="shared" si="20"/>
        <v>0.12137474541751528</v>
      </c>
    </row>
    <row r="71" spans="1:18" x14ac:dyDescent="0.3">
      <c r="A71" s="7">
        <v>1250001</v>
      </c>
      <c r="B71" s="7">
        <v>1300000</v>
      </c>
      <c r="C71" s="7">
        <v>30000</v>
      </c>
      <c r="E71" s="7">
        <v>0</v>
      </c>
      <c r="F71" s="7">
        <f t="shared" si="10"/>
        <v>130000</v>
      </c>
      <c r="G71" s="13">
        <f t="shared" si="11"/>
        <v>0.03</v>
      </c>
      <c r="H71" s="7">
        <f t="shared" si="12"/>
        <v>30000</v>
      </c>
      <c r="I71" s="5">
        <f t="shared" si="13"/>
        <v>69000</v>
      </c>
      <c r="L71" s="5">
        <f t="shared" si="14"/>
        <v>1529000</v>
      </c>
      <c r="M71" s="5">
        <f t="shared" si="15"/>
        <v>1626595.7446808512</v>
      </c>
      <c r="N71" s="10">
        <f t="shared" si="16"/>
        <v>212000</v>
      </c>
      <c r="O71" s="11">
        <f t="shared" si="17"/>
        <v>0.13033355134074556</v>
      </c>
      <c r="P71" s="5">
        <f t="shared" si="18"/>
        <v>1757471.264367816</v>
      </c>
      <c r="Q71" s="10">
        <f t="shared" si="19"/>
        <v>212000</v>
      </c>
      <c r="R71" s="11">
        <f t="shared" si="20"/>
        <v>0.12062786134728581</v>
      </c>
    </row>
    <row r="72" spans="1:18" x14ac:dyDescent="0.3">
      <c r="A72" s="7">
        <v>1300001</v>
      </c>
      <c r="B72" s="7">
        <v>1350000</v>
      </c>
      <c r="C72" s="7">
        <v>30000</v>
      </c>
      <c r="E72" s="7">
        <v>0</v>
      </c>
      <c r="F72" s="7">
        <f t="shared" si="10"/>
        <v>135000</v>
      </c>
      <c r="G72" s="13">
        <f t="shared" si="11"/>
        <v>2.9629629629629617E-2</v>
      </c>
      <c r="H72" s="7">
        <f t="shared" si="12"/>
        <v>30000</v>
      </c>
      <c r="I72" s="5">
        <f t="shared" si="13"/>
        <v>69999.999999999985</v>
      </c>
      <c r="L72" s="5">
        <f t="shared" si="14"/>
        <v>1585000</v>
      </c>
      <c r="M72" s="5">
        <f t="shared" si="15"/>
        <v>1686170.2127659575</v>
      </c>
      <c r="N72" s="10">
        <f t="shared" si="16"/>
        <v>218500</v>
      </c>
      <c r="O72" s="11">
        <f t="shared" si="17"/>
        <v>0.12958359621451104</v>
      </c>
      <c r="P72" s="5">
        <f t="shared" si="18"/>
        <v>1821839.08045977</v>
      </c>
      <c r="Q72" s="10">
        <f t="shared" si="19"/>
        <v>218500</v>
      </c>
      <c r="R72" s="11">
        <f t="shared" si="20"/>
        <v>0.11993375394321767</v>
      </c>
    </row>
    <row r="73" spans="1:18" x14ac:dyDescent="0.3">
      <c r="A73" s="7">
        <v>1350001</v>
      </c>
      <c r="B73" s="7">
        <v>1400000</v>
      </c>
      <c r="C73" s="7">
        <v>30000</v>
      </c>
      <c r="E73" s="7">
        <v>0</v>
      </c>
      <c r="F73" s="7">
        <f t="shared" si="10"/>
        <v>140000</v>
      </c>
      <c r="G73" s="13">
        <f t="shared" si="11"/>
        <v>2.9285714285714276E-2</v>
      </c>
      <c r="H73" s="7">
        <f t="shared" si="12"/>
        <v>30000</v>
      </c>
      <c r="I73" s="5">
        <f t="shared" si="13"/>
        <v>70999.999999999985</v>
      </c>
      <c r="L73" s="5">
        <f t="shared" si="14"/>
        <v>1641000</v>
      </c>
      <c r="M73" s="5">
        <f t="shared" si="15"/>
        <v>1745744.6808510639</v>
      </c>
      <c r="N73" s="10">
        <f t="shared" si="16"/>
        <v>225000</v>
      </c>
      <c r="O73" s="11">
        <f t="shared" si="17"/>
        <v>0.12888482632541132</v>
      </c>
      <c r="P73" s="5">
        <f t="shared" si="18"/>
        <v>1886206.8965517241</v>
      </c>
      <c r="Q73" s="10">
        <f t="shared" si="19"/>
        <v>225000</v>
      </c>
      <c r="R73" s="11">
        <f t="shared" si="20"/>
        <v>0.11928702010968922</v>
      </c>
    </row>
    <row r="74" spans="1:18" x14ac:dyDescent="0.3">
      <c r="A74" s="7">
        <v>1400001</v>
      </c>
      <c r="B74" s="7">
        <v>1450000</v>
      </c>
      <c r="C74" s="7">
        <v>30000</v>
      </c>
      <c r="E74" s="7">
        <v>0</v>
      </c>
      <c r="F74" s="7">
        <f t="shared" si="10"/>
        <v>145000</v>
      </c>
      <c r="G74" s="13">
        <f t="shared" si="11"/>
        <v>2.8965517241379302E-2</v>
      </c>
      <c r="H74" s="7">
        <f t="shared" si="12"/>
        <v>30000</v>
      </c>
      <c r="I74" s="5">
        <f t="shared" si="13"/>
        <v>71999.999999999985</v>
      </c>
      <c r="L74" s="5">
        <f t="shared" si="14"/>
        <v>1697000</v>
      </c>
      <c r="M74" s="5">
        <f t="shared" si="15"/>
        <v>1805319.1489361704</v>
      </c>
      <c r="N74" s="10">
        <f t="shared" si="16"/>
        <v>231500</v>
      </c>
      <c r="O74" s="11">
        <f t="shared" si="17"/>
        <v>0.12823217442545667</v>
      </c>
      <c r="P74" s="5">
        <f t="shared" si="18"/>
        <v>1950574.7126436781</v>
      </c>
      <c r="Q74" s="10">
        <f t="shared" si="19"/>
        <v>231500</v>
      </c>
      <c r="R74" s="11">
        <f t="shared" si="20"/>
        <v>0.11868296994696524</v>
      </c>
    </row>
    <row r="75" spans="1:18" x14ac:dyDescent="0.3">
      <c r="A75" s="7">
        <v>1450001</v>
      </c>
      <c r="B75" s="7">
        <v>1500000</v>
      </c>
      <c r="C75" s="7">
        <v>30000</v>
      </c>
      <c r="E75" s="7">
        <v>0</v>
      </c>
      <c r="F75" s="7">
        <f t="shared" si="10"/>
        <v>150000</v>
      </c>
      <c r="G75" s="13">
        <f t="shared" si="11"/>
        <v>2.8666666666666646E-2</v>
      </c>
      <c r="H75" s="7">
        <f t="shared" si="12"/>
        <v>30000</v>
      </c>
      <c r="I75" s="5">
        <f t="shared" si="13"/>
        <v>72999.999999999971</v>
      </c>
      <c r="L75" s="5">
        <f t="shared" si="14"/>
        <v>1753000</v>
      </c>
      <c r="M75" s="5">
        <f t="shared" si="15"/>
        <v>1864893.6170212766</v>
      </c>
      <c r="N75" s="10">
        <f t="shared" si="16"/>
        <v>238000</v>
      </c>
      <c r="O75" s="11">
        <f t="shared" si="17"/>
        <v>0.12762122076440388</v>
      </c>
      <c r="P75" s="5">
        <f t="shared" si="18"/>
        <v>2014942.5287356323</v>
      </c>
      <c r="Q75" s="10">
        <f t="shared" si="19"/>
        <v>238000</v>
      </c>
      <c r="R75" s="11">
        <f t="shared" si="20"/>
        <v>0.11811751283513976</v>
      </c>
    </row>
    <row r="76" spans="1:18" x14ac:dyDescent="0.3">
      <c r="A76" s="7">
        <v>1500001</v>
      </c>
      <c r="B76" s="7">
        <v>1550000</v>
      </c>
      <c r="C76" s="7">
        <v>30000</v>
      </c>
      <c r="E76" s="7">
        <v>0</v>
      </c>
      <c r="F76" s="7">
        <f t="shared" si="10"/>
        <v>155000</v>
      </c>
      <c r="G76" s="13">
        <f t="shared" si="11"/>
        <v>2.8387096774193543E-2</v>
      </c>
      <c r="H76" s="7">
        <f t="shared" si="12"/>
        <v>30000</v>
      </c>
      <c r="I76" s="5">
        <f t="shared" si="13"/>
        <v>74000</v>
      </c>
      <c r="L76" s="5">
        <f t="shared" si="14"/>
        <v>1809000</v>
      </c>
      <c r="M76" s="5">
        <f t="shared" si="15"/>
        <v>1924468.0851063831</v>
      </c>
      <c r="N76" s="10">
        <f t="shared" si="16"/>
        <v>244500</v>
      </c>
      <c r="O76" s="11">
        <f t="shared" si="17"/>
        <v>0.12704809286898838</v>
      </c>
      <c r="P76" s="5">
        <f t="shared" si="18"/>
        <v>2079310.3448275863</v>
      </c>
      <c r="Q76" s="10">
        <f t="shared" si="19"/>
        <v>244500</v>
      </c>
      <c r="R76" s="11">
        <f t="shared" si="20"/>
        <v>0.11758706467661691</v>
      </c>
    </row>
    <row r="77" spans="1:18" x14ac:dyDescent="0.3">
      <c r="A77" s="7">
        <v>1550001</v>
      </c>
      <c r="B77" s="7">
        <v>1600000</v>
      </c>
      <c r="C77" s="7">
        <v>30000</v>
      </c>
      <c r="E77" s="7">
        <v>0</v>
      </c>
      <c r="F77" s="7">
        <f t="shared" si="10"/>
        <v>160000</v>
      </c>
      <c r="G77" s="13">
        <f t="shared" si="11"/>
        <v>2.8124999999999983E-2</v>
      </c>
      <c r="H77" s="7">
        <f t="shared" si="12"/>
        <v>30000</v>
      </c>
      <c r="I77" s="5">
        <f t="shared" si="13"/>
        <v>74999.999999999971</v>
      </c>
      <c r="L77" s="5">
        <f t="shared" si="14"/>
        <v>1865000</v>
      </c>
      <c r="M77" s="5">
        <f t="shared" si="15"/>
        <v>1984042.5531914895</v>
      </c>
      <c r="N77" s="10">
        <f t="shared" si="16"/>
        <v>251000</v>
      </c>
      <c r="O77" s="11">
        <f t="shared" si="17"/>
        <v>0.12650938337801607</v>
      </c>
      <c r="P77" s="5">
        <f t="shared" si="18"/>
        <v>2143678.1609195401</v>
      </c>
      <c r="Q77" s="10">
        <f t="shared" si="19"/>
        <v>250999.99999999977</v>
      </c>
      <c r="R77" s="11">
        <f t="shared" si="20"/>
        <v>0.11708847184986584</v>
      </c>
    </row>
    <row r="78" spans="1:18" x14ac:dyDescent="0.3">
      <c r="A78" s="7">
        <v>1600001</v>
      </c>
      <c r="B78" s="7">
        <v>1650000</v>
      </c>
      <c r="C78" s="7">
        <v>30000</v>
      </c>
      <c r="E78" s="7">
        <v>0</v>
      </c>
      <c r="F78" s="7">
        <f t="shared" si="10"/>
        <v>165000</v>
      </c>
      <c r="G78" s="13">
        <f t="shared" si="11"/>
        <v>2.7878787878787864E-2</v>
      </c>
      <c r="H78" s="7">
        <f t="shared" si="12"/>
        <v>30000</v>
      </c>
      <c r="I78" s="5">
        <f t="shared" si="13"/>
        <v>75999.999999999971</v>
      </c>
      <c r="L78" s="5">
        <f t="shared" si="14"/>
        <v>1921000</v>
      </c>
      <c r="M78" s="5">
        <f t="shared" si="15"/>
        <v>2043617.0212765958</v>
      </c>
      <c r="N78" s="10">
        <f t="shared" si="16"/>
        <v>257500</v>
      </c>
      <c r="O78" s="11">
        <f t="shared" si="17"/>
        <v>0.12600208224882872</v>
      </c>
      <c r="P78" s="5">
        <f t="shared" si="18"/>
        <v>2208045.9770114943</v>
      </c>
      <c r="Q78" s="10">
        <f t="shared" si="19"/>
        <v>257500</v>
      </c>
      <c r="R78" s="11">
        <f t="shared" si="20"/>
        <v>0.11661894846434148</v>
      </c>
    </row>
    <row r="79" spans="1:18" x14ac:dyDescent="0.3">
      <c r="A79" s="7">
        <v>1650001</v>
      </c>
      <c r="B79" s="7">
        <v>1700000</v>
      </c>
      <c r="C79" s="7">
        <v>30000</v>
      </c>
      <c r="E79" s="7">
        <v>0</v>
      </c>
      <c r="F79" s="7">
        <f t="shared" si="10"/>
        <v>170000</v>
      </c>
      <c r="G79" s="13">
        <f t="shared" si="11"/>
        <v>2.7647058823529413E-2</v>
      </c>
      <c r="H79" s="7">
        <f t="shared" si="12"/>
        <v>30000</v>
      </c>
      <c r="I79" s="5">
        <f t="shared" si="13"/>
        <v>77000</v>
      </c>
      <c r="L79" s="5">
        <f t="shared" si="14"/>
        <v>1977000</v>
      </c>
      <c r="M79" s="5">
        <f t="shared" si="15"/>
        <v>2103191.4893617025</v>
      </c>
      <c r="N79" s="10">
        <f t="shared" si="16"/>
        <v>264000.00000000023</v>
      </c>
      <c r="O79" s="11">
        <f t="shared" si="17"/>
        <v>0.12552352048558432</v>
      </c>
      <c r="P79" s="5">
        <f t="shared" si="18"/>
        <v>2272413.7931034481</v>
      </c>
      <c r="Q79" s="10">
        <f t="shared" si="19"/>
        <v>263999.99999999977</v>
      </c>
      <c r="R79" s="11">
        <f t="shared" si="20"/>
        <v>0.11617602427921084</v>
      </c>
    </row>
    <row r="80" spans="1:18" x14ac:dyDescent="0.3">
      <c r="A80" s="7">
        <v>1700001</v>
      </c>
      <c r="B80" s="7">
        <v>1750000</v>
      </c>
      <c r="C80" s="7">
        <v>30000</v>
      </c>
      <c r="E80" s="7">
        <v>0</v>
      </c>
      <c r="F80" s="7">
        <f t="shared" si="10"/>
        <v>175000</v>
      </c>
      <c r="G80" s="13">
        <f t="shared" si="11"/>
        <v>2.7428571428571413E-2</v>
      </c>
      <c r="H80" s="7">
        <f t="shared" si="12"/>
        <v>30000</v>
      </c>
      <c r="I80" s="5">
        <f t="shared" si="13"/>
        <v>77999.999999999971</v>
      </c>
      <c r="L80" s="5">
        <f t="shared" si="14"/>
        <v>2033000</v>
      </c>
      <c r="M80" s="5">
        <f t="shared" si="15"/>
        <v>2162765.9574468085</v>
      </c>
      <c r="N80" s="10">
        <f t="shared" si="16"/>
        <v>270499.99999999977</v>
      </c>
      <c r="O80" s="11">
        <f t="shared" si="17"/>
        <v>0.12507132316773231</v>
      </c>
      <c r="P80" s="5">
        <f t="shared" si="18"/>
        <v>2336781.6091954024</v>
      </c>
      <c r="Q80" s="10">
        <f t="shared" si="19"/>
        <v>270500</v>
      </c>
      <c r="R80" s="11">
        <f t="shared" si="20"/>
        <v>0.11575750122970979</v>
      </c>
    </row>
    <row r="81" spans="1:18" x14ac:dyDescent="0.3">
      <c r="A81" s="7">
        <v>1750001</v>
      </c>
      <c r="B81" s="7">
        <v>1800000</v>
      </c>
      <c r="C81" s="7">
        <v>30000</v>
      </c>
      <c r="E81" s="7">
        <v>0</v>
      </c>
      <c r="F81" s="7">
        <f t="shared" si="10"/>
        <v>180000</v>
      </c>
      <c r="G81" s="13">
        <f t="shared" si="11"/>
        <v>2.7222222222222203E-2</v>
      </c>
      <c r="H81" s="7">
        <f t="shared" si="12"/>
        <v>30000</v>
      </c>
      <c r="I81" s="5">
        <f t="shared" si="13"/>
        <v>78999.999999999971</v>
      </c>
      <c r="L81" s="5">
        <f t="shared" si="14"/>
        <v>2089000</v>
      </c>
      <c r="M81" s="5">
        <f t="shared" si="15"/>
        <v>2222340.4255319149</v>
      </c>
      <c r="N81" s="10">
        <f t="shared" si="16"/>
        <v>277000</v>
      </c>
      <c r="O81" s="11">
        <f t="shared" si="17"/>
        <v>0.12464337003350885</v>
      </c>
      <c r="P81" s="5">
        <f t="shared" si="18"/>
        <v>2401149.4252873561</v>
      </c>
      <c r="Q81" s="10">
        <f t="shared" si="19"/>
        <v>276999.99999999977</v>
      </c>
      <c r="R81" s="11">
        <f t="shared" si="20"/>
        <v>0.11536141694590704</v>
      </c>
    </row>
    <row r="82" spans="1:18" x14ac:dyDescent="0.3">
      <c r="A82" s="7">
        <v>1800001</v>
      </c>
      <c r="B82" s="7">
        <v>1850000</v>
      </c>
      <c r="C82" s="7">
        <v>30000</v>
      </c>
      <c r="E82" s="7">
        <v>0</v>
      </c>
      <c r="F82" s="7">
        <f t="shared" si="10"/>
        <v>185000</v>
      </c>
      <c r="G82" s="13">
        <f t="shared" si="11"/>
        <v>2.7027027027027029E-2</v>
      </c>
      <c r="H82" s="7">
        <f t="shared" si="12"/>
        <v>30000</v>
      </c>
      <c r="I82" s="5">
        <f t="shared" si="13"/>
        <v>80000</v>
      </c>
      <c r="L82" s="5">
        <f t="shared" si="14"/>
        <v>2145000</v>
      </c>
      <c r="M82" s="5">
        <f t="shared" si="15"/>
        <v>2281914.8936170214</v>
      </c>
      <c r="N82" s="10">
        <f t="shared" si="16"/>
        <v>283500</v>
      </c>
      <c r="O82" s="11">
        <f t="shared" si="17"/>
        <v>0.12423776223776223</v>
      </c>
      <c r="P82" s="5">
        <f t="shared" si="18"/>
        <v>2465517.2413793104</v>
      </c>
      <c r="Q82" s="10">
        <f t="shared" si="19"/>
        <v>283500</v>
      </c>
      <c r="R82" s="11">
        <f t="shared" si="20"/>
        <v>0.11498601398601399</v>
      </c>
    </row>
    <row r="83" spans="1:18" x14ac:dyDescent="0.3">
      <c r="A83" s="7">
        <v>1850001</v>
      </c>
      <c r="B83" s="7">
        <v>1900000</v>
      </c>
      <c r="C83" s="7">
        <v>30000</v>
      </c>
      <c r="E83" s="7">
        <v>0</v>
      </c>
      <c r="F83" s="7">
        <f t="shared" si="10"/>
        <v>190000</v>
      </c>
      <c r="G83" s="13">
        <f t="shared" si="11"/>
        <v>2.6842105263157889E-2</v>
      </c>
      <c r="H83" s="7">
        <f t="shared" si="12"/>
        <v>30000</v>
      </c>
      <c r="I83" s="5">
        <f t="shared" si="13"/>
        <v>81000</v>
      </c>
      <c r="L83" s="5">
        <f t="shared" si="14"/>
        <v>2201000</v>
      </c>
      <c r="M83" s="5">
        <f t="shared" si="15"/>
        <v>2341489.3617021278</v>
      </c>
      <c r="N83" s="10">
        <f t="shared" si="16"/>
        <v>290000</v>
      </c>
      <c r="O83" s="11">
        <f t="shared" si="17"/>
        <v>0.1238527941844616</v>
      </c>
      <c r="P83" s="5">
        <f t="shared" si="18"/>
        <v>2529885.0574712642</v>
      </c>
      <c r="Q83" s="10">
        <f t="shared" si="19"/>
        <v>290000</v>
      </c>
      <c r="R83" s="11">
        <f t="shared" si="20"/>
        <v>0.1146297137664698</v>
      </c>
    </row>
    <row r="84" spans="1:18" x14ac:dyDescent="0.3">
      <c r="A84" s="7">
        <v>1900001</v>
      </c>
      <c r="B84" s="7">
        <v>1950000</v>
      </c>
      <c r="C84" s="7">
        <v>30000</v>
      </c>
      <c r="E84" s="7">
        <v>0</v>
      </c>
      <c r="F84" s="7">
        <f t="shared" si="10"/>
        <v>195000</v>
      </c>
      <c r="G84" s="13">
        <f t="shared" si="11"/>
        <v>2.6666666666666644E-2</v>
      </c>
      <c r="H84" s="7">
        <f t="shared" si="12"/>
        <v>30000</v>
      </c>
      <c r="I84" s="5">
        <f t="shared" si="13"/>
        <v>81999.999999999956</v>
      </c>
      <c r="L84" s="5">
        <f t="shared" si="14"/>
        <v>2257000</v>
      </c>
      <c r="M84" s="5">
        <f t="shared" si="15"/>
        <v>2401063.8297872343</v>
      </c>
      <c r="N84" s="10">
        <f t="shared" si="16"/>
        <v>296500</v>
      </c>
      <c r="O84" s="11">
        <f t="shared" si="17"/>
        <v>0.12348692955250332</v>
      </c>
      <c r="P84" s="5">
        <f t="shared" si="18"/>
        <v>2594252.8735632184</v>
      </c>
      <c r="Q84" s="10">
        <f t="shared" si="19"/>
        <v>296500</v>
      </c>
      <c r="R84" s="11">
        <f t="shared" si="20"/>
        <v>0.11429109437306159</v>
      </c>
    </row>
    <row r="85" spans="1:18" x14ac:dyDescent="0.3">
      <c r="A85" s="7">
        <v>1950001</v>
      </c>
      <c r="B85" s="7">
        <v>2000000</v>
      </c>
      <c r="C85" s="7">
        <v>30000</v>
      </c>
      <c r="E85" s="7">
        <v>0</v>
      </c>
      <c r="F85" s="7">
        <f t="shared" si="10"/>
        <v>200000</v>
      </c>
      <c r="G85" s="13">
        <f t="shared" si="11"/>
        <v>2.6499999999999996E-2</v>
      </c>
      <c r="H85" s="7">
        <f t="shared" si="12"/>
        <v>30000</v>
      </c>
      <c r="I85" s="5">
        <f t="shared" si="13"/>
        <v>83000</v>
      </c>
      <c r="L85" s="5">
        <f t="shared" si="14"/>
        <v>2313000</v>
      </c>
      <c r="M85" s="5">
        <f t="shared" si="15"/>
        <v>2460638.2978723408</v>
      </c>
      <c r="N85" s="10">
        <f t="shared" si="16"/>
        <v>303000</v>
      </c>
      <c r="O85" s="11">
        <f t="shared" si="17"/>
        <v>0.12313878080415043</v>
      </c>
      <c r="P85" s="5">
        <f t="shared" si="18"/>
        <v>2658620.6896551726</v>
      </c>
      <c r="Q85" s="10">
        <f t="shared" si="19"/>
        <v>303000</v>
      </c>
      <c r="R85" s="11">
        <f t="shared" si="20"/>
        <v>0.11396887159533073</v>
      </c>
    </row>
    <row r="86" spans="1:18" x14ac:dyDescent="0.3">
      <c r="A86" s="7">
        <v>2000001</v>
      </c>
      <c r="B86" s="7">
        <v>2050000</v>
      </c>
      <c r="C86" s="7">
        <v>30000</v>
      </c>
      <c r="E86" s="7">
        <v>0</v>
      </c>
      <c r="F86" s="7">
        <f t="shared" si="10"/>
        <v>205000</v>
      </c>
      <c r="G86" s="13">
        <f t="shared" si="11"/>
        <v>2.6341463414634142E-2</v>
      </c>
      <c r="H86" s="7">
        <f t="shared" si="12"/>
        <v>30000</v>
      </c>
      <c r="I86" s="5">
        <f t="shared" si="13"/>
        <v>84000</v>
      </c>
      <c r="L86" s="5">
        <f t="shared" si="14"/>
        <v>2369000</v>
      </c>
      <c r="M86" s="5">
        <f t="shared" si="15"/>
        <v>2520212.7659574468</v>
      </c>
      <c r="N86" s="10">
        <f t="shared" si="16"/>
        <v>309500</v>
      </c>
      <c r="O86" s="11">
        <f t="shared" si="17"/>
        <v>0.12280709159983115</v>
      </c>
      <c r="P86" s="5">
        <f t="shared" si="18"/>
        <v>2722988.5057471264</v>
      </c>
      <c r="Q86" s="10">
        <f t="shared" si="19"/>
        <v>309500</v>
      </c>
      <c r="R86" s="11">
        <f t="shared" si="20"/>
        <v>0.11366188265090756</v>
      </c>
    </row>
    <row r="87" spans="1:18" x14ac:dyDescent="0.3">
      <c r="A87" s="7">
        <v>2050001</v>
      </c>
      <c r="B87" s="7">
        <v>2100000</v>
      </c>
      <c r="C87" s="7">
        <v>30000</v>
      </c>
      <c r="E87" s="7">
        <v>0</v>
      </c>
      <c r="F87" s="7">
        <f t="shared" si="10"/>
        <v>210000</v>
      </c>
      <c r="G87" s="13">
        <f t="shared" si="11"/>
        <v>2.6190476190476181E-2</v>
      </c>
      <c r="H87" s="7">
        <f t="shared" si="12"/>
        <v>30000</v>
      </c>
      <c r="I87" s="5">
        <f t="shared" si="13"/>
        <v>84999.999999999971</v>
      </c>
      <c r="L87" s="5">
        <f t="shared" si="14"/>
        <v>2425000</v>
      </c>
      <c r="M87" s="5">
        <f t="shared" si="15"/>
        <v>2579787.2340425532</v>
      </c>
      <c r="N87" s="10">
        <f t="shared" si="16"/>
        <v>316000</v>
      </c>
      <c r="O87" s="11">
        <f t="shared" si="17"/>
        <v>0.12249072164948453</v>
      </c>
      <c r="P87" s="5">
        <f t="shared" si="18"/>
        <v>2787356.3218390807</v>
      </c>
      <c r="Q87" s="10">
        <f t="shared" si="19"/>
        <v>316000</v>
      </c>
      <c r="R87" s="11">
        <f t="shared" si="20"/>
        <v>0.11336907216494845</v>
      </c>
    </row>
    <row r="88" spans="1:18" x14ac:dyDescent="0.3">
      <c r="A88" s="7">
        <v>2100001</v>
      </c>
      <c r="B88" s="7">
        <v>2150000</v>
      </c>
      <c r="C88" s="7">
        <v>30000</v>
      </c>
      <c r="E88" s="7">
        <v>0</v>
      </c>
      <c r="F88" s="7">
        <f t="shared" si="10"/>
        <v>215000</v>
      </c>
      <c r="G88" s="13">
        <f t="shared" si="11"/>
        <v>2.6046511627906971E-2</v>
      </c>
      <c r="H88" s="7">
        <f t="shared" si="12"/>
        <v>30000</v>
      </c>
      <c r="I88" s="5">
        <f t="shared" si="13"/>
        <v>85999.999999999985</v>
      </c>
      <c r="L88" s="5">
        <f t="shared" si="14"/>
        <v>2481000</v>
      </c>
      <c r="M88" s="5">
        <f t="shared" si="15"/>
        <v>2639361.7021276597</v>
      </c>
      <c r="N88" s="10">
        <f t="shared" si="16"/>
        <v>322500</v>
      </c>
      <c r="O88" s="11">
        <f t="shared" si="17"/>
        <v>0.12218863361547762</v>
      </c>
      <c r="P88" s="5">
        <f t="shared" si="18"/>
        <v>2851724.1379310344</v>
      </c>
      <c r="Q88" s="10">
        <f t="shared" si="19"/>
        <v>322500</v>
      </c>
      <c r="R88" s="11">
        <f t="shared" si="20"/>
        <v>0.11308948004836759</v>
      </c>
    </row>
    <row r="89" spans="1:18" x14ac:dyDescent="0.3">
      <c r="A89" s="7">
        <v>2150001</v>
      </c>
      <c r="B89" s="7">
        <v>2200000</v>
      </c>
      <c r="C89" s="7">
        <v>30000</v>
      </c>
      <c r="E89" s="7">
        <v>0</v>
      </c>
      <c r="F89" s="7">
        <f t="shared" si="10"/>
        <v>220000</v>
      </c>
      <c r="G89" s="13">
        <f t="shared" si="11"/>
        <v>2.5909090909090909E-2</v>
      </c>
      <c r="H89" s="7">
        <f t="shared" si="12"/>
        <v>30000</v>
      </c>
      <c r="I89" s="5">
        <f t="shared" si="13"/>
        <v>87000</v>
      </c>
      <c r="L89" s="5">
        <f t="shared" si="14"/>
        <v>2537000</v>
      </c>
      <c r="M89" s="5">
        <f t="shared" si="15"/>
        <v>2698936.1702127662</v>
      </c>
      <c r="N89" s="10">
        <f t="shared" si="16"/>
        <v>329000</v>
      </c>
      <c r="O89" s="11">
        <f t="shared" si="17"/>
        <v>0.12189988175009853</v>
      </c>
      <c r="P89" s="5">
        <f t="shared" si="18"/>
        <v>2916091.9540229887</v>
      </c>
      <c r="Q89" s="10">
        <f t="shared" si="19"/>
        <v>329000</v>
      </c>
      <c r="R89" s="11">
        <f t="shared" si="20"/>
        <v>0.11282223098147418</v>
      </c>
    </row>
    <row r="90" spans="1:18" x14ac:dyDescent="0.3">
      <c r="A90" s="7">
        <v>2200001</v>
      </c>
      <c r="B90" s="7">
        <v>2250000</v>
      </c>
      <c r="C90" s="7">
        <v>30000</v>
      </c>
      <c r="E90" s="7">
        <v>0</v>
      </c>
      <c r="F90" s="7">
        <f t="shared" ref="F90:F153" si="21">(B90+E90)*10%</f>
        <v>225000</v>
      </c>
      <c r="G90" s="13">
        <f t="shared" si="11"/>
        <v>2.5777777777777761E-2</v>
      </c>
      <c r="H90" s="7">
        <f t="shared" si="12"/>
        <v>30000</v>
      </c>
      <c r="I90" s="5">
        <f t="shared" si="13"/>
        <v>87999.999999999971</v>
      </c>
      <c r="L90" s="5">
        <f t="shared" si="14"/>
        <v>2593000</v>
      </c>
      <c r="M90" s="5">
        <f t="shared" si="15"/>
        <v>2758510.6382978726</v>
      </c>
      <c r="N90" s="10">
        <f t="shared" si="16"/>
        <v>335500</v>
      </c>
      <c r="O90" s="11">
        <f t="shared" si="17"/>
        <v>0.12162360200539914</v>
      </c>
      <c r="P90" s="5">
        <f t="shared" si="18"/>
        <v>2980459.7701149425</v>
      </c>
      <c r="Q90" s="10">
        <f t="shared" si="19"/>
        <v>335500</v>
      </c>
      <c r="R90" s="11">
        <f t="shared" si="20"/>
        <v>0.11256652526031624</v>
      </c>
    </row>
    <row r="91" spans="1:18" x14ac:dyDescent="0.3">
      <c r="A91" s="7">
        <v>2250001</v>
      </c>
      <c r="B91" s="7">
        <v>2300000</v>
      </c>
      <c r="C91" s="7">
        <v>30000</v>
      </c>
      <c r="E91" s="7">
        <v>0</v>
      </c>
      <c r="F91" s="7">
        <f t="shared" si="21"/>
        <v>230000</v>
      </c>
      <c r="G91" s="13">
        <f t="shared" si="11"/>
        <v>2.5652173913043474E-2</v>
      </c>
      <c r="H91" s="7">
        <f t="shared" si="12"/>
        <v>30000</v>
      </c>
      <c r="I91" s="5">
        <f t="shared" si="13"/>
        <v>89000</v>
      </c>
      <c r="L91" s="5">
        <f t="shared" si="14"/>
        <v>2649000</v>
      </c>
      <c r="M91" s="5">
        <f t="shared" si="15"/>
        <v>2818085.1063829791</v>
      </c>
      <c r="N91" s="10">
        <f t="shared" si="16"/>
        <v>342000</v>
      </c>
      <c r="O91" s="11">
        <f t="shared" si="17"/>
        <v>0.12135900339750848</v>
      </c>
      <c r="P91" s="5">
        <f t="shared" si="18"/>
        <v>3044827.5862068967</v>
      </c>
      <c r="Q91" s="10">
        <f t="shared" si="19"/>
        <v>342000</v>
      </c>
      <c r="R91" s="11">
        <f t="shared" si="20"/>
        <v>0.11232163080407701</v>
      </c>
    </row>
    <row r="92" spans="1:18" x14ac:dyDescent="0.3">
      <c r="A92" s="7">
        <v>2300001</v>
      </c>
      <c r="B92" s="7">
        <v>2350000</v>
      </c>
      <c r="C92" s="7">
        <v>30000</v>
      </c>
      <c r="E92" s="7">
        <v>0</v>
      </c>
      <c r="F92" s="7">
        <f t="shared" si="21"/>
        <v>235000</v>
      </c>
      <c r="G92" s="13">
        <f t="shared" si="11"/>
        <v>2.5531914893617003E-2</v>
      </c>
      <c r="H92" s="7">
        <f t="shared" si="12"/>
        <v>30000</v>
      </c>
      <c r="I92" s="5">
        <f t="shared" si="13"/>
        <v>89999.999999999956</v>
      </c>
      <c r="L92" s="5">
        <f t="shared" si="14"/>
        <v>2705000</v>
      </c>
      <c r="M92" s="5">
        <f t="shared" si="15"/>
        <v>2877659.5744680851</v>
      </c>
      <c r="N92" s="10">
        <f t="shared" si="16"/>
        <v>348500</v>
      </c>
      <c r="O92" s="11">
        <f t="shared" si="17"/>
        <v>0.12110536044362293</v>
      </c>
      <c r="P92" s="5">
        <f t="shared" si="18"/>
        <v>3109195.4022988505</v>
      </c>
      <c r="Q92" s="10">
        <f t="shared" si="19"/>
        <v>348500</v>
      </c>
      <c r="R92" s="11">
        <f t="shared" si="20"/>
        <v>0.11208687615526802</v>
      </c>
    </row>
    <row r="93" spans="1:18" x14ac:dyDescent="0.3">
      <c r="A93" s="7">
        <v>2350001</v>
      </c>
      <c r="B93" s="7">
        <v>2400000</v>
      </c>
      <c r="C93" s="7">
        <v>30000</v>
      </c>
      <c r="E93" s="7">
        <v>0</v>
      </c>
      <c r="F93" s="7">
        <f t="shared" si="21"/>
        <v>240000</v>
      </c>
      <c r="G93" s="13">
        <f t="shared" si="11"/>
        <v>2.5416666666666671E-2</v>
      </c>
      <c r="H93" s="7">
        <f t="shared" si="12"/>
        <v>30000</v>
      </c>
      <c r="I93" s="5">
        <f t="shared" si="13"/>
        <v>91000</v>
      </c>
      <c r="L93" s="5">
        <f t="shared" si="14"/>
        <v>2761000</v>
      </c>
      <c r="M93" s="5">
        <f t="shared" si="15"/>
        <v>2937234.0425531915</v>
      </c>
      <c r="N93" s="10">
        <f t="shared" si="16"/>
        <v>355000</v>
      </c>
      <c r="O93" s="11">
        <f t="shared" si="17"/>
        <v>0.12086200651937704</v>
      </c>
      <c r="P93" s="5">
        <f t="shared" si="18"/>
        <v>3173563.2183908047</v>
      </c>
      <c r="Q93" s="10">
        <f t="shared" si="19"/>
        <v>355000</v>
      </c>
      <c r="R93" s="11">
        <f t="shared" si="20"/>
        <v>0.11186164433176385</v>
      </c>
    </row>
    <row r="94" spans="1:18" x14ac:dyDescent="0.3">
      <c r="A94" s="7">
        <v>2400001</v>
      </c>
      <c r="B94" s="7">
        <v>2450000</v>
      </c>
      <c r="C94" s="7">
        <v>30000</v>
      </c>
      <c r="E94" s="7">
        <v>0</v>
      </c>
      <c r="F94" s="7">
        <f t="shared" si="21"/>
        <v>245000</v>
      </c>
      <c r="G94" s="13">
        <f t="shared" si="11"/>
        <v>2.530612244897959E-2</v>
      </c>
      <c r="H94" s="7">
        <f t="shared" si="12"/>
        <v>30000</v>
      </c>
      <c r="I94" s="5">
        <f t="shared" si="13"/>
        <v>92000</v>
      </c>
      <c r="L94" s="5">
        <f t="shared" si="14"/>
        <v>2817000</v>
      </c>
      <c r="M94" s="5">
        <f t="shared" si="15"/>
        <v>2996808.510638298</v>
      </c>
      <c r="N94" s="10">
        <f t="shared" si="16"/>
        <v>361500</v>
      </c>
      <c r="O94" s="11">
        <f t="shared" si="17"/>
        <v>0.12062832800851969</v>
      </c>
      <c r="P94" s="5">
        <f t="shared" si="18"/>
        <v>3237931.0344827585</v>
      </c>
      <c r="Q94" s="10">
        <f t="shared" si="19"/>
        <v>361500</v>
      </c>
      <c r="R94" s="11">
        <f t="shared" si="20"/>
        <v>0.11164536741214058</v>
      </c>
    </row>
    <row r="95" spans="1:18" x14ac:dyDescent="0.3">
      <c r="A95" s="7">
        <v>2450001</v>
      </c>
      <c r="B95" s="7">
        <v>2500000</v>
      </c>
      <c r="C95" s="7">
        <v>30000</v>
      </c>
      <c r="E95" s="7">
        <v>0</v>
      </c>
      <c r="F95" s="7">
        <f t="shared" si="21"/>
        <v>250000</v>
      </c>
      <c r="G95" s="13">
        <f t="shared" si="11"/>
        <v>2.52E-2</v>
      </c>
      <c r="H95" s="7">
        <f t="shared" si="12"/>
        <v>30000</v>
      </c>
      <c r="I95" s="5">
        <f t="shared" si="13"/>
        <v>93000</v>
      </c>
      <c r="L95" s="5">
        <f t="shared" si="14"/>
        <v>2873000</v>
      </c>
      <c r="M95" s="5">
        <f t="shared" si="15"/>
        <v>3056382.9787234045</v>
      </c>
      <c r="N95" s="10">
        <f t="shared" si="16"/>
        <v>368000</v>
      </c>
      <c r="O95" s="11">
        <f t="shared" si="17"/>
        <v>0.1204037591367908</v>
      </c>
      <c r="P95" s="5">
        <f t="shared" si="18"/>
        <v>3302298.8505747127</v>
      </c>
      <c r="Q95" s="10">
        <f t="shared" si="19"/>
        <v>368000</v>
      </c>
      <c r="R95" s="11">
        <f t="shared" si="20"/>
        <v>0.11143752175426383</v>
      </c>
    </row>
    <row r="96" spans="1:18" x14ac:dyDescent="0.3">
      <c r="A96" s="7">
        <v>2500001</v>
      </c>
      <c r="B96" s="7">
        <v>2550000</v>
      </c>
      <c r="C96" s="7">
        <v>30000</v>
      </c>
      <c r="E96" s="7">
        <v>0</v>
      </c>
      <c r="F96" s="7">
        <f t="shared" si="21"/>
        <v>255000</v>
      </c>
      <c r="G96" s="13">
        <f t="shared" si="11"/>
        <v>2.5098039215686263E-2</v>
      </c>
      <c r="H96" s="7">
        <f t="shared" si="12"/>
        <v>30000</v>
      </c>
      <c r="I96" s="5">
        <f t="shared" si="13"/>
        <v>93999.999999999971</v>
      </c>
      <c r="L96" s="5">
        <f t="shared" si="14"/>
        <v>2929000</v>
      </c>
      <c r="M96" s="5">
        <f t="shared" si="15"/>
        <v>3115957.4468085109</v>
      </c>
      <c r="N96" s="10">
        <f t="shared" si="16"/>
        <v>374500</v>
      </c>
      <c r="O96" s="11">
        <f t="shared" si="17"/>
        <v>0.12018777739842949</v>
      </c>
      <c r="P96" s="5">
        <f t="shared" si="18"/>
        <v>3366666.6666666665</v>
      </c>
      <c r="Q96" s="10">
        <f t="shared" si="19"/>
        <v>374500</v>
      </c>
      <c r="R96" s="11">
        <f t="shared" si="20"/>
        <v>0.11123762376237624</v>
      </c>
    </row>
    <row r="97" spans="1:18" x14ac:dyDescent="0.3">
      <c r="A97" s="7">
        <v>2550001</v>
      </c>
      <c r="B97" s="7">
        <v>2600000</v>
      </c>
      <c r="C97" s="7">
        <v>30000</v>
      </c>
      <c r="E97" s="7">
        <v>0</v>
      </c>
      <c r="F97" s="7">
        <f t="shared" si="21"/>
        <v>260000</v>
      </c>
      <c r="G97" s="13">
        <f t="shared" si="11"/>
        <v>2.4999999999999994E-2</v>
      </c>
      <c r="H97" s="7">
        <f t="shared" si="12"/>
        <v>30000</v>
      </c>
      <c r="I97" s="5">
        <f t="shared" si="13"/>
        <v>94999.999999999985</v>
      </c>
      <c r="L97" s="5">
        <f t="shared" si="14"/>
        <v>2985000</v>
      </c>
      <c r="M97" s="5">
        <f t="shared" si="15"/>
        <v>3175531.9148936174</v>
      </c>
      <c r="N97" s="10">
        <f t="shared" si="16"/>
        <v>381000</v>
      </c>
      <c r="O97" s="11">
        <f t="shared" si="17"/>
        <v>0.11997989949748743</v>
      </c>
      <c r="P97" s="5">
        <f t="shared" si="18"/>
        <v>3431034.4827586208</v>
      </c>
      <c r="Q97" s="10">
        <f t="shared" si="19"/>
        <v>381000</v>
      </c>
      <c r="R97" s="11">
        <f t="shared" si="20"/>
        <v>0.11104522613065326</v>
      </c>
    </row>
    <row r="98" spans="1:18" x14ac:dyDescent="0.3">
      <c r="A98" s="7">
        <v>2600001</v>
      </c>
      <c r="B98" s="7">
        <v>2650000</v>
      </c>
      <c r="C98" s="7">
        <v>30000</v>
      </c>
      <c r="E98" s="7">
        <v>0</v>
      </c>
      <c r="F98" s="7">
        <f t="shared" si="21"/>
        <v>265000</v>
      </c>
      <c r="G98" s="13">
        <f t="shared" si="11"/>
        <v>2.4905660377358474E-2</v>
      </c>
      <c r="H98" s="7">
        <f t="shared" si="12"/>
        <v>30000</v>
      </c>
      <c r="I98" s="5">
        <f t="shared" si="13"/>
        <v>95999.999999999956</v>
      </c>
      <c r="L98" s="5">
        <f t="shared" si="14"/>
        <v>3041000</v>
      </c>
      <c r="M98" s="5">
        <f t="shared" si="15"/>
        <v>3235106.3829787234</v>
      </c>
      <c r="N98" s="10">
        <f t="shared" si="16"/>
        <v>387500</v>
      </c>
      <c r="O98" s="11">
        <f t="shared" si="17"/>
        <v>0.11977967773758633</v>
      </c>
      <c r="P98" s="5">
        <f t="shared" si="18"/>
        <v>3495402.2988505745</v>
      </c>
      <c r="Q98" s="10">
        <f t="shared" si="19"/>
        <v>387500</v>
      </c>
      <c r="R98" s="11">
        <f t="shared" si="20"/>
        <v>0.11085991450180863</v>
      </c>
    </row>
    <row r="99" spans="1:18" x14ac:dyDescent="0.3">
      <c r="A99" s="7">
        <v>2650001</v>
      </c>
      <c r="B99" s="7">
        <v>2700000</v>
      </c>
      <c r="C99" s="7">
        <v>30000</v>
      </c>
      <c r="E99" s="7">
        <v>0</v>
      </c>
      <c r="F99" s="7">
        <f t="shared" si="21"/>
        <v>270000</v>
      </c>
      <c r="G99" s="13">
        <f t="shared" si="11"/>
        <v>2.4814814814814803E-2</v>
      </c>
      <c r="H99" s="7">
        <f t="shared" si="12"/>
        <v>30000</v>
      </c>
      <c r="I99" s="5">
        <f t="shared" si="13"/>
        <v>96999.999999999971</v>
      </c>
      <c r="L99" s="5">
        <f t="shared" si="14"/>
        <v>3097000</v>
      </c>
      <c r="M99" s="5">
        <f t="shared" si="15"/>
        <v>3294680.8510638298</v>
      </c>
      <c r="N99" s="10">
        <f t="shared" si="16"/>
        <v>394000</v>
      </c>
      <c r="O99" s="11">
        <f t="shared" si="17"/>
        <v>0.11958669680335808</v>
      </c>
      <c r="P99" s="5">
        <f t="shared" si="18"/>
        <v>3559770.1149425288</v>
      </c>
      <c r="Q99" s="10">
        <f t="shared" si="19"/>
        <v>394000</v>
      </c>
      <c r="R99" s="11">
        <f t="shared" si="20"/>
        <v>0.11068130448821439</v>
      </c>
    </row>
    <row r="100" spans="1:18" x14ac:dyDescent="0.3">
      <c r="A100" s="7">
        <v>2700001</v>
      </c>
      <c r="B100" s="7">
        <v>2750000</v>
      </c>
      <c r="C100" s="7">
        <v>30000</v>
      </c>
      <c r="E100" s="7">
        <v>0</v>
      </c>
      <c r="F100" s="7">
        <f t="shared" si="21"/>
        <v>275000</v>
      </c>
      <c r="G100" s="13">
        <f t="shared" si="11"/>
        <v>2.4727272727272723E-2</v>
      </c>
      <c r="H100" s="7">
        <f t="shared" si="12"/>
        <v>30000</v>
      </c>
      <c r="I100" s="5">
        <f t="shared" si="13"/>
        <v>97999.999999999985</v>
      </c>
      <c r="L100" s="5">
        <f t="shared" si="14"/>
        <v>3153000</v>
      </c>
      <c r="M100" s="5">
        <f t="shared" si="15"/>
        <v>3354255.3191489363</v>
      </c>
      <c r="N100" s="10">
        <f t="shared" si="16"/>
        <v>400500</v>
      </c>
      <c r="O100" s="11">
        <f t="shared" si="17"/>
        <v>0.11940057088487155</v>
      </c>
      <c r="P100" s="5">
        <f t="shared" si="18"/>
        <v>3624137.9310344825</v>
      </c>
      <c r="Q100" s="10">
        <f t="shared" si="19"/>
        <v>400500</v>
      </c>
      <c r="R100" s="11">
        <f t="shared" si="20"/>
        <v>0.11050903901046623</v>
      </c>
    </row>
    <row r="101" spans="1:18" x14ac:dyDescent="0.3">
      <c r="A101" s="7">
        <v>2750001</v>
      </c>
      <c r="B101" s="7">
        <v>2800000</v>
      </c>
      <c r="C101" s="7">
        <v>30000</v>
      </c>
      <c r="E101" s="7">
        <v>0</v>
      </c>
      <c r="F101" s="7">
        <f t="shared" si="21"/>
        <v>280000</v>
      </c>
      <c r="G101" s="13">
        <f t="shared" si="11"/>
        <v>2.4642857142857133E-2</v>
      </c>
      <c r="H101" s="7">
        <f t="shared" si="12"/>
        <v>30000</v>
      </c>
      <c r="I101" s="5">
        <f t="shared" si="13"/>
        <v>98999.999999999971</v>
      </c>
      <c r="L101" s="5">
        <f t="shared" si="14"/>
        <v>3209000</v>
      </c>
      <c r="M101" s="5">
        <f t="shared" si="15"/>
        <v>3413829.7872340428</v>
      </c>
      <c r="N101" s="10">
        <f t="shared" si="16"/>
        <v>407000</v>
      </c>
      <c r="O101" s="11">
        <f t="shared" si="17"/>
        <v>0.11922094110314739</v>
      </c>
      <c r="P101" s="5">
        <f t="shared" si="18"/>
        <v>3688505.7471264368</v>
      </c>
      <c r="Q101" s="10">
        <f t="shared" si="19"/>
        <v>407000</v>
      </c>
      <c r="R101" s="11">
        <f t="shared" si="20"/>
        <v>0.11034278591461515</v>
      </c>
    </row>
    <row r="102" spans="1:18" x14ac:dyDescent="0.3">
      <c r="A102" s="7">
        <v>2800001</v>
      </c>
      <c r="B102" s="7">
        <v>2850000</v>
      </c>
      <c r="C102" s="7">
        <v>30000</v>
      </c>
      <c r="E102" s="7">
        <v>0</v>
      </c>
      <c r="F102" s="7">
        <f t="shared" si="21"/>
        <v>285000</v>
      </c>
      <c r="G102" s="13">
        <f t="shared" si="11"/>
        <v>2.4561403508771923E-2</v>
      </c>
      <c r="H102" s="7">
        <f t="shared" si="12"/>
        <v>30000</v>
      </c>
      <c r="I102" s="5">
        <f t="shared" si="13"/>
        <v>99999.999999999985</v>
      </c>
      <c r="L102" s="5">
        <f t="shared" si="14"/>
        <v>3265000</v>
      </c>
      <c r="M102" s="5">
        <f t="shared" si="15"/>
        <v>3473404.2553191492</v>
      </c>
      <c r="N102" s="10">
        <f t="shared" si="16"/>
        <v>413500</v>
      </c>
      <c r="O102" s="11">
        <f t="shared" si="17"/>
        <v>0.11904747320061254</v>
      </c>
      <c r="P102" s="5">
        <f t="shared" si="18"/>
        <v>3752873.563218391</v>
      </c>
      <c r="Q102" s="10">
        <f t="shared" si="19"/>
        <v>413500</v>
      </c>
      <c r="R102" s="11">
        <f t="shared" si="20"/>
        <v>0.11018223583460948</v>
      </c>
    </row>
    <row r="103" spans="1:18" x14ac:dyDescent="0.3">
      <c r="A103" s="7">
        <v>2850001</v>
      </c>
      <c r="B103" s="7">
        <v>2900000</v>
      </c>
      <c r="C103" s="7">
        <v>30000</v>
      </c>
      <c r="E103" s="7">
        <v>0</v>
      </c>
      <c r="F103" s="7">
        <f t="shared" si="21"/>
        <v>290000</v>
      </c>
      <c r="G103" s="13">
        <f t="shared" si="11"/>
        <v>2.4482758620689646E-2</v>
      </c>
      <c r="H103" s="7">
        <f t="shared" si="12"/>
        <v>30000</v>
      </c>
      <c r="I103" s="5">
        <f t="shared" si="13"/>
        <v>100999.99999999997</v>
      </c>
      <c r="L103" s="5">
        <f t="shared" si="14"/>
        <v>3321000</v>
      </c>
      <c r="M103" s="5">
        <f t="shared" si="15"/>
        <v>3532978.7234042557</v>
      </c>
      <c r="N103" s="10">
        <f t="shared" si="16"/>
        <v>420000</v>
      </c>
      <c r="O103" s="11">
        <f t="shared" si="17"/>
        <v>0.11887985546522131</v>
      </c>
      <c r="P103" s="5">
        <f t="shared" si="18"/>
        <v>3817241.3793103448</v>
      </c>
      <c r="Q103" s="10">
        <f t="shared" si="19"/>
        <v>420000</v>
      </c>
      <c r="R103" s="11">
        <f t="shared" si="20"/>
        <v>0.11002710027100271</v>
      </c>
    </row>
    <row r="104" spans="1:18" x14ac:dyDescent="0.3">
      <c r="A104" s="7">
        <v>2900001</v>
      </c>
      <c r="B104" s="7">
        <v>2950000</v>
      </c>
      <c r="C104" s="7">
        <v>30000</v>
      </c>
      <c r="E104" s="7">
        <v>0</v>
      </c>
      <c r="F104" s="7">
        <f t="shared" si="21"/>
        <v>295000</v>
      </c>
      <c r="G104" s="13">
        <f t="shared" si="11"/>
        <v>2.4406779661016939E-2</v>
      </c>
      <c r="H104" s="7">
        <f t="shared" si="12"/>
        <v>30000</v>
      </c>
      <c r="I104" s="5">
        <f t="shared" si="13"/>
        <v>101999.99999999997</v>
      </c>
      <c r="L104" s="5">
        <f t="shared" si="14"/>
        <v>3377000</v>
      </c>
      <c r="M104" s="5">
        <f t="shared" si="15"/>
        <v>3592553.1914893617</v>
      </c>
      <c r="N104" s="10">
        <f t="shared" si="16"/>
        <v>426500</v>
      </c>
      <c r="O104" s="11">
        <f t="shared" si="17"/>
        <v>0.11871779686111934</v>
      </c>
      <c r="P104" s="5">
        <f t="shared" si="18"/>
        <v>3881609.1954022991</v>
      </c>
      <c r="Q104" s="10">
        <f t="shared" si="19"/>
        <v>426500</v>
      </c>
      <c r="R104" s="11">
        <f t="shared" si="20"/>
        <v>0.1098771098608232</v>
      </c>
    </row>
    <row r="105" spans="1:18" x14ac:dyDescent="0.3">
      <c r="A105" s="7">
        <v>2950001</v>
      </c>
      <c r="B105" s="7">
        <v>3000000</v>
      </c>
      <c r="C105" s="7">
        <v>30000</v>
      </c>
      <c r="E105" s="7">
        <v>0</v>
      </c>
      <c r="F105" s="7">
        <f t="shared" si="21"/>
        <v>300000</v>
      </c>
      <c r="G105" s="13">
        <f t="shared" si="11"/>
        <v>2.4333333333333318E-2</v>
      </c>
      <c r="H105" s="7">
        <f t="shared" si="12"/>
        <v>30000</v>
      </c>
      <c r="I105" s="5">
        <f t="shared" si="13"/>
        <v>102999.99999999996</v>
      </c>
      <c r="L105" s="5">
        <f t="shared" si="14"/>
        <v>3433000</v>
      </c>
      <c r="M105" s="5">
        <f t="shared" si="15"/>
        <v>3652127.6595744682</v>
      </c>
      <c r="N105" s="10">
        <f t="shared" si="16"/>
        <v>433000</v>
      </c>
      <c r="O105" s="11">
        <f t="shared" si="17"/>
        <v>0.11856102534226624</v>
      </c>
      <c r="P105" s="5">
        <f t="shared" si="18"/>
        <v>3945977.0114942528</v>
      </c>
      <c r="Q105" s="10">
        <f t="shared" si="19"/>
        <v>433000</v>
      </c>
      <c r="R105" s="11">
        <f t="shared" si="20"/>
        <v>0.10973201281677833</v>
      </c>
    </row>
    <row r="106" spans="1:18" x14ac:dyDescent="0.3">
      <c r="A106" s="7">
        <v>3000001</v>
      </c>
      <c r="B106" s="7">
        <v>3050000</v>
      </c>
      <c r="C106" s="7">
        <v>30000</v>
      </c>
      <c r="E106" s="7">
        <v>0</v>
      </c>
      <c r="F106" s="7">
        <f t="shared" si="21"/>
        <v>305000</v>
      </c>
      <c r="G106" s="13">
        <f t="shared" si="11"/>
        <v>2.42622950819672E-2</v>
      </c>
      <c r="H106" s="7">
        <f t="shared" si="12"/>
        <v>30000</v>
      </c>
      <c r="I106" s="5">
        <f t="shared" si="13"/>
        <v>103999.99999999996</v>
      </c>
      <c r="L106" s="5">
        <f t="shared" si="14"/>
        <v>3489000</v>
      </c>
      <c r="M106" s="5">
        <f t="shared" si="15"/>
        <v>3711702.1276595746</v>
      </c>
      <c r="N106" s="10">
        <f t="shared" si="16"/>
        <v>439500</v>
      </c>
      <c r="O106" s="11">
        <f t="shared" si="17"/>
        <v>0.11840928632846087</v>
      </c>
      <c r="P106" s="5">
        <f t="shared" si="18"/>
        <v>4010344.8275862071</v>
      </c>
      <c r="Q106" s="10">
        <f t="shared" si="19"/>
        <v>439500</v>
      </c>
      <c r="R106" s="11">
        <f t="shared" si="20"/>
        <v>0.10959157351676697</v>
      </c>
    </row>
    <row r="107" spans="1:18" x14ac:dyDescent="0.3">
      <c r="A107" s="7">
        <v>3050001</v>
      </c>
      <c r="B107" s="7">
        <v>3100000</v>
      </c>
      <c r="C107" s="7">
        <v>30000</v>
      </c>
      <c r="E107" s="7">
        <v>0</v>
      </c>
      <c r="F107" s="7">
        <f t="shared" si="21"/>
        <v>310000</v>
      </c>
      <c r="G107" s="13">
        <f t="shared" si="11"/>
        <v>2.4193548387096767E-2</v>
      </c>
      <c r="H107" s="7">
        <f t="shared" si="12"/>
        <v>30000</v>
      </c>
      <c r="I107" s="5">
        <f t="shared" si="13"/>
        <v>104999.99999999997</v>
      </c>
      <c r="L107" s="5">
        <f t="shared" si="14"/>
        <v>3545000</v>
      </c>
      <c r="M107" s="5">
        <f t="shared" si="15"/>
        <v>3771276.5957446811</v>
      </c>
      <c r="N107" s="10">
        <f t="shared" si="16"/>
        <v>446000</v>
      </c>
      <c r="O107" s="11">
        <f t="shared" si="17"/>
        <v>0.118262341325811</v>
      </c>
      <c r="P107" s="5">
        <f t="shared" si="18"/>
        <v>4074712.6436781608</v>
      </c>
      <c r="Q107" s="10">
        <f t="shared" si="19"/>
        <v>446000</v>
      </c>
      <c r="R107" s="11">
        <f t="shared" si="20"/>
        <v>0.1094555712270804</v>
      </c>
    </row>
    <row r="108" spans="1:18" x14ac:dyDescent="0.3">
      <c r="A108" s="7">
        <v>3100001</v>
      </c>
      <c r="B108" s="7">
        <v>3150000</v>
      </c>
      <c r="C108" s="7">
        <v>30000</v>
      </c>
      <c r="E108" s="7">
        <v>0</v>
      </c>
      <c r="F108" s="7">
        <f t="shared" si="21"/>
        <v>315000</v>
      </c>
      <c r="G108" s="13">
        <f t="shared" si="11"/>
        <v>2.4126984126984122E-2</v>
      </c>
      <c r="H108" s="7">
        <f t="shared" si="12"/>
        <v>30000</v>
      </c>
      <c r="I108" s="5">
        <f t="shared" si="13"/>
        <v>105999.99999999999</v>
      </c>
      <c r="L108" s="5">
        <f t="shared" si="14"/>
        <v>3601000</v>
      </c>
      <c r="M108" s="5">
        <f t="shared" si="15"/>
        <v>3830851.0638297875</v>
      </c>
      <c r="N108" s="10">
        <f t="shared" si="16"/>
        <v>452500</v>
      </c>
      <c r="O108" s="11">
        <f t="shared" si="17"/>
        <v>0.11811996667592335</v>
      </c>
      <c r="P108" s="5">
        <f t="shared" si="18"/>
        <v>4139080.4597701151</v>
      </c>
      <c r="Q108" s="10">
        <f t="shared" si="19"/>
        <v>452500</v>
      </c>
      <c r="R108" s="11">
        <f t="shared" si="20"/>
        <v>0.10932379894473757</v>
      </c>
    </row>
    <row r="109" spans="1:18" x14ac:dyDescent="0.3">
      <c r="A109" s="7">
        <v>3150001</v>
      </c>
      <c r="B109" s="7">
        <v>3200000</v>
      </c>
      <c r="C109" s="7">
        <v>30000</v>
      </c>
      <c r="E109" s="7">
        <v>0</v>
      </c>
      <c r="F109" s="7">
        <f t="shared" si="21"/>
        <v>320000</v>
      </c>
      <c r="G109" s="13">
        <f t="shared" si="11"/>
        <v>2.4062499999999987E-2</v>
      </c>
      <c r="H109" s="7">
        <f t="shared" si="12"/>
        <v>30000</v>
      </c>
      <c r="I109" s="5">
        <f t="shared" si="13"/>
        <v>106999.99999999996</v>
      </c>
      <c r="L109" s="5">
        <f t="shared" si="14"/>
        <v>3657000</v>
      </c>
      <c r="M109" s="5">
        <f t="shared" si="15"/>
        <v>3890425.531914894</v>
      </c>
      <c r="N109" s="10">
        <f t="shared" si="16"/>
        <v>459000</v>
      </c>
      <c r="O109" s="11">
        <f t="shared" si="17"/>
        <v>0.1179819524200164</v>
      </c>
      <c r="P109" s="5">
        <f t="shared" si="18"/>
        <v>4203448.2758620689</v>
      </c>
      <c r="Q109" s="10">
        <f t="shared" si="19"/>
        <v>459000</v>
      </c>
      <c r="R109" s="11">
        <f t="shared" si="20"/>
        <v>0.1091960623461854</v>
      </c>
    </row>
    <row r="110" spans="1:18" x14ac:dyDescent="0.3">
      <c r="A110" s="7">
        <v>3200001</v>
      </c>
      <c r="B110" s="7">
        <v>3250000</v>
      </c>
      <c r="C110" s="7">
        <v>30000</v>
      </c>
      <c r="E110" s="7">
        <v>0</v>
      </c>
      <c r="F110" s="7">
        <f t="shared" si="21"/>
        <v>325000</v>
      </c>
      <c r="G110" s="13">
        <f t="shared" si="11"/>
        <v>2.3999999999999994E-2</v>
      </c>
      <c r="H110" s="7">
        <f t="shared" si="12"/>
        <v>30000</v>
      </c>
      <c r="I110" s="5">
        <f t="shared" si="13"/>
        <v>107999.99999999999</v>
      </c>
      <c r="L110" s="5">
        <f t="shared" si="14"/>
        <v>3713000</v>
      </c>
      <c r="M110" s="5">
        <f t="shared" si="15"/>
        <v>3950000</v>
      </c>
      <c r="N110" s="10">
        <f t="shared" si="16"/>
        <v>465500</v>
      </c>
      <c r="O110" s="11">
        <f t="shared" si="17"/>
        <v>0.11784810126582279</v>
      </c>
      <c r="P110" s="5">
        <f t="shared" si="18"/>
        <v>4267816.0919540226</v>
      </c>
      <c r="Q110" s="10">
        <f t="shared" si="19"/>
        <v>465499.99999999953</v>
      </c>
      <c r="R110" s="11">
        <f t="shared" si="20"/>
        <v>0.10907217883113375</v>
      </c>
    </row>
    <row r="111" spans="1:18" x14ac:dyDescent="0.3">
      <c r="A111" s="7">
        <v>3250001</v>
      </c>
      <c r="B111" s="7">
        <v>3300000</v>
      </c>
      <c r="C111" s="7">
        <v>30000</v>
      </c>
      <c r="E111" s="7">
        <v>0</v>
      </c>
      <c r="F111" s="7">
        <f t="shared" si="21"/>
        <v>330000</v>
      </c>
      <c r="G111" s="13">
        <f t="shared" si="11"/>
        <v>2.3939393939393927E-2</v>
      </c>
      <c r="H111" s="7">
        <f t="shared" si="12"/>
        <v>30000</v>
      </c>
      <c r="I111" s="5">
        <f t="shared" si="13"/>
        <v>108999.99999999996</v>
      </c>
      <c r="L111" s="5">
        <f t="shared" si="14"/>
        <v>3769000</v>
      </c>
      <c r="M111" s="5">
        <f t="shared" si="15"/>
        <v>4009574.4680851065</v>
      </c>
      <c r="N111" s="10">
        <f t="shared" si="16"/>
        <v>472000</v>
      </c>
      <c r="O111" s="11">
        <f t="shared" si="17"/>
        <v>0.11771822764659061</v>
      </c>
      <c r="P111" s="5">
        <f t="shared" si="18"/>
        <v>4332183.9080459774</v>
      </c>
      <c r="Q111" s="10">
        <f t="shared" si="19"/>
        <v>472000.00000000047</v>
      </c>
      <c r="R111" s="11">
        <f t="shared" si="20"/>
        <v>0.10895197665163184</v>
      </c>
    </row>
    <row r="112" spans="1:18" x14ac:dyDescent="0.3">
      <c r="A112" s="7">
        <v>3300001</v>
      </c>
      <c r="B112" s="7">
        <v>3350000</v>
      </c>
      <c r="C112" s="7">
        <v>30000</v>
      </c>
      <c r="E112" s="7">
        <v>0</v>
      </c>
      <c r="F112" s="7">
        <f t="shared" si="21"/>
        <v>335000</v>
      </c>
      <c r="G112" s="13">
        <f t="shared" si="11"/>
        <v>2.388059701492537E-2</v>
      </c>
      <c r="H112" s="7">
        <f t="shared" si="12"/>
        <v>30000</v>
      </c>
      <c r="I112" s="5">
        <f t="shared" si="13"/>
        <v>109999.99999999999</v>
      </c>
      <c r="L112" s="5">
        <f t="shared" si="14"/>
        <v>3825000</v>
      </c>
      <c r="M112" s="5">
        <f t="shared" si="15"/>
        <v>4069148.9361702129</v>
      </c>
      <c r="N112" s="10">
        <f t="shared" si="16"/>
        <v>478500</v>
      </c>
      <c r="O112" s="11">
        <f t="shared" si="17"/>
        <v>0.11759215686274509</v>
      </c>
      <c r="P112" s="5">
        <f t="shared" si="18"/>
        <v>4396551.7241379311</v>
      </c>
      <c r="Q112" s="10">
        <f t="shared" si="19"/>
        <v>478500</v>
      </c>
      <c r="R112" s="11">
        <f t="shared" si="20"/>
        <v>0.10883529411764706</v>
      </c>
    </row>
    <row r="113" spans="1:18" x14ac:dyDescent="0.3">
      <c r="A113" s="7">
        <v>3350001</v>
      </c>
      <c r="B113" s="7">
        <v>3400000</v>
      </c>
      <c r="C113" s="7">
        <v>30000</v>
      </c>
      <c r="E113" s="7">
        <v>0</v>
      </c>
      <c r="F113" s="7">
        <f t="shared" si="21"/>
        <v>340000</v>
      </c>
      <c r="G113" s="13">
        <f t="shared" si="11"/>
        <v>2.3823529411764702E-2</v>
      </c>
      <c r="H113" s="7">
        <f t="shared" si="12"/>
        <v>30000</v>
      </c>
      <c r="I113" s="5">
        <f t="shared" si="13"/>
        <v>110999.99999999999</v>
      </c>
      <c r="L113" s="5">
        <f t="shared" si="14"/>
        <v>3881000</v>
      </c>
      <c r="M113" s="5">
        <f t="shared" si="15"/>
        <v>4128723.4042553194</v>
      </c>
      <c r="N113" s="10">
        <f t="shared" si="16"/>
        <v>485000</v>
      </c>
      <c r="O113" s="11">
        <f t="shared" si="17"/>
        <v>0.11746972429786137</v>
      </c>
      <c r="P113" s="5">
        <f t="shared" si="18"/>
        <v>4460919.5402298849</v>
      </c>
      <c r="Q113" s="10">
        <f t="shared" si="19"/>
        <v>485000</v>
      </c>
      <c r="R113" s="11">
        <f t="shared" si="20"/>
        <v>0.10872197887142489</v>
      </c>
    </row>
    <row r="114" spans="1:18" x14ac:dyDescent="0.3">
      <c r="A114" s="7">
        <v>3400001</v>
      </c>
      <c r="B114" s="7">
        <v>3450000</v>
      </c>
      <c r="C114" s="7">
        <v>30000</v>
      </c>
      <c r="E114" s="7">
        <v>0</v>
      </c>
      <c r="F114" s="7">
        <f t="shared" si="21"/>
        <v>345000</v>
      </c>
      <c r="G114" s="13">
        <f t="shared" si="11"/>
        <v>2.3768115942028975E-2</v>
      </c>
      <c r="H114" s="7">
        <f t="shared" si="12"/>
        <v>30000</v>
      </c>
      <c r="I114" s="5">
        <f t="shared" si="13"/>
        <v>111999.99999999997</v>
      </c>
      <c r="L114" s="5">
        <f t="shared" si="14"/>
        <v>3937000</v>
      </c>
      <c r="M114" s="5">
        <f t="shared" si="15"/>
        <v>4188297.8723404258</v>
      </c>
      <c r="N114" s="10">
        <f t="shared" si="16"/>
        <v>491500</v>
      </c>
      <c r="O114" s="11">
        <f t="shared" si="17"/>
        <v>0.11735077470154939</v>
      </c>
      <c r="P114" s="5">
        <f t="shared" si="18"/>
        <v>4525287.3563218387</v>
      </c>
      <c r="Q114" s="10">
        <f t="shared" si="19"/>
        <v>491499.99999999953</v>
      </c>
      <c r="R114" s="11">
        <f t="shared" si="20"/>
        <v>0.10861188722377435</v>
      </c>
    </row>
    <row r="115" spans="1:18" x14ac:dyDescent="0.3">
      <c r="A115" s="7">
        <v>3450001</v>
      </c>
      <c r="B115" s="7">
        <v>3500000</v>
      </c>
      <c r="C115" s="7">
        <v>30000</v>
      </c>
      <c r="E115" s="7">
        <v>0</v>
      </c>
      <c r="F115" s="7">
        <f t="shared" si="21"/>
        <v>350000</v>
      </c>
      <c r="G115" s="13">
        <f t="shared" si="11"/>
        <v>2.3714285714285702E-2</v>
      </c>
      <c r="H115" s="7">
        <f t="shared" si="12"/>
        <v>30000</v>
      </c>
      <c r="I115" s="5">
        <f t="shared" si="13"/>
        <v>112999.99999999996</v>
      </c>
      <c r="L115" s="5">
        <f t="shared" si="14"/>
        <v>3993000</v>
      </c>
      <c r="M115" s="5">
        <f t="shared" si="15"/>
        <v>4247872.3404255323</v>
      </c>
      <c r="N115" s="10">
        <f t="shared" si="16"/>
        <v>498000</v>
      </c>
      <c r="O115" s="11">
        <f t="shared" si="17"/>
        <v>0.11723516153268218</v>
      </c>
      <c r="P115" s="5">
        <f t="shared" si="18"/>
        <v>4589655.1724137934</v>
      </c>
      <c r="Q115" s="10">
        <f t="shared" si="19"/>
        <v>498000</v>
      </c>
      <c r="R115" s="11">
        <f t="shared" si="20"/>
        <v>0.10850488354620585</v>
      </c>
    </row>
    <row r="116" spans="1:18" x14ac:dyDescent="0.3">
      <c r="A116" s="7">
        <v>3500001</v>
      </c>
      <c r="B116" s="7">
        <v>3550000</v>
      </c>
      <c r="C116" s="7">
        <v>30000</v>
      </c>
      <c r="E116" s="7">
        <v>0</v>
      </c>
      <c r="F116" s="7">
        <f t="shared" si="21"/>
        <v>355000</v>
      </c>
      <c r="G116" s="13">
        <f t="shared" si="11"/>
        <v>2.3661971830985909E-2</v>
      </c>
      <c r="H116" s="7">
        <f t="shared" si="12"/>
        <v>30000</v>
      </c>
      <c r="I116" s="5">
        <f t="shared" si="13"/>
        <v>113999.99999999997</v>
      </c>
      <c r="L116" s="5">
        <f t="shared" si="14"/>
        <v>4049000</v>
      </c>
      <c r="M116" s="5">
        <f t="shared" si="15"/>
        <v>4307446.8085106388</v>
      </c>
      <c r="N116" s="10">
        <f t="shared" si="16"/>
        <v>504500</v>
      </c>
      <c r="O116" s="11">
        <f t="shared" si="17"/>
        <v>0.1171227463571252</v>
      </c>
      <c r="P116" s="5">
        <f t="shared" si="18"/>
        <v>4654022.9885057472</v>
      </c>
      <c r="Q116" s="10">
        <f t="shared" si="19"/>
        <v>504500</v>
      </c>
      <c r="R116" s="11">
        <f t="shared" si="20"/>
        <v>0.10840083971350951</v>
      </c>
    </row>
    <row r="117" spans="1:18" x14ac:dyDescent="0.3">
      <c r="A117" s="7">
        <v>3550001</v>
      </c>
      <c r="B117" s="7">
        <v>3600000</v>
      </c>
      <c r="C117" s="7">
        <v>30000</v>
      </c>
      <c r="E117" s="7">
        <v>0</v>
      </c>
      <c r="F117" s="7">
        <f t="shared" si="21"/>
        <v>360000</v>
      </c>
      <c r="G117" s="13">
        <f t="shared" si="11"/>
        <v>2.3611111111111097E-2</v>
      </c>
      <c r="H117" s="7">
        <f t="shared" si="12"/>
        <v>30000</v>
      </c>
      <c r="I117" s="5">
        <f t="shared" si="13"/>
        <v>114999.99999999994</v>
      </c>
      <c r="L117" s="5">
        <f t="shared" si="14"/>
        <v>4105000</v>
      </c>
      <c r="M117" s="5">
        <f t="shared" si="15"/>
        <v>4367021.2765957452</v>
      </c>
      <c r="N117" s="10">
        <f t="shared" si="16"/>
        <v>511000.00000000047</v>
      </c>
      <c r="O117" s="11">
        <f t="shared" si="17"/>
        <v>0.11701339829476258</v>
      </c>
      <c r="P117" s="5">
        <f t="shared" si="18"/>
        <v>4718390.8045977009</v>
      </c>
      <c r="Q117" s="10">
        <f t="shared" si="19"/>
        <v>511000</v>
      </c>
      <c r="R117" s="11">
        <f t="shared" si="20"/>
        <v>0.10829963459196103</v>
      </c>
    </row>
    <row r="118" spans="1:18" x14ac:dyDescent="0.3">
      <c r="A118" s="7">
        <v>3600001</v>
      </c>
      <c r="B118" s="7">
        <v>3650000</v>
      </c>
      <c r="C118" s="7">
        <v>30000</v>
      </c>
      <c r="E118" s="7">
        <v>0</v>
      </c>
      <c r="F118" s="7">
        <f t="shared" si="21"/>
        <v>365000</v>
      </c>
      <c r="G118" s="13">
        <f t="shared" si="11"/>
        <v>2.356164383561643E-2</v>
      </c>
      <c r="H118" s="7">
        <f t="shared" si="12"/>
        <v>30000</v>
      </c>
      <c r="I118" s="5">
        <f t="shared" si="13"/>
        <v>115999.99999999997</v>
      </c>
      <c r="L118" s="5">
        <f t="shared" si="14"/>
        <v>4161000</v>
      </c>
      <c r="M118" s="5">
        <f t="shared" si="15"/>
        <v>4426595.7446808517</v>
      </c>
      <c r="N118" s="10">
        <f t="shared" si="16"/>
        <v>517500.00000000047</v>
      </c>
      <c r="O118" s="11">
        <f t="shared" si="17"/>
        <v>0.11690699351117528</v>
      </c>
      <c r="P118" s="5">
        <f t="shared" si="18"/>
        <v>4782758.6206896557</v>
      </c>
      <c r="Q118" s="10">
        <f t="shared" si="19"/>
        <v>517500.00000000047</v>
      </c>
      <c r="R118" s="11">
        <f t="shared" si="20"/>
        <v>0.10820115356885372</v>
      </c>
    </row>
    <row r="119" spans="1:18" x14ac:dyDescent="0.3">
      <c r="A119" s="7">
        <v>3650001</v>
      </c>
      <c r="B119" s="7">
        <v>3700000</v>
      </c>
      <c r="C119" s="7">
        <v>30000</v>
      </c>
      <c r="E119" s="7">
        <v>0</v>
      </c>
      <c r="F119" s="7">
        <f t="shared" si="21"/>
        <v>370000</v>
      </c>
      <c r="G119" s="13">
        <f t="shared" si="11"/>
        <v>2.3513513513513509E-2</v>
      </c>
      <c r="H119" s="7">
        <f t="shared" si="12"/>
        <v>30000</v>
      </c>
      <c r="I119" s="5">
        <f t="shared" si="13"/>
        <v>116999.99999999999</v>
      </c>
      <c r="L119" s="5">
        <f t="shared" si="14"/>
        <v>4217000</v>
      </c>
      <c r="M119" s="5">
        <f t="shared" si="15"/>
        <v>4486170.2127659582</v>
      </c>
      <c r="N119" s="10">
        <f t="shared" si="16"/>
        <v>524000</v>
      </c>
      <c r="O119" s="11">
        <f t="shared" si="17"/>
        <v>0.11680341474982213</v>
      </c>
      <c r="P119" s="5">
        <f t="shared" si="18"/>
        <v>4847126.4367816094</v>
      </c>
      <c r="Q119" s="10">
        <f t="shared" si="19"/>
        <v>524000</v>
      </c>
      <c r="R119" s="11">
        <f t="shared" si="20"/>
        <v>0.10810528811951624</v>
      </c>
    </row>
    <row r="120" spans="1:18" x14ac:dyDescent="0.3">
      <c r="A120" s="7">
        <v>3700001</v>
      </c>
      <c r="B120" s="7">
        <v>3750000</v>
      </c>
      <c r="C120" s="7">
        <v>30000</v>
      </c>
      <c r="E120" s="7">
        <v>0</v>
      </c>
      <c r="F120" s="7">
        <f t="shared" si="21"/>
        <v>375000</v>
      </c>
      <c r="G120" s="13">
        <f t="shared" si="11"/>
        <v>2.3466666666666663E-2</v>
      </c>
      <c r="H120" s="7">
        <f t="shared" si="12"/>
        <v>30000</v>
      </c>
      <c r="I120" s="5">
        <f t="shared" si="13"/>
        <v>117999.99999999999</v>
      </c>
      <c r="L120" s="5">
        <f t="shared" si="14"/>
        <v>4273000</v>
      </c>
      <c r="M120" s="5">
        <f t="shared" si="15"/>
        <v>4545744.6808510637</v>
      </c>
      <c r="N120" s="10">
        <f t="shared" si="16"/>
        <v>530500</v>
      </c>
      <c r="O120" s="11">
        <f t="shared" si="17"/>
        <v>0.11670255090100633</v>
      </c>
      <c r="P120" s="5">
        <f t="shared" si="18"/>
        <v>4911494.2528735632</v>
      </c>
      <c r="Q120" s="10">
        <f t="shared" si="19"/>
        <v>530500</v>
      </c>
      <c r="R120" s="11">
        <f t="shared" si="20"/>
        <v>0.1080119354083782</v>
      </c>
    </row>
    <row r="121" spans="1:18" x14ac:dyDescent="0.3">
      <c r="A121" s="7">
        <v>3750001</v>
      </c>
      <c r="B121" s="7">
        <v>3800000</v>
      </c>
      <c r="C121" s="7">
        <v>30000</v>
      </c>
      <c r="E121" s="7">
        <v>0</v>
      </c>
      <c r="F121" s="7">
        <f t="shared" si="21"/>
        <v>380000</v>
      </c>
      <c r="G121" s="13">
        <f t="shared" si="11"/>
        <v>2.342105263157894E-2</v>
      </c>
      <c r="H121" s="7">
        <f t="shared" si="12"/>
        <v>30000</v>
      </c>
      <c r="I121" s="5">
        <f t="shared" si="13"/>
        <v>118999.99999999997</v>
      </c>
      <c r="L121" s="5">
        <f t="shared" si="14"/>
        <v>4329000</v>
      </c>
      <c r="M121" s="5">
        <f t="shared" si="15"/>
        <v>4605319.1489361702</v>
      </c>
      <c r="N121" s="10">
        <f t="shared" si="16"/>
        <v>537000</v>
      </c>
      <c r="O121" s="11">
        <f t="shared" si="17"/>
        <v>0.11660429660429661</v>
      </c>
      <c r="P121" s="5">
        <f t="shared" si="18"/>
        <v>4975862.068965517</v>
      </c>
      <c r="Q121" s="10">
        <f t="shared" si="19"/>
        <v>537000</v>
      </c>
      <c r="R121" s="11">
        <f t="shared" si="20"/>
        <v>0.10792099792099792</v>
      </c>
    </row>
    <row r="122" spans="1:18" x14ac:dyDescent="0.3">
      <c r="A122" s="7">
        <v>3800001</v>
      </c>
      <c r="B122" s="7">
        <v>3850000</v>
      </c>
      <c r="C122" s="7">
        <v>30000</v>
      </c>
      <c r="E122" s="7">
        <v>0</v>
      </c>
      <c r="F122" s="7">
        <f t="shared" si="21"/>
        <v>385000</v>
      </c>
      <c r="G122" s="13">
        <f t="shared" si="11"/>
        <v>2.3376623376623371E-2</v>
      </c>
      <c r="H122" s="7">
        <f t="shared" si="12"/>
        <v>30000</v>
      </c>
      <c r="I122" s="5">
        <f t="shared" si="13"/>
        <v>119999.99999999997</v>
      </c>
      <c r="L122" s="5">
        <f t="shared" si="14"/>
        <v>4385000</v>
      </c>
      <c r="M122" s="5">
        <f t="shared" si="15"/>
        <v>4664893.6170212766</v>
      </c>
      <c r="N122" s="10">
        <f t="shared" si="16"/>
        <v>543500</v>
      </c>
      <c r="O122" s="11">
        <f t="shared" si="17"/>
        <v>0.11650855188141392</v>
      </c>
      <c r="P122" s="5">
        <f t="shared" si="18"/>
        <v>5040229.8850574717</v>
      </c>
      <c r="Q122" s="10">
        <f t="shared" si="19"/>
        <v>543500</v>
      </c>
      <c r="R122" s="11">
        <f t="shared" si="20"/>
        <v>0.10783238312428733</v>
      </c>
    </row>
    <row r="123" spans="1:18" x14ac:dyDescent="0.3">
      <c r="A123" s="7">
        <v>3850001</v>
      </c>
      <c r="B123" s="7">
        <v>3900000</v>
      </c>
      <c r="C123" s="7">
        <v>30000</v>
      </c>
      <c r="E123" s="7">
        <v>0</v>
      </c>
      <c r="F123" s="7">
        <f t="shared" si="21"/>
        <v>390000</v>
      </c>
      <c r="G123" s="13">
        <f t="shared" si="11"/>
        <v>2.3333333333333317E-2</v>
      </c>
      <c r="H123" s="7">
        <f t="shared" si="12"/>
        <v>30000</v>
      </c>
      <c r="I123" s="5">
        <f t="shared" si="13"/>
        <v>120999.99999999994</v>
      </c>
      <c r="L123" s="5">
        <f t="shared" si="14"/>
        <v>4441000</v>
      </c>
      <c r="M123" s="5">
        <f t="shared" si="15"/>
        <v>4724468.0851063831</v>
      </c>
      <c r="N123" s="10">
        <f t="shared" si="16"/>
        <v>550000</v>
      </c>
      <c r="O123" s="11">
        <f t="shared" si="17"/>
        <v>0.11641522179689259</v>
      </c>
      <c r="P123" s="5">
        <f t="shared" si="18"/>
        <v>5104597.7011494255</v>
      </c>
      <c r="Q123" s="10">
        <f t="shared" si="19"/>
        <v>550000</v>
      </c>
      <c r="R123" s="11">
        <f t="shared" si="20"/>
        <v>0.10774600315244313</v>
      </c>
    </row>
    <row r="124" spans="1:18" x14ac:dyDescent="0.3">
      <c r="A124" s="7">
        <v>3900001</v>
      </c>
      <c r="B124" s="7">
        <v>3950000</v>
      </c>
      <c r="C124" s="7">
        <v>30000</v>
      </c>
      <c r="E124" s="7">
        <v>0</v>
      </c>
      <c r="F124" s="7">
        <f t="shared" si="21"/>
        <v>395000</v>
      </c>
      <c r="G124" s="13">
        <f t="shared" si="11"/>
        <v>2.3291139240506326E-2</v>
      </c>
      <c r="H124" s="7">
        <f t="shared" si="12"/>
        <v>30000</v>
      </c>
      <c r="I124" s="5">
        <f t="shared" si="13"/>
        <v>121999.99999999999</v>
      </c>
      <c r="L124" s="5">
        <f t="shared" si="14"/>
        <v>4497000</v>
      </c>
      <c r="M124" s="5">
        <f t="shared" si="15"/>
        <v>4784042.5531914895</v>
      </c>
      <c r="N124" s="10">
        <f t="shared" si="16"/>
        <v>556500</v>
      </c>
      <c r="O124" s="11">
        <f t="shared" si="17"/>
        <v>0.11632421614409606</v>
      </c>
      <c r="P124" s="5">
        <f t="shared" si="18"/>
        <v>5168965.5172413792</v>
      </c>
      <c r="Q124" s="10">
        <f t="shared" si="19"/>
        <v>556500</v>
      </c>
      <c r="R124" s="11">
        <f t="shared" si="20"/>
        <v>0.10766177451634423</v>
      </c>
    </row>
    <row r="125" spans="1:18" x14ac:dyDescent="0.3">
      <c r="A125" s="7">
        <v>3950001</v>
      </c>
      <c r="B125" s="7">
        <v>4000000</v>
      </c>
      <c r="C125" s="7">
        <v>30000</v>
      </c>
      <c r="E125" s="7">
        <v>0</v>
      </c>
      <c r="F125" s="7">
        <f t="shared" si="21"/>
        <v>400000</v>
      </c>
      <c r="G125" s="13">
        <f t="shared" si="11"/>
        <v>2.3249999999999993E-2</v>
      </c>
      <c r="H125" s="7">
        <f t="shared" si="12"/>
        <v>30000</v>
      </c>
      <c r="I125" s="5">
        <f t="shared" si="13"/>
        <v>122999.99999999997</v>
      </c>
      <c r="L125" s="5">
        <f t="shared" si="14"/>
        <v>4553000</v>
      </c>
      <c r="M125" s="5">
        <f t="shared" si="15"/>
        <v>4843617.021276596</v>
      </c>
      <c r="N125" s="10">
        <f t="shared" si="16"/>
        <v>563000</v>
      </c>
      <c r="O125" s="11">
        <f t="shared" si="17"/>
        <v>0.11623544915440369</v>
      </c>
      <c r="P125" s="5">
        <f t="shared" si="18"/>
        <v>5233333.333333333</v>
      </c>
      <c r="Q125" s="10">
        <f t="shared" si="19"/>
        <v>563000</v>
      </c>
      <c r="R125" s="11">
        <f t="shared" si="20"/>
        <v>0.10757961783439492</v>
      </c>
    </row>
    <row r="126" spans="1:18" x14ac:dyDescent="0.3">
      <c r="A126" s="7">
        <v>4000001</v>
      </c>
      <c r="B126" s="7">
        <v>4050000</v>
      </c>
      <c r="C126" s="7">
        <v>30000</v>
      </c>
      <c r="E126" s="7">
        <v>0</v>
      </c>
      <c r="F126" s="7">
        <f t="shared" si="21"/>
        <v>405000</v>
      </c>
      <c r="G126" s="13">
        <f t="shared" si="11"/>
        <v>2.320987654320987E-2</v>
      </c>
      <c r="H126" s="7">
        <f t="shared" si="12"/>
        <v>30000</v>
      </c>
      <c r="I126" s="5">
        <f t="shared" si="13"/>
        <v>123999.99999999997</v>
      </c>
      <c r="L126" s="5">
        <f t="shared" si="14"/>
        <v>4609000</v>
      </c>
      <c r="M126" s="5">
        <f t="shared" si="15"/>
        <v>4903191.4893617025</v>
      </c>
      <c r="N126" s="10">
        <f t="shared" si="16"/>
        <v>569500</v>
      </c>
      <c r="O126" s="11">
        <f t="shared" si="17"/>
        <v>0.11614883922759817</v>
      </c>
      <c r="P126" s="5">
        <f t="shared" si="18"/>
        <v>5297701.1494252877</v>
      </c>
      <c r="Q126" s="10">
        <f t="shared" si="19"/>
        <v>569500</v>
      </c>
      <c r="R126" s="11">
        <f t="shared" si="20"/>
        <v>0.10749945758298979</v>
      </c>
    </row>
    <row r="127" spans="1:18" x14ac:dyDescent="0.3">
      <c r="A127" s="7">
        <v>4050001</v>
      </c>
      <c r="B127" s="7">
        <v>4100000</v>
      </c>
      <c r="C127" s="7">
        <v>30000</v>
      </c>
      <c r="E127" s="7">
        <v>0</v>
      </c>
      <c r="F127" s="7">
        <f t="shared" si="21"/>
        <v>410000</v>
      </c>
      <c r="G127" s="13">
        <f t="shared" si="11"/>
        <v>2.3170731707317066E-2</v>
      </c>
      <c r="H127" s="7">
        <f t="shared" si="12"/>
        <v>30000</v>
      </c>
      <c r="I127" s="5">
        <f t="shared" si="13"/>
        <v>124999.99999999997</v>
      </c>
      <c r="L127" s="5">
        <f t="shared" si="14"/>
        <v>4665000</v>
      </c>
      <c r="M127" s="5">
        <f t="shared" si="15"/>
        <v>4962765.9574468089</v>
      </c>
      <c r="N127" s="10">
        <f t="shared" si="16"/>
        <v>576000</v>
      </c>
      <c r="O127" s="11">
        <f t="shared" si="17"/>
        <v>0.11606430868167202</v>
      </c>
      <c r="P127" s="5">
        <f t="shared" si="18"/>
        <v>5362068.9655172415</v>
      </c>
      <c r="Q127" s="10">
        <f t="shared" si="19"/>
        <v>576000</v>
      </c>
      <c r="R127" s="11">
        <f t="shared" si="20"/>
        <v>0.10742122186495176</v>
      </c>
    </row>
    <row r="128" spans="1:18" x14ac:dyDescent="0.3">
      <c r="A128" s="7">
        <v>4100001</v>
      </c>
      <c r="B128" s="7">
        <v>4150000</v>
      </c>
      <c r="C128" s="7">
        <v>30000</v>
      </c>
      <c r="E128" s="7">
        <v>0</v>
      </c>
      <c r="F128" s="7">
        <f t="shared" si="21"/>
        <v>415000</v>
      </c>
      <c r="G128" s="13">
        <f t="shared" si="11"/>
        <v>2.3132530120481914E-2</v>
      </c>
      <c r="H128" s="7">
        <f t="shared" si="12"/>
        <v>30000</v>
      </c>
      <c r="I128" s="5">
        <f t="shared" si="13"/>
        <v>125999.99999999994</v>
      </c>
      <c r="L128" s="5">
        <f t="shared" si="14"/>
        <v>4721000</v>
      </c>
      <c r="M128" s="5">
        <f t="shared" si="15"/>
        <v>5022340.4255319154</v>
      </c>
      <c r="N128" s="10">
        <f t="shared" si="16"/>
        <v>582500</v>
      </c>
      <c r="O128" s="11">
        <f t="shared" si="17"/>
        <v>0.11598178352044057</v>
      </c>
      <c r="P128" s="5">
        <f t="shared" si="18"/>
        <v>5426436.7816091953</v>
      </c>
      <c r="Q128" s="10">
        <f t="shared" si="19"/>
        <v>582500</v>
      </c>
      <c r="R128" s="11">
        <f t="shared" si="20"/>
        <v>0.10734484219445033</v>
      </c>
    </row>
    <row r="129" spans="1:18" x14ac:dyDescent="0.3">
      <c r="A129" s="7">
        <v>4150001</v>
      </c>
      <c r="B129" s="7">
        <v>4200000</v>
      </c>
      <c r="C129" s="7">
        <v>30000</v>
      </c>
      <c r="E129" s="7">
        <v>0</v>
      </c>
      <c r="F129" s="7">
        <f t="shared" si="21"/>
        <v>420000</v>
      </c>
      <c r="G129" s="13">
        <f t="shared" si="11"/>
        <v>2.3095238095238085E-2</v>
      </c>
      <c r="H129" s="7">
        <f t="shared" si="12"/>
        <v>30000</v>
      </c>
      <c r="I129" s="5">
        <f t="shared" si="13"/>
        <v>126999.99999999996</v>
      </c>
      <c r="L129" s="5">
        <f t="shared" si="14"/>
        <v>4777000</v>
      </c>
      <c r="M129" s="5">
        <f t="shared" si="15"/>
        <v>5081914.8936170219</v>
      </c>
      <c r="N129" s="10">
        <f t="shared" si="16"/>
        <v>589000</v>
      </c>
      <c r="O129" s="11">
        <f t="shared" si="17"/>
        <v>0.1159011932175005</v>
      </c>
      <c r="P129" s="5">
        <f t="shared" si="18"/>
        <v>5490804.5977011491</v>
      </c>
      <c r="Q129" s="10">
        <f t="shared" si="19"/>
        <v>589000</v>
      </c>
      <c r="R129" s="11">
        <f t="shared" si="20"/>
        <v>0.10727025329704837</v>
      </c>
    </row>
    <row r="130" spans="1:18" x14ac:dyDescent="0.3">
      <c r="A130" s="7">
        <v>4200001</v>
      </c>
      <c r="B130" s="7">
        <v>4250000</v>
      </c>
      <c r="C130" s="7">
        <v>30000</v>
      </c>
      <c r="E130" s="7">
        <v>0</v>
      </c>
      <c r="F130" s="7">
        <f t="shared" si="21"/>
        <v>425000</v>
      </c>
      <c r="G130" s="13">
        <f t="shared" si="11"/>
        <v>2.3058823529411757E-2</v>
      </c>
      <c r="H130" s="7">
        <f t="shared" si="12"/>
        <v>30000</v>
      </c>
      <c r="I130" s="5">
        <f t="shared" si="13"/>
        <v>127999.99999999997</v>
      </c>
      <c r="L130" s="5">
        <f t="shared" si="14"/>
        <v>4833000</v>
      </c>
      <c r="M130" s="5">
        <f t="shared" si="15"/>
        <v>5141489.3617021283</v>
      </c>
      <c r="N130" s="10">
        <f t="shared" si="16"/>
        <v>595500</v>
      </c>
      <c r="O130" s="11">
        <f t="shared" si="17"/>
        <v>0.11582247051520793</v>
      </c>
      <c r="P130" s="5">
        <f t="shared" si="18"/>
        <v>5555172.4137931038</v>
      </c>
      <c r="Q130" s="10">
        <f t="shared" si="19"/>
        <v>595500</v>
      </c>
      <c r="R130" s="11">
        <f t="shared" si="20"/>
        <v>0.1071973929236499</v>
      </c>
    </row>
    <row r="131" spans="1:18" x14ac:dyDescent="0.3">
      <c r="A131" s="7">
        <v>4250001</v>
      </c>
      <c r="B131" s="7">
        <v>4300000</v>
      </c>
      <c r="C131" s="7">
        <v>30000</v>
      </c>
      <c r="E131" s="7">
        <v>0</v>
      </c>
      <c r="F131" s="7">
        <f t="shared" si="21"/>
        <v>430000</v>
      </c>
      <c r="G131" s="13">
        <f t="shared" ref="G131:G194" si="22">MIN($K$2,MAX($K$3,$K$4/B131+$K$3))-$K$17</f>
        <v>2.302325581395348E-2</v>
      </c>
      <c r="H131" s="7">
        <f t="shared" ref="H131:H194" si="23">MIN($K$11,$K$9+$K$10*(B131-$B$2))</f>
        <v>30000</v>
      </c>
      <c r="I131" s="5">
        <f t="shared" ref="I131:I194" si="24">B131*G131+H131</f>
        <v>128999.99999999997</v>
      </c>
      <c r="L131" s="5">
        <f t="shared" ref="L131:L194" si="25">B131+C131+E131+F131+I131</f>
        <v>4889000</v>
      </c>
      <c r="M131" s="5">
        <f t="shared" ref="M131:M194" si="26">L131/(1-$K$14)</f>
        <v>5201063.8297872348</v>
      </c>
      <c r="N131" s="10">
        <f t="shared" ref="N131:N194" si="27">M131*(1-$K$14)-(B131+E131+F131)*(1-$K$17)-C131</f>
        <v>602000</v>
      </c>
      <c r="O131" s="11">
        <f t="shared" ref="O131:O194" si="28">N131/M131</f>
        <v>0.11574555123747186</v>
      </c>
      <c r="P131" s="5">
        <f t="shared" ref="P131:P194" si="29">L131/(1-$K$15)</f>
        <v>5619540.2298850575</v>
      </c>
      <c r="Q131" s="10">
        <f t="shared" ref="Q131:Q194" si="30">P131*(1-$K$15)-(B131+E131+F131)*(1-$K$17)-C131</f>
        <v>602000</v>
      </c>
      <c r="R131" s="11">
        <f t="shared" ref="R131:R194" si="31">Q131/P131</f>
        <v>0.10712620167723461</v>
      </c>
    </row>
    <row r="132" spans="1:18" x14ac:dyDescent="0.3">
      <c r="A132" s="7">
        <v>4300001</v>
      </c>
      <c r="B132" s="7">
        <v>4350000</v>
      </c>
      <c r="C132" s="7">
        <v>30000</v>
      </c>
      <c r="E132" s="7">
        <v>0</v>
      </c>
      <c r="F132" s="7">
        <f t="shared" si="21"/>
        <v>435000</v>
      </c>
      <c r="G132" s="13">
        <f t="shared" si="22"/>
        <v>2.2988505747126423E-2</v>
      </c>
      <c r="H132" s="7">
        <f t="shared" si="23"/>
        <v>30000</v>
      </c>
      <c r="I132" s="5">
        <f t="shared" si="24"/>
        <v>129999.99999999994</v>
      </c>
      <c r="L132" s="5">
        <f t="shared" si="25"/>
        <v>4945000</v>
      </c>
      <c r="M132" s="5">
        <f t="shared" si="26"/>
        <v>5260638.2978723403</v>
      </c>
      <c r="N132" s="10">
        <f t="shared" si="27"/>
        <v>608500</v>
      </c>
      <c r="O132" s="11">
        <f t="shared" si="28"/>
        <v>0.11567037411526795</v>
      </c>
      <c r="P132" s="5">
        <f t="shared" si="29"/>
        <v>5683908.0459770113</v>
      </c>
      <c r="Q132" s="10">
        <f t="shared" si="30"/>
        <v>608500</v>
      </c>
      <c r="R132" s="11">
        <f t="shared" si="31"/>
        <v>0.10705662285136502</v>
      </c>
    </row>
    <row r="133" spans="1:18" x14ac:dyDescent="0.3">
      <c r="A133" s="7">
        <v>4350001</v>
      </c>
      <c r="B133" s="7">
        <v>4400000</v>
      </c>
      <c r="C133" s="7">
        <v>30000</v>
      </c>
      <c r="E133" s="7">
        <v>0</v>
      </c>
      <c r="F133" s="7">
        <f t="shared" si="21"/>
        <v>440000</v>
      </c>
      <c r="G133" s="13">
        <f t="shared" si="22"/>
        <v>2.295454545454545E-2</v>
      </c>
      <c r="H133" s="7">
        <f t="shared" si="23"/>
        <v>30000</v>
      </c>
      <c r="I133" s="5">
        <f t="shared" si="24"/>
        <v>130999.99999999999</v>
      </c>
      <c r="L133" s="5">
        <f t="shared" si="25"/>
        <v>5001000</v>
      </c>
      <c r="M133" s="5">
        <f t="shared" si="26"/>
        <v>5320212.7659574468</v>
      </c>
      <c r="N133" s="10">
        <f t="shared" si="27"/>
        <v>615000</v>
      </c>
      <c r="O133" s="11">
        <f t="shared" si="28"/>
        <v>0.11559688062387523</v>
      </c>
      <c r="P133" s="5">
        <f t="shared" si="29"/>
        <v>5748275.8620689651</v>
      </c>
      <c r="Q133" s="10">
        <f t="shared" si="30"/>
        <v>615000</v>
      </c>
      <c r="R133" s="11">
        <f t="shared" si="31"/>
        <v>0.1069886022795441</v>
      </c>
    </row>
    <row r="134" spans="1:18" x14ac:dyDescent="0.3">
      <c r="A134" s="7">
        <v>4400001</v>
      </c>
      <c r="B134" s="7">
        <v>4450000</v>
      </c>
      <c r="C134" s="7">
        <v>30000</v>
      </c>
      <c r="E134" s="7">
        <v>0</v>
      </c>
      <c r="F134" s="7">
        <f t="shared" si="21"/>
        <v>445000</v>
      </c>
      <c r="G134" s="13">
        <f t="shared" si="22"/>
        <v>2.2921348314606738E-2</v>
      </c>
      <c r="H134" s="7">
        <f t="shared" si="23"/>
        <v>30000</v>
      </c>
      <c r="I134" s="5">
        <f t="shared" si="24"/>
        <v>132000</v>
      </c>
      <c r="L134" s="5">
        <f t="shared" si="25"/>
        <v>5057000</v>
      </c>
      <c r="M134" s="5">
        <f t="shared" si="26"/>
        <v>5379787.2340425532</v>
      </c>
      <c r="N134" s="10">
        <f t="shared" si="27"/>
        <v>621500</v>
      </c>
      <c r="O134" s="11">
        <f t="shared" si="28"/>
        <v>0.11552501483092743</v>
      </c>
      <c r="P134" s="5">
        <f t="shared" si="29"/>
        <v>5812643.6781609198</v>
      </c>
      <c r="Q134" s="10">
        <f t="shared" si="30"/>
        <v>621500</v>
      </c>
      <c r="R134" s="11">
        <f t="shared" si="31"/>
        <v>0.10692208819458177</v>
      </c>
    </row>
    <row r="135" spans="1:18" x14ac:dyDescent="0.3">
      <c r="A135" s="7">
        <v>4450001</v>
      </c>
      <c r="B135" s="7">
        <v>4500000</v>
      </c>
      <c r="C135" s="7">
        <v>30000</v>
      </c>
      <c r="E135" s="7">
        <v>0</v>
      </c>
      <c r="F135" s="7">
        <f t="shared" si="21"/>
        <v>450000</v>
      </c>
      <c r="G135" s="13">
        <f t="shared" si="22"/>
        <v>2.2888888888888875E-2</v>
      </c>
      <c r="H135" s="7">
        <f t="shared" si="23"/>
        <v>30000</v>
      </c>
      <c r="I135" s="5">
        <f t="shared" si="24"/>
        <v>132999.99999999994</v>
      </c>
      <c r="L135" s="5">
        <f t="shared" si="25"/>
        <v>5113000</v>
      </c>
      <c r="M135" s="5">
        <f t="shared" si="26"/>
        <v>5439361.7021276597</v>
      </c>
      <c r="N135" s="10">
        <f t="shared" si="27"/>
        <v>628000</v>
      </c>
      <c r="O135" s="11">
        <f t="shared" si="28"/>
        <v>0.11545472325444944</v>
      </c>
      <c r="P135" s="5">
        <f t="shared" si="29"/>
        <v>5877011.4942528736</v>
      </c>
      <c r="Q135" s="10">
        <f t="shared" si="30"/>
        <v>628000</v>
      </c>
      <c r="R135" s="11">
        <f t="shared" si="31"/>
        <v>0.10685703109720321</v>
      </c>
    </row>
    <row r="136" spans="1:18" x14ac:dyDescent="0.3">
      <c r="A136" s="7">
        <v>4500001</v>
      </c>
      <c r="B136" s="7">
        <v>4550000</v>
      </c>
      <c r="C136" s="7">
        <v>30000</v>
      </c>
      <c r="E136" s="7">
        <v>0</v>
      </c>
      <c r="F136" s="7">
        <f t="shared" si="21"/>
        <v>455000</v>
      </c>
      <c r="G136" s="13">
        <f t="shared" si="22"/>
        <v>2.2857142857142854E-2</v>
      </c>
      <c r="H136" s="7">
        <f t="shared" si="23"/>
        <v>30000</v>
      </c>
      <c r="I136" s="5">
        <f t="shared" si="24"/>
        <v>134000</v>
      </c>
      <c r="L136" s="5">
        <f t="shared" si="25"/>
        <v>5169000</v>
      </c>
      <c r="M136" s="5">
        <f t="shared" si="26"/>
        <v>5498936.1702127662</v>
      </c>
      <c r="N136" s="10">
        <f t="shared" si="27"/>
        <v>634500</v>
      </c>
      <c r="O136" s="11">
        <f t="shared" si="28"/>
        <v>0.11538595473012188</v>
      </c>
      <c r="P136" s="5">
        <f t="shared" si="29"/>
        <v>5941379.3103448274</v>
      </c>
      <c r="Q136" s="10">
        <f t="shared" si="30"/>
        <v>634500</v>
      </c>
      <c r="R136" s="11">
        <f t="shared" si="31"/>
        <v>0.10679338363319792</v>
      </c>
    </row>
    <row r="137" spans="1:18" x14ac:dyDescent="0.3">
      <c r="A137" s="7">
        <v>4550001</v>
      </c>
      <c r="B137" s="7">
        <v>4600000</v>
      </c>
      <c r="C137" s="7">
        <v>30000</v>
      </c>
      <c r="E137" s="7">
        <v>0</v>
      </c>
      <c r="F137" s="7">
        <f t="shared" si="21"/>
        <v>460000</v>
      </c>
      <c r="G137" s="13">
        <f t="shared" si="22"/>
        <v>2.2826086956521732E-2</v>
      </c>
      <c r="H137" s="7">
        <f t="shared" si="23"/>
        <v>30000</v>
      </c>
      <c r="I137" s="5">
        <f t="shared" si="24"/>
        <v>134999.99999999997</v>
      </c>
      <c r="L137" s="5">
        <f t="shared" si="25"/>
        <v>5225000</v>
      </c>
      <c r="M137" s="5">
        <f t="shared" si="26"/>
        <v>5558510.6382978726</v>
      </c>
      <c r="N137" s="10">
        <f t="shared" si="27"/>
        <v>641000</v>
      </c>
      <c r="O137" s="11">
        <f t="shared" si="28"/>
        <v>0.11531866028708133</v>
      </c>
      <c r="P137" s="5">
        <f t="shared" si="29"/>
        <v>6005747.1264367821</v>
      </c>
      <c r="Q137" s="10">
        <f t="shared" si="30"/>
        <v>641000</v>
      </c>
      <c r="R137" s="11">
        <f t="shared" si="31"/>
        <v>0.10673110047846888</v>
      </c>
    </row>
    <row r="138" spans="1:18" x14ac:dyDescent="0.3">
      <c r="A138" s="7">
        <v>4600001</v>
      </c>
      <c r="B138" s="7">
        <v>4650000</v>
      </c>
      <c r="C138" s="7">
        <v>30000</v>
      </c>
      <c r="E138" s="7">
        <v>0</v>
      </c>
      <c r="F138" s="7">
        <f t="shared" si="21"/>
        <v>465000</v>
      </c>
      <c r="G138" s="13">
        <f t="shared" si="22"/>
        <v>2.279569892473117E-2</v>
      </c>
      <c r="H138" s="7">
        <f t="shared" si="23"/>
        <v>30000</v>
      </c>
      <c r="I138" s="5">
        <f t="shared" si="24"/>
        <v>135999.99999999994</v>
      </c>
      <c r="L138" s="5">
        <f t="shared" si="25"/>
        <v>5281000</v>
      </c>
      <c r="M138" s="5">
        <f t="shared" si="26"/>
        <v>5618085.1063829791</v>
      </c>
      <c r="N138" s="10">
        <f t="shared" si="27"/>
        <v>647500</v>
      </c>
      <c r="O138" s="11">
        <f t="shared" si="28"/>
        <v>0.11525279303162279</v>
      </c>
      <c r="P138" s="5">
        <f t="shared" si="29"/>
        <v>6070114.9425287358</v>
      </c>
      <c r="Q138" s="10">
        <f t="shared" si="30"/>
        <v>647500</v>
      </c>
      <c r="R138" s="11">
        <f t="shared" si="31"/>
        <v>0.10667013823139557</v>
      </c>
    </row>
    <row r="139" spans="1:18" x14ac:dyDescent="0.3">
      <c r="A139" s="7">
        <v>4650001</v>
      </c>
      <c r="B139" s="7">
        <v>4700000</v>
      </c>
      <c r="C139" s="7">
        <v>30000</v>
      </c>
      <c r="E139" s="7">
        <v>0</v>
      </c>
      <c r="F139" s="7">
        <f t="shared" si="21"/>
        <v>470000</v>
      </c>
      <c r="G139" s="13">
        <f t="shared" si="22"/>
        <v>2.2765957446808496E-2</v>
      </c>
      <c r="H139" s="7">
        <f t="shared" si="23"/>
        <v>30000</v>
      </c>
      <c r="I139" s="5">
        <f t="shared" si="24"/>
        <v>136999.99999999994</v>
      </c>
      <c r="L139" s="5">
        <f t="shared" si="25"/>
        <v>5337000</v>
      </c>
      <c r="M139" s="5">
        <f t="shared" si="26"/>
        <v>5677659.5744680855</v>
      </c>
      <c r="N139" s="10">
        <f t="shared" si="27"/>
        <v>654000</v>
      </c>
      <c r="O139" s="11">
        <f t="shared" si="28"/>
        <v>0.11518830803822372</v>
      </c>
      <c r="P139" s="5">
        <f t="shared" si="29"/>
        <v>6134482.7586206896</v>
      </c>
      <c r="Q139" s="10">
        <f t="shared" si="30"/>
        <v>654000</v>
      </c>
      <c r="R139" s="11">
        <f t="shared" si="31"/>
        <v>0.10661045531197302</v>
      </c>
    </row>
    <row r="140" spans="1:18" x14ac:dyDescent="0.3">
      <c r="A140" s="7">
        <v>4700001</v>
      </c>
      <c r="B140" s="7">
        <v>4750000</v>
      </c>
      <c r="C140" s="7">
        <v>30000</v>
      </c>
      <c r="E140" s="7">
        <v>0</v>
      </c>
      <c r="F140" s="7">
        <f t="shared" si="21"/>
        <v>475000</v>
      </c>
      <c r="G140" s="13">
        <f t="shared" si="22"/>
        <v>2.2736842105263153E-2</v>
      </c>
      <c r="H140" s="7">
        <f t="shared" si="23"/>
        <v>30000</v>
      </c>
      <c r="I140" s="5">
        <f t="shared" si="24"/>
        <v>137999.99999999997</v>
      </c>
      <c r="L140" s="5">
        <f t="shared" si="25"/>
        <v>5393000</v>
      </c>
      <c r="M140" s="5">
        <f t="shared" si="26"/>
        <v>5737234.042553192</v>
      </c>
      <c r="N140" s="10">
        <f t="shared" si="27"/>
        <v>660500</v>
      </c>
      <c r="O140" s="11">
        <f t="shared" si="28"/>
        <v>0.11512516224735768</v>
      </c>
      <c r="P140" s="5">
        <f t="shared" si="29"/>
        <v>6198850.5747126434</v>
      </c>
      <c r="Q140" s="10">
        <f t="shared" si="30"/>
        <v>660500</v>
      </c>
      <c r="R140" s="11">
        <f t="shared" si="31"/>
        <v>0.10655201186723531</v>
      </c>
    </row>
    <row r="141" spans="1:18" x14ac:dyDescent="0.3">
      <c r="A141" s="7">
        <v>4750001</v>
      </c>
      <c r="B141" s="7">
        <v>4800000</v>
      </c>
      <c r="C141" s="7">
        <v>30000</v>
      </c>
      <c r="E141" s="7">
        <v>0</v>
      </c>
      <c r="F141" s="7">
        <f t="shared" si="21"/>
        <v>480000</v>
      </c>
      <c r="G141" s="13">
        <f t="shared" si="22"/>
        <v>2.270833333333333E-2</v>
      </c>
      <c r="H141" s="7">
        <f t="shared" si="23"/>
        <v>30000</v>
      </c>
      <c r="I141" s="5">
        <f t="shared" si="24"/>
        <v>139000</v>
      </c>
      <c r="L141" s="5">
        <f t="shared" si="25"/>
        <v>5449000</v>
      </c>
      <c r="M141" s="5">
        <f t="shared" si="26"/>
        <v>5796808.5106382985</v>
      </c>
      <c r="N141" s="10">
        <f t="shared" si="27"/>
        <v>667000</v>
      </c>
      <c r="O141" s="11">
        <f t="shared" si="28"/>
        <v>0.11506331436960909</v>
      </c>
      <c r="P141" s="5">
        <f t="shared" si="29"/>
        <v>6263218.3908045981</v>
      </c>
      <c r="Q141" s="10">
        <f t="shared" si="30"/>
        <v>667000</v>
      </c>
      <c r="R141" s="11">
        <f t="shared" si="31"/>
        <v>0.10649476968251055</v>
      </c>
    </row>
    <row r="142" spans="1:18" x14ac:dyDescent="0.3">
      <c r="A142" s="7">
        <v>4800001</v>
      </c>
      <c r="B142" s="7">
        <v>4850000</v>
      </c>
      <c r="C142" s="7">
        <v>30000</v>
      </c>
      <c r="E142" s="7">
        <v>0</v>
      </c>
      <c r="F142" s="7">
        <f t="shared" si="21"/>
        <v>485000</v>
      </c>
      <c r="G142" s="13">
        <f t="shared" si="22"/>
        <v>2.2680412371134009E-2</v>
      </c>
      <c r="H142" s="7">
        <f t="shared" si="23"/>
        <v>30000</v>
      </c>
      <c r="I142" s="5">
        <f t="shared" si="24"/>
        <v>139999.99999999994</v>
      </c>
      <c r="L142" s="5">
        <f t="shared" si="25"/>
        <v>5505000</v>
      </c>
      <c r="M142" s="5">
        <f t="shared" si="26"/>
        <v>5856382.9787234049</v>
      </c>
      <c r="N142" s="10">
        <f t="shared" si="27"/>
        <v>673500</v>
      </c>
      <c r="O142" s="11">
        <f t="shared" si="28"/>
        <v>0.11500272479564032</v>
      </c>
      <c r="P142" s="5">
        <f t="shared" si="29"/>
        <v>6327586.2068965519</v>
      </c>
      <c r="Q142" s="10">
        <f t="shared" si="30"/>
        <v>673500</v>
      </c>
      <c r="R142" s="11">
        <f t="shared" si="31"/>
        <v>0.10643869209809265</v>
      </c>
    </row>
    <row r="143" spans="1:18" x14ac:dyDescent="0.3">
      <c r="A143" s="7">
        <v>4850001</v>
      </c>
      <c r="B143" s="7">
        <v>4900000</v>
      </c>
      <c r="C143" s="7">
        <v>30000</v>
      </c>
      <c r="E143" s="7">
        <v>0</v>
      </c>
      <c r="F143" s="7">
        <f t="shared" si="21"/>
        <v>490000</v>
      </c>
      <c r="G143" s="13">
        <f t="shared" si="22"/>
        <v>2.265306122448979E-2</v>
      </c>
      <c r="H143" s="7">
        <f t="shared" si="23"/>
        <v>30000</v>
      </c>
      <c r="I143" s="5">
        <f t="shared" si="24"/>
        <v>140999.99999999997</v>
      </c>
      <c r="L143" s="5">
        <f t="shared" si="25"/>
        <v>5561000</v>
      </c>
      <c r="M143" s="5">
        <f t="shared" si="26"/>
        <v>5915957.4468085114</v>
      </c>
      <c r="N143" s="10">
        <f t="shared" si="27"/>
        <v>680000</v>
      </c>
      <c r="O143" s="11">
        <f t="shared" si="28"/>
        <v>0.11494335551159862</v>
      </c>
      <c r="P143" s="5">
        <f t="shared" si="29"/>
        <v>6391954.0229885057</v>
      </c>
      <c r="Q143" s="10">
        <f t="shared" si="30"/>
        <v>680000</v>
      </c>
      <c r="R143" s="11">
        <f t="shared" si="31"/>
        <v>0.10638374393094767</v>
      </c>
    </row>
    <row r="144" spans="1:18" x14ac:dyDescent="0.3">
      <c r="A144" s="7">
        <v>4900001</v>
      </c>
      <c r="B144" s="7">
        <v>4950000</v>
      </c>
      <c r="C144" s="7">
        <v>30000</v>
      </c>
      <c r="E144" s="7">
        <v>0</v>
      </c>
      <c r="F144" s="7">
        <f t="shared" si="21"/>
        <v>495000</v>
      </c>
      <c r="G144" s="13">
        <f t="shared" si="22"/>
        <v>2.2626262626262619E-2</v>
      </c>
      <c r="H144" s="7">
        <f t="shared" si="23"/>
        <v>30000</v>
      </c>
      <c r="I144" s="5">
        <f t="shared" si="24"/>
        <v>141999.99999999997</v>
      </c>
      <c r="L144" s="5">
        <f t="shared" si="25"/>
        <v>5617000</v>
      </c>
      <c r="M144" s="5">
        <f t="shared" si="26"/>
        <v>5975531.9148936169</v>
      </c>
      <c r="N144" s="10">
        <f t="shared" si="27"/>
        <v>686500</v>
      </c>
      <c r="O144" s="11">
        <f t="shared" si="28"/>
        <v>0.11488517001958341</v>
      </c>
      <c r="P144" s="5">
        <f t="shared" si="29"/>
        <v>6456321.8390804594</v>
      </c>
      <c r="Q144" s="10">
        <f t="shared" si="30"/>
        <v>686500</v>
      </c>
      <c r="R144" s="11">
        <f t="shared" si="31"/>
        <v>0.1063298914011038</v>
      </c>
    </row>
    <row r="145" spans="1:18" x14ac:dyDescent="0.3">
      <c r="A145" s="7">
        <v>4950001</v>
      </c>
      <c r="B145" s="7">
        <v>5000000</v>
      </c>
      <c r="C145" s="7">
        <v>30000</v>
      </c>
      <c r="E145" s="7">
        <v>0</v>
      </c>
      <c r="F145" s="7">
        <f t="shared" si="21"/>
        <v>500000</v>
      </c>
      <c r="G145" s="13">
        <f t="shared" si="22"/>
        <v>2.2599999999999995E-2</v>
      </c>
      <c r="H145" s="7">
        <f t="shared" si="23"/>
        <v>30000</v>
      </c>
      <c r="I145" s="5">
        <f t="shared" si="24"/>
        <v>142999.99999999997</v>
      </c>
      <c r="L145" s="5">
        <f t="shared" si="25"/>
        <v>5673000</v>
      </c>
      <c r="M145" s="5">
        <f t="shared" si="26"/>
        <v>6035106.3829787234</v>
      </c>
      <c r="N145" s="10">
        <f t="shared" si="27"/>
        <v>693000</v>
      </c>
      <c r="O145" s="11">
        <f t="shared" si="28"/>
        <v>0.1148281332628239</v>
      </c>
      <c r="P145" s="5">
        <f t="shared" si="29"/>
        <v>6520689.6551724141</v>
      </c>
      <c r="Q145" s="10">
        <f t="shared" si="30"/>
        <v>693000</v>
      </c>
      <c r="R145" s="11">
        <f t="shared" si="31"/>
        <v>0.10627710206240085</v>
      </c>
    </row>
    <row r="146" spans="1:18" x14ac:dyDescent="0.3">
      <c r="A146" s="7">
        <v>5000001</v>
      </c>
      <c r="B146" s="7">
        <v>5050000</v>
      </c>
      <c r="C146" s="7">
        <v>30000</v>
      </c>
      <c r="E146" s="7">
        <v>0</v>
      </c>
      <c r="F146" s="7">
        <f t="shared" si="21"/>
        <v>505000</v>
      </c>
      <c r="G146" s="13">
        <f t="shared" si="22"/>
        <v>2.2574257425742567E-2</v>
      </c>
      <c r="H146" s="7">
        <f t="shared" si="23"/>
        <v>30000</v>
      </c>
      <c r="I146" s="5">
        <f t="shared" si="24"/>
        <v>143999.99999999994</v>
      </c>
      <c r="L146" s="5">
        <f t="shared" si="25"/>
        <v>5729000</v>
      </c>
      <c r="M146" s="5">
        <f t="shared" si="26"/>
        <v>6094680.8510638298</v>
      </c>
      <c r="N146" s="10">
        <f t="shared" si="27"/>
        <v>699500</v>
      </c>
      <c r="O146" s="11">
        <f t="shared" si="28"/>
        <v>0.11477221155524524</v>
      </c>
      <c r="P146" s="5">
        <f t="shared" si="29"/>
        <v>6585057.4712643679</v>
      </c>
      <c r="Q146" s="10">
        <f t="shared" si="30"/>
        <v>699500</v>
      </c>
      <c r="R146" s="11">
        <f t="shared" si="31"/>
        <v>0.10622534473730144</v>
      </c>
    </row>
    <row r="147" spans="1:18" x14ac:dyDescent="0.3">
      <c r="A147" s="7">
        <v>5050001</v>
      </c>
      <c r="B147" s="7">
        <v>5100000</v>
      </c>
      <c r="C147" s="7">
        <v>30000</v>
      </c>
      <c r="E147" s="7">
        <v>0</v>
      </c>
      <c r="F147" s="7">
        <f t="shared" si="21"/>
        <v>510000</v>
      </c>
      <c r="G147" s="13">
        <f t="shared" si="22"/>
        <v>2.2549019607843127E-2</v>
      </c>
      <c r="H147" s="7">
        <f t="shared" si="23"/>
        <v>30000</v>
      </c>
      <c r="I147" s="5">
        <f t="shared" si="24"/>
        <v>144999.99999999994</v>
      </c>
      <c r="L147" s="5">
        <f t="shared" si="25"/>
        <v>5785000</v>
      </c>
      <c r="M147" s="5">
        <f t="shared" si="26"/>
        <v>6154255.3191489363</v>
      </c>
      <c r="N147" s="10">
        <f t="shared" si="27"/>
        <v>706000</v>
      </c>
      <c r="O147" s="11">
        <f t="shared" si="28"/>
        <v>0.11471737251512532</v>
      </c>
      <c r="P147" s="5">
        <f t="shared" si="29"/>
        <v>6649425.2873563217</v>
      </c>
      <c r="Q147" s="10">
        <f t="shared" si="30"/>
        <v>706000</v>
      </c>
      <c r="R147" s="11">
        <f t="shared" si="31"/>
        <v>0.10617458945548833</v>
      </c>
    </row>
    <row r="148" spans="1:18" x14ac:dyDescent="0.3">
      <c r="A148" s="7">
        <v>5100001</v>
      </c>
      <c r="B148" s="7">
        <v>5150000</v>
      </c>
      <c r="C148" s="7">
        <v>30000</v>
      </c>
      <c r="E148" s="7">
        <v>0</v>
      </c>
      <c r="F148" s="7">
        <f t="shared" si="21"/>
        <v>515000</v>
      </c>
      <c r="G148" s="13">
        <f t="shared" si="22"/>
        <v>2.2524271844660188E-2</v>
      </c>
      <c r="H148" s="7">
        <f t="shared" si="23"/>
        <v>30000</v>
      </c>
      <c r="I148" s="5">
        <f t="shared" si="24"/>
        <v>145999.99999999997</v>
      </c>
      <c r="L148" s="5">
        <f t="shared" si="25"/>
        <v>5841000</v>
      </c>
      <c r="M148" s="5">
        <f t="shared" si="26"/>
        <v>6213829.7872340428</v>
      </c>
      <c r="N148" s="10">
        <f t="shared" si="27"/>
        <v>712500</v>
      </c>
      <c r="O148" s="11">
        <f t="shared" si="28"/>
        <v>0.11466358500256806</v>
      </c>
      <c r="P148" s="5">
        <f t="shared" si="29"/>
        <v>6713793.1034482755</v>
      </c>
      <c r="Q148" s="10">
        <f t="shared" si="30"/>
        <v>712500</v>
      </c>
      <c r="R148" s="11">
        <f t="shared" si="31"/>
        <v>0.10612480739599384</v>
      </c>
    </row>
    <row r="149" spans="1:18" x14ac:dyDescent="0.3">
      <c r="A149" s="7">
        <v>5150001</v>
      </c>
      <c r="B149" s="7">
        <v>5200000</v>
      </c>
      <c r="C149" s="7">
        <v>30000</v>
      </c>
      <c r="E149" s="7">
        <v>0</v>
      </c>
      <c r="F149" s="7">
        <f t="shared" si="21"/>
        <v>520000</v>
      </c>
      <c r="G149" s="13">
        <f t="shared" si="22"/>
        <v>2.2499999999999992E-2</v>
      </c>
      <c r="H149" s="7">
        <f t="shared" si="23"/>
        <v>30000</v>
      </c>
      <c r="I149" s="5">
        <f t="shared" si="24"/>
        <v>146999.99999999994</v>
      </c>
      <c r="L149" s="5">
        <f t="shared" si="25"/>
        <v>5897000</v>
      </c>
      <c r="M149" s="5">
        <f t="shared" si="26"/>
        <v>6273404.2553191492</v>
      </c>
      <c r="N149" s="10">
        <f t="shared" si="27"/>
        <v>719000</v>
      </c>
      <c r="O149" s="11">
        <f t="shared" si="28"/>
        <v>0.11461081906053926</v>
      </c>
      <c r="P149" s="5">
        <f t="shared" si="29"/>
        <v>6778160.9195402302</v>
      </c>
      <c r="Q149" s="10">
        <f t="shared" si="30"/>
        <v>719000</v>
      </c>
      <c r="R149" s="11">
        <f t="shared" si="31"/>
        <v>0.10607597083262675</v>
      </c>
    </row>
    <row r="150" spans="1:18" x14ac:dyDescent="0.3">
      <c r="A150" s="7">
        <v>5200001</v>
      </c>
      <c r="B150" s="7">
        <v>5250000</v>
      </c>
      <c r="C150" s="7">
        <v>30000</v>
      </c>
      <c r="E150" s="7">
        <v>0</v>
      </c>
      <c r="F150" s="7">
        <f t="shared" si="21"/>
        <v>525000</v>
      </c>
      <c r="G150" s="13">
        <f t="shared" si="22"/>
        <v>2.2476190476190469E-2</v>
      </c>
      <c r="H150" s="7">
        <f t="shared" si="23"/>
        <v>30000</v>
      </c>
      <c r="I150" s="5">
        <f t="shared" si="24"/>
        <v>147999.99999999994</v>
      </c>
      <c r="L150" s="5">
        <f t="shared" si="25"/>
        <v>5953000</v>
      </c>
      <c r="M150" s="5">
        <f t="shared" si="26"/>
        <v>6332978.7234042557</v>
      </c>
      <c r="N150" s="10">
        <f t="shared" si="27"/>
        <v>725500</v>
      </c>
      <c r="O150" s="11">
        <f t="shared" si="28"/>
        <v>0.11455904585923063</v>
      </c>
      <c r="P150" s="5">
        <f t="shared" si="29"/>
        <v>6842528.735632184</v>
      </c>
      <c r="Q150" s="10">
        <f t="shared" si="30"/>
        <v>725500</v>
      </c>
      <c r="R150" s="11">
        <f t="shared" si="31"/>
        <v>0.10602805308247942</v>
      </c>
    </row>
    <row r="151" spans="1:18" x14ac:dyDescent="0.3">
      <c r="A151" s="7">
        <v>5250001</v>
      </c>
      <c r="B151" s="7">
        <v>5300000</v>
      </c>
      <c r="C151" s="7">
        <v>30000</v>
      </c>
      <c r="E151" s="7">
        <v>0</v>
      </c>
      <c r="F151" s="7">
        <f t="shared" si="21"/>
        <v>530000</v>
      </c>
      <c r="G151" s="13">
        <f t="shared" si="22"/>
        <v>2.2452830188679232E-2</v>
      </c>
      <c r="H151" s="7">
        <f t="shared" si="23"/>
        <v>30000</v>
      </c>
      <c r="I151" s="5">
        <f t="shared" si="24"/>
        <v>148999.99999999994</v>
      </c>
      <c r="L151" s="5">
        <f t="shared" si="25"/>
        <v>6009000</v>
      </c>
      <c r="M151" s="5">
        <f t="shared" si="26"/>
        <v>6392553.1914893622</v>
      </c>
      <c r="N151" s="10">
        <f t="shared" si="27"/>
        <v>732000</v>
      </c>
      <c r="O151" s="11">
        <f t="shared" si="28"/>
        <v>0.1145082376435347</v>
      </c>
      <c r="P151" s="5">
        <f t="shared" si="29"/>
        <v>6906896.5517241377</v>
      </c>
      <c r="Q151" s="10">
        <f t="shared" si="30"/>
        <v>732000</v>
      </c>
      <c r="R151" s="11">
        <f t="shared" si="31"/>
        <v>0.10598102845731404</v>
      </c>
    </row>
    <row r="152" spans="1:18" x14ac:dyDescent="0.3">
      <c r="A152" s="7">
        <v>5300001</v>
      </c>
      <c r="B152" s="7">
        <v>5350000</v>
      </c>
      <c r="C152" s="7">
        <v>30000</v>
      </c>
      <c r="E152" s="7">
        <v>0</v>
      </c>
      <c r="F152" s="7">
        <f t="shared" si="21"/>
        <v>535000</v>
      </c>
      <c r="G152" s="13">
        <f t="shared" si="22"/>
        <v>2.2429906542056066E-2</v>
      </c>
      <c r="H152" s="7">
        <f t="shared" si="23"/>
        <v>30000</v>
      </c>
      <c r="I152" s="5">
        <f t="shared" si="24"/>
        <v>149999.99999999994</v>
      </c>
      <c r="L152" s="5">
        <f t="shared" si="25"/>
        <v>6065000</v>
      </c>
      <c r="M152" s="5">
        <f t="shared" si="26"/>
        <v>6452127.6595744686</v>
      </c>
      <c r="N152" s="10">
        <f t="shared" si="27"/>
        <v>738500</v>
      </c>
      <c r="O152" s="11">
        <f t="shared" si="28"/>
        <v>0.1144583676834295</v>
      </c>
      <c r="P152" s="5">
        <f t="shared" si="29"/>
        <v>6971264.3678160924</v>
      </c>
      <c r="Q152" s="10">
        <f t="shared" si="30"/>
        <v>738500</v>
      </c>
      <c r="R152" s="11">
        <f t="shared" si="31"/>
        <v>0.1059348722176422</v>
      </c>
    </row>
    <row r="153" spans="1:18" x14ac:dyDescent="0.3">
      <c r="A153" s="7">
        <v>5350001</v>
      </c>
      <c r="B153" s="7">
        <v>5400000</v>
      </c>
      <c r="C153" s="7">
        <v>30000</v>
      </c>
      <c r="E153" s="7">
        <v>0</v>
      </c>
      <c r="F153" s="7">
        <f t="shared" si="21"/>
        <v>540000</v>
      </c>
      <c r="G153" s="13">
        <f t="shared" si="22"/>
        <v>2.2407407407407404E-2</v>
      </c>
      <c r="H153" s="7">
        <f t="shared" si="23"/>
        <v>30000</v>
      </c>
      <c r="I153" s="5">
        <f t="shared" si="24"/>
        <v>151000</v>
      </c>
      <c r="L153" s="5">
        <f t="shared" si="25"/>
        <v>6121000</v>
      </c>
      <c r="M153" s="5">
        <f t="shared" si="26"/>
        <v>6511702.1276595751</v>
      </c>
      <c r="N153" s="10">
        <f t="shared" si="27"/>
        <v>745000</v>
      </c>
      <c r="O153" s="11">
        <f t="shared" si="28"/>
        <v>0.11440941022708706</v>
      </c>
      <c r="P153" s="5">
        <f t="shared" si="29"/>
        <v>7035632.1839080462</v>
      </c>
      <c r="Q153" s="10">
        <f t="shared" si="30"/>
        <v>745000</v>
      </c>
      <c r="R153" s="11">
        <f t="shared" si="31"/>
        <v>0.10588956052932527</v>
      </c>
    </row>
    <row r="154" spans="1:18" x14ac:dyDescent="0.3">
      <c r="A154" s="7">
        <v>5400001</v>
      </c>
      <c r="B154" s="7">
        <v>5450000</v>
      </c>
      <c r="C154" s="7">
        <v>30000</v>
      </c>
      <c r="E154" s="7">
        <v>0</v>
      </c>
      <c r="F154" s="7">
        <f t="shared" ref="F154:F217" si="32">(B154+E154)*10%</f>
        <v>545000</v>
      </c>
      <c r="G154" s="13">
        <f t="shared" si="22"/>
        <v>2.2385321100917427E-2</v>
      </c>
      <c r="H154" s="7">
        <f t="shared" si="23"/>
        <v>30000</v>
      </c>
      <c r="I154" s="5">
        <f t="shared" si="24"/>
        <v>151999.99999999997</v>
      </c>
      <c r="L154" s="5">
        <f t="shared" si="25"/>
        <v>6177000</v>
      </c>
      <c r="M154" s="5">
        <f t="shared" si="26"/>
        <v>6571276.5957446815</v>
      </c>
      <c r="N154" s="10">
        <f t="shared" si="27"/>
        <v>751500</v>
      </c>
      <c r="O154" s="11">
        <f t="shared" si="28"/>
        <v>0.11436134045653229</v>
      </c>
      <c r="P154" s="5">
        <f t="shared" si="29"/>
        <v>7100000</v>
      </c>
      <c r="Q154" s="10">
        <f t="shared" si="30"/>
        <v>751500</v>
      </c>
      <c r="R154" s="11">
        <f t="shared" si="31"/>
        <v>0.10584507042253521</v>
      </c>
    </row>
    <row r="155" spans="1:18" x14ac:dyDescent="0.3">
      <c r="A155" s="7">
        <v>5450001</v>
      </c>
      <c r="B155" s="7">
        <v>5500000</v>
      </c>
      <c r="C155" s="7">
        <v>30000</v>
      </c>
      <c r="E155" s="7">
        <v>0</v>
      </c>
      <c r="F155" s="7">
        <f t="shared" si="32"/>
        <v>550000</v>
      </c>
      <c r="G155" s="13">
        <f t="shared" si="22"/>
        <v>2.2363636363636349E-2</v>
      </c>
      <c r="H155" s="7">
        <f t="shared" si="23"/>
        <v>30000</v>
      </c>
      <c r="I155" s="5">
        <f t="shared" si="24"/>
        <v>152999.99999999994</v>
      </c>
      <c r="L155" s="5">
        <f t="shared" si="25"/>
        <v>6233000</v>
      </c>
      <c r="M155" s="5">
        <f t="shared" si="26"/>
        <v>6630851.063829788</v>
      </c>
      <c r="N155" s="10">
        <f t="shared" si="27"/>
        <v>758000</v>
      </c>
      <c r="O155" s="11">
        <f t="shared" si="28"/>
        <v>0.11431413444569227</v>
      </c>
      <c r="P155" s="5">
        <f t="shared" si="29"/>
        <v>7164367.8160919538</v>
      </c>
      <c r="Q155" s="10">
        <f t="shared" si="30"/>
        <v>758000</v>
      </c>
      <c r="R155" s="11">
        <f t="shared" si="31"/>
        <v>0.10580137975292797</v>
      </c>
    </row>
    <row r="156" spans="1:18" x14ac:dyDescent="0.3">
      <c r="A156" s="7">
        <v>5500001</v>
      </c>
      <c r="B156" s="7">
        <v>5550000</v>
      </c>
      <c r="C156" s="7">
        <v>30000</v>
      </c>
      <c r="E156" s="7">
        <v>0</v>
      </c>
      <c r="F156" s="7">
        <f t="shared" si="32"/>
        <v>555000</v>
      </c>
      <c r="G156" s="13">
        <f t="shared" si="22"/>
        <v>2.2342342342342336E-2</v>
      </c>
      <c r="H156" s="7">
        <f t="shared" si="23"/>
        <v>30000</v>
      </c>
      <c r="I156" s="5">
        <f t="shared" si="24"/>
        <v>153999.99999999997</v>
      </c>
      <c r="L156" s="5">
        <f t="shared" si="25"/>
        <v>6289000</v>
      </c>
      <c r="M156" s="5">
        <f t="shared" si="26"/>
        <v>6690425.5319148935</v>
      </c>
      <c r="N156" s="10">
        <f t="shared" si="27"/>
        <v>764500</v>
      </c>
      <c r="O156" s="11">
        <f t="shared" si="28"/>
        <v>0.11426776912068691</v>
      </c>
      <c r="P156" s="5">
        <f t="shared" si="29"/>
        <v>7228735.6321839085</v>
      </c>
      <c r="Q156" s="10">
        <f t="shared" si="30"/>
        <v>764500</v>
      </c>
      <c r="R156" s="11">
        <f t="shared" si="31"/>
        <v>0.10575846716489107</v>
      </c>
    </row>
    <row r="157" spans="1:18" x14ac:dyDescent="0.3">
      <c r="A157" s="7">
        <v>5550001</v>
      </c>
      <c r="B157" s="7">
        <v>5600000</v>
      </c>
      <c r="C157" s="7">
        <v>30000</v>
      </c>
      <c r="E157" s="7">
        <v>0</v>
      </c>
      <c r="F157" s="7">
        <f t="shared" si="32"/>
        <v>560000</v>
      </c>
      <c r="G157" s="13">
        <f t="shared" si="22"/>
        <v>2.2321428571428562E-2</v>
      </c>
      <c r="H157" s="7">
        <f t="shared" si="23"/>
        <v>30000</v>
      </c>
      <c r="I157" s="5">
        <f t="shared" si="24"/>
        <v>154999.99999999994</v>
      </c>
      <c r="L157" s="5">
        <f t="shared" si="25"/>
        <v>6345000</v>
      </c>
      <c r="M157" s="5">
        <f t="shared" si="26"/>
        <v>6750000</v>
      </c>
      <c r="N157" s="10">
        <f t="shared" si="27"/>
        <v>771000</v>
      </c>
      <c r="O157" s="11">
        <f t="shared" si="28"/>
        <v>0.11422222222222222</v>
      </c>
      <c r="P157" s="5">
        <f t="shared" si="29"/>
        <v>7293103.4482758623</v>
      </c>
      <c r="Q157" s="10">
        <f t="shared" si="30"/>
        <v>771000</v>
      </c>
      <c r="R157" s="11">
        <f t="shared" si="31"/>
        <v>0.10571631205673758</v>
      </c>
    </row>
    <row r="158" spans="1:18" x14ac:dyDescent="0.3">
      <c r="A158" s="7">
        <v>5600001</v>
      </c>
      <c r="B158" s="7">
        <v>5650000</v>
      </c>
      <c r="C158" s="7">
        <v>30000</v>
      </c>
      <c r="E158" s="7">
        <v>0</v>
      </c>
      <c r="F158" s="7">
        <f t="shared" si="32"/>
        <v>565000</v>
      </c>
      <c r="G158" s="13">
        <f t="shared" si="22"/>
        <v>2.2300884955752207E-2</v>
      </c>
      <c r="H158" s="7">
        <f t="shared" si="23"/>
        <v>30000</v>
      </c>
      <c r="I158" s="5">
        <f t="shared" si="24"/>
        <v>155999.99999999997</v>
      </c>
      <c r="L158" s="5">
        <f t="shared" si="25"/>
        <v>6401000</v>
      </c>
      <c r="M158" s="5">
        <f t="shared" si="26"/>
        <v>6809574.4680851065</v>
      </c>
      <c r="N158" s="10">
        <f t="shared" si="27"/>
        <v>777500</v>
      </c>
      <c r="O158" s="11">
        <f t="shared" si="28"/>
        <v>0.11417747226995782</v>
      </c>
      <c r="P158" s="5">
        <f t="shared" si="29"/>
        <v>7357471.264367816</v>
      </c>
      <c r="Q158" s="10">
        <f t="shared" si="30"/>
        <v>777500</v>
      </c>
      <c r="R158" s="11">
        <f t="shared" si="31"/>
        <v>0.10567489454772692</v>
      </c>
    </row>
    <row r="159" spans="1:18" x14ac:dyDescent="0.3">
      <c r="A159" s="7">
        <v>5650001</v>
      </c>
      <c r="B159" s="7">
        <v>5700000</v>
      </c>
      <c r="C159" s="7">
        <v>30000</v>
      </c>
      <c r="E159" s="7">
        <v>0</v>
      </c>
      <c r="F159" s="7">
        <f t="shared" si="32"/>
        <v>570000</v>
      </c>
      <c r="G159" s="13">
        <f t="shared" si="22"/>
        <v>2.2280701754385956E-2</v>
      </c>
      <c r="H159" s="7">
        <f t="shared" si="23"/>
        <v>30000</v>
      </c>
      <c r="I159" s="5">
        <f t="shared" si="24"/>
        <v>156999.99999999994</v>
      </c>
      <c r="L159" s="5">
        <f t="shared" si="25"/>
        <v>6457000</v>
      </c>
      <c r="M159" s="5">
        <f t="shared" si="26"/>
        <v>6869148.9361702129</v>
      </c>
      <c r="N159" s="10">
        <f t="shared" si="27"/>
        <v>784000</v>
      </c>
      <c r="O159" s="11">
        <f t="shared" si="28"/>
        <v>0.11413349852872851</v>
      </c>
      <c r="P159" s="5">
        <f t="shared" si="29"/>
        <v>7421839.0804597698</v>
      </c>
      <c r="Q159" s="10">
        <f t="shared" si="30"/>
        <v>784000</v>
      </c>
      <c r="R159" s="11">
        <f t="shared" si="31"/>
        <v>0.10563419544680193</v>
      </c>
    </row>
    <row r="160" spans="1:18" x14ac:dyDescent="0.3">
      <c r="A160" s="7">
        <v>5700001</v>
      </c>
      <c r="B160" s="7">
        <v>5750000</v>
      </c>
      <c r="C160" s="7">
        <v>30000</v>
      </c>
      <c r="E160" s="7">
        <v>0</v>
      </c>
      <c r="F160" s="7">
        <f t="shared" si="32"/>
        <v>575000</v>
      </c>
      <c r="G160" s="13">
        <f t="shared" si="22"/>
        <v>2.2260869565217375E-2</v>
      </c>
      <c r="H160" s="7">
        <f t="shared" si="23"/>
        <v>30000</v>
      </c>
      <c r="I160" s="5">
        <f t="shared" si="24"/>
        <v>157999.99999999991</v>
      </c>
      <c r="L160" s="5">
        <f t="shared" si="25"/>
        <v>6513000</v>
      </c>
      <c r="M160" s="5">
        <f t="shared" si="26"/>
        <v>6928723.4042553194</v>
      </c>
      <c r="N160" s="10">
        <f t="shared" si="27"/>
        <v>790500</v>
      </c>
      <c r="O160" s="11">
        <f t="shared" si="28"/>
        <v>0.11409028097650852</v>
      </c>
      <c r="P160" s="5">
        <f t="shared" si="29"/>
        <v>7486206.8965517245</v>
      </c>
      <c r="Q160" s="10">
        <f t="shared" si="30"/>
        <v>790500</v>
      </c>
      <c r="R160" s="11">
        <f t="shared" si="31"/>
        <v>0.10559419622293874</v>
      </c>
    </row>
    <row r="161" spans="1:18" x14ac:dyDescent="0.3">
      <c r="A161" s="7">
        <v>5750001</v>
      </c>
      <c r="B161" s="7">
        <v>5800000</v>
      </c>
      <c r="C161" s="7">
        <v>30000</v>
      </c>
      <c r="E161" s="7">
        <v>0</v>
      </c>
      <c r="F161" s="7">
        <f t="shared" si="32"/>
        <v>580000</v>
      </c>
      <c r="G161" s="13">
        <f t="shared" si="22"/>
        <v>2.2241379310344811E-2</v>
      </c>
      <c r="H161" s="7">
        <f t="shared" si="23"/>
        <v>30000</v>
      </c>
      <c r="I161" s="5">
        <f t="shared" si="24"/>
        <v>158999.99999999988</v>
      </c>
      <c r="L161" s="5">
        <f t="shared" si="25"/>
        <v>6569000</v>
      </c>
      <c r="M161" s="5">
        <f t="shared" si="26"/>
        <v>6988297.8723404258</v>
      </c>
      <c r="N161" s="10">
        <f t="shared" si="27"/>
        <v>797000</v>
      </c>
      <c r="O161" s="11">
        <f t="shared" si="28"/>
        <v>0.1140478002740143</v>
      </c>
      <c r="P161" s="5">
        <f t="shared" si="29"/>
        <v>7550574.7126436783</v>
      </c>
      <c r="Q161" s="10">
        <f t="shared" si="30"/>
        <v>797000</v>
      </c>
      <c r="R161" s="11">
        <f t="shared" si="31"/>
        <v>0.10555487897701324</v>
      </c>
    </row>
    <row r="162" spans="1:18" x14ac:dyDescent="0.3">
      <c r="A162" s="7">
        <v>5800001</v>
      </c>
      <c r="B162" s="7">
        <v>5850000</v>
      </c>
      <c r="C162" s="7">
        <v>30000</v>
      </c>
      <c r="E162" s="7">
        <v>0</v>
      </c>
      <c r="F162" s="7">
        <f t="shared" si="32"/>
        <v>585000</v>
      </c>
      <c r="G162" s="13">
        <f t="shared" si="22"/>
        <v>2.2222222222222213E-2</v>
      </c>
      <c r="H162" s="7">
        <f t="shared" si="23"/>
        <v>30000</v>
      </c>
      <c r="I162" s="5">
        <f t="shared" si="24"/>
        <v>159999.99999999994</v>
      </c>
      <c r="L162" s="5">
        <f t="shared" si="25"/>
        <v>6625000</v>
      </c>
      <c r="M162" s="5">
        <f t="shared" si="26"/>
        <v>7047872.3404255323</v>
      </c>
      <c r="N162" s="10">
        <f t="shared" si="27"/>
        <v>803500</v>
      </c>
      <c r="O162" s="11">
        <f t="shared" si="28"/>
        <v>0.11400603773584905</v>
      </c>
      <c r="P162" s="5">
        <f t="shared" si="29"/>
        <v>7614942.5287356321</v>
      </c>
      <c r="Q162" s="10">
        <f t="shared" si="30"/>
        <v>803500</v>
      </c>
      <c r="R162" s="11">
        <f t="shared" si="31"/>
        <v>0.10551622641509434</v>
      </c>
    </row>
    <row r="163" spans="1:18" x14ac:dyDescent="0.3">
      <c r="A163" s="7">
        <v>5850001</v>
      </c>
      <c r="B163" s="7">
        <v>5900000</v>
      </c>
      <c r="C163" s="7">
        <v>30000</v>
      </c>
      <c r="E163" s="7">
        <v>0</v>
      </c>
      <c r="F163" s="7">
        <f t="shared" si="32"/>
        <v>590000</v>
      </c>
      <c r="G163" s="13">
        <f t="shared" si="22"/>
        <v>2.2203389830508458E-2</v>
      </c>
      <c r="H163" s="7">
        <f t="shared" si="23"/>
        <v>30000</v>
      </c>
      <c r="I163" s="5">
        <f t="shared" si="24"/>
        <v>160999.99999999988</v>
      </c>
      <c r="L163" s="5">
        <f t="shared" si="25"/>
        <v>6681000</v>
      </c>
      <c r="M163" s="5">
        <f t="shared" si="26"/>
        <v>7107446.8085106388</v>
      </c>
      <c r="N163" s="10">
        <f t="shared" si="27"/>
        <v>810000</v>
      </c>
      <c r="O163" s="11">
        <f t="shared" si="28"/>
        <v>0.11396497530309833</v>
      </c>
      <c r="P163" s="5">
        <f t="shared" si="29"/>
        <v>7679310.3448275859</v>
      </c>
      <c r="Q163" s="10">
        <f t="shared" si="30"/>
        <v>810000</v>
      </c>
      <c r="R163" s="11">
        <f t="shared" si="31"/>
        <v>0.10547822182308038</v>
      </c>
    </row>
    <row r="164" spans="1:18" x14ac:dyDescent="0.3">
      <c r="A164" s="7">
        <v>5900001</v>
      </c>
      <c r="B164" s="7">
        <v>5950000</v>
      </c>
      <c r="C164" s="7">
        <v>30000</v>
      </c>
      <c r="E164" s="7">
        <v>0</v>
      </c>
      <c r="F164" s="7">
        <f t="shared" si="32"/>
        <v>595000</v>
      </c>
      <c r="G164" s="13">
        <f t="shared" si="22"/>
        <v>2.2184873949579825E-2</v>
      </c>
      <c r="H164" s="7">
        <f t="shared" si="23"/>
        <v>30000</v>
      </c>
      <c r="I164" s="5">
        <f t="shared" si="24"/>
        <v>161999.99999999997</v>
      </c>
      <c r="L164" s="5">
        <f t="shared" si="25"/>
        <v>6737000</v>
      </c>
      <c r="M164" s="5">
        <f t="shared" si="26"/>
        <v>7167021.2765957452</v>
      </c>
      <c r="N164" s="10">
        <f t="shared" si="27"/>
        <v>816500</v>
      </c>
      <c r="O164" s="11">
        <f t="shared" si="28"/>
        <v>0.11392459551729256</v>
      </c>
      <c r="P164" s="5">
        <f t="shared" si="29"/>
        <v>7743678.1609195406</v>
      </c>
      <c r="Q164" s="10">
        <f t="shared" si="30"/>
        <v>816500</v>
      </c>
      <c r="R164" s="11">
        <f t="shared" si="31"/>
        <v>0.10544084904260057</v>
      </c>
    </row>
    <row r="165" spans="1:18" x14ac:dyDescent="0.3">
      <c r="A165" s="7">
        <v>5950001</v>
      </c>
      <c r="B165" s="7">
        <v>6000000</v>
      </c>
      <c r="C165" s="7">
        <v>30000</v>
      </c>
      <c r="E165" s="7">
        <v>0</v>
      </c>
      <c r="F165" s="7">
        <f t="shared" si="32"/>
        <v>600000</v>
      </c>
      <c r="G165" s="13">
        <f t="shared" si="22"/>
        <v>2.2166666666666654E-2</v>
      </c>
      <c r="H165" s="7">
        <f t="shared" si="23"/>
        <v>30000</v>
      </c>
      <c r="I165" s="5">
        <f t="shared" si="24"/>
        <v>162999.99999999991</v>
      </c>
      <c r="L165" s="5">
        <f t="shared" si="25"/>
        <v>6793000</v>
      </c>
      <c r="M165" s="5">
        <f t="shared" si="26"/>
        <v>7226595.7446808517</v>
      </c>
      <c r="N165" s="10">
        <f t="shared" si="27"/>
        <v>823000</v>
      </c>
      <c r="O165" s="11">
        <f t="shared" si="28"/>
        <v>0.11388488149565729</v>
      </c>
      <c r="P165" s="5">
        <f t="shared" si="29"/>
        <v>7808045.9770114943</v>
      </c>
      <c r="Q165" s="10">
        <f t="shared" si="30"/>
        <v>823000</v>
      </c>
      <c r="R165" s="11">
        <f t="shared" si="31"/>
        <v>0.10540409244810835</v>
      </c>
    </row>
    <row r="166" spans="1:18" x14ac:dyDescent="0.3">
      <c r="A166" s="7">
        <v>6000001</v>
      </c>
      <c r="B166" s="7">
        <v>6050000</v>
      </c>
      <c r="C166" s="7">
        <v>30000</v>
      </c>
      <c r="E166" s="7">
        <v>0</v>
      </c>
      <c r="F166" s="7">
        <f t="shared" si="32"/>
        <v>605000</v>
      </c>
      <c r="G166" s="13">
        <f t="shared" si="22"/>
        <v>2.2148760330578499E-2</v>
      </c>
      <c r="H166" s="7">
        <f t="shared" si="23"/>
        <v>30000</v>
      </c>
      <c r="I166" s="5">
        <f t="shared" si="24"/>
        <v>163999.99999999991</v>
      </c>
      <c r="L166" s="5">
        <f t="shared" si="25"/>
        <v>6849000</v>
      </c>
      <c r="M166" s="5">
        <f t="shared" si="26"/>
        <v>7286170.2127659582</v>
      </c>
      <c r="N166" s="10">
        <f t="shared" si="27"/>
        <v>829500</v>
      </c>
      <c r="O166" s="11">
        <f t="shared" si="28"/>
        <v>0.11384581690757774</v>
      </c>
      <c r="P166" s="5">
        <f t="shared" si="29"/>
        <v>7872413.7931034481</v>
      </c>
      <c r="Q166" s="10">
        <f t="shared" si="30"/>
        <v>829500</v>
      </c>
      <c r="R166" s="11">
        <f t="shared" si="31"/>
        <v>0.10536793692509856</v>
      </c>
    </row>
    <row r="167" spans="1:18" x14ac:dyDescent="0.3">
      <c r="A167" s="7">
        <v>6050001</v>
      </c>
      <c r="B167" s="7">
        <v>6100000</v>
      </c>
      <c r="C167" s="7">
        <v>30000</v>
      </c>
      <c r="E167" s="7">
        <v>0</v>
      </c>
      <c r="F167" s="7">
        <f t="shared" si="32"/>
        <v>610000</v>
      </c>
      <c r="G167" s="13">
        <f t="shared" si="22"/>
        <v>2.2131147540983595E-2</v>
      </c>
      <c r="H167" s="7">
        <f t="shared" si="23"/>
        <v>30000</v>
      </c>
      <c r="I167" s="5">
        <f t="shared" si="24"/>
        <v>164999.99999999994</v>
      </c>
      <c r="L167" s="5">
        <f t="shared" si="25"/>
        <v>6905000</v>
      </c>
      <c r="M167" s="5">
        <f t="shared" si="26"/>
        <v>7345744.6808510646</v>
      </c>
      <c r="N167" s="10">
        <f t="shared" si="27"/>
        <v>836000</v>
      </c>
      <c r="O167" s="11">
        <f t="shared" si="28"/>
        <v>0.11380738595220853</v>
      </c>
      <c r="P167" s="5">
        <f t="shared" si="29"/>
        <v>7936781.6091954019</v>
      </c>
      <c r="Q167" s="10">
        <f t="shared" si="30"/>
        <v>836000</v>
      </c>
      <c r="R167" s="11">
        <f t="shared" si="31"/>
        <v>0.1053323678493845</v>
      </c>
    </row>
    <row r="168" spans="1:18" x14ac:dyDescent="0.3">
      <c r="A168" s="7">
        <v>6100001</v>
      </c>
      <c r="B168" s="7">
        <v>6150000</v>
      </c>
      <c r="C168" s="7">
        <v>30000</v>
      </c>
      <c r="E168" s="7">
        <v>0</v>
      </c>
      <c r="F168" s="7">
        <f t="shared" si="32"/>
        <v>615000</v>
      </c>
      <c r="G168" s="13">
        <f t="shared" si="22"/>
        <v>2.2113821138211379E-2</v>
      </c>
      <c r="H168" s="7">
        <f t="shared" si="23"/>
        <v>30000</v>
      </c>
      <c r="I168" s="5">
        <f t="shared" si="24"/>
        <v>165999.99999999997</v>
      </c>
      <c r="L168" s="5">
        <f t="shared" si="25"/>
        <v>6961000</v>
      </c>
      <c r="M168" s="5">
        <f t="shared" si="26"/>
        <v>7405319.1489361711</v>
      </c>
      <c r="N168" s="10">
        <f t="shared" si="27"/>
        <v>842500</v>
      </c>
      <c r="O168" s="11">
        <f t="shared" si="28"/>
        <v>0.11376957333716418</v>
      </c>
      <c r="P168" s="5">
        <f t="shared" si="29"/>
        <v>8001149.4252873566</v>
      </c>
      <c r="Q168" s="10">
        <f t="shared" si="30"/>
        <v>842500</v>
      </c>
      <c r="R168" s="11">
        <f t="shared" si="31"/>
        <v>0.10529737106737537</v>
      </c>
    </row>
    <row r="169" spans="1:18" x14ac:dyDescent="0.3">
      <c r="A169" s="7">
        <v>6150001</v>
      </c>
      <c r="B169" s="7">
        <v>6200000</v>
      </c>
      <c r="C169" s="7">
        <v>30000</v>
      </c>
      <c r="E169" s="7">
        <v>0</v>
      </c>
      <c r="F169" s="7">
        <f t="shared" si="32"/>
        <v>620000</v>
      </c>
      <c r="G169" s="13">
        <f t="shared" si="22"/>
        <v>2.2096774193548371E-2</v>
      </c>
      <c r="H169" s="7">
        <f t="shared" si="23"/>
        <v>30000</v>
      </c>
      <c r="I169" s="5">
        <f t="shared" si="24"/>
        <v>166999.99999999991</v>
      </c>
      <c r="L169" s="5">
        <f t="shared" si="25"/>
        <v>7017000</v>
      </c>
      <c r="M169" s="5">
        <f t="shared" si="26"/>
        <v>7464893.6170212766</v>
      </c>
      <c r="N169" s="10">
        <f t="shared" si="27"/>
        <v>849000</v>
      </c>
      <c r="O169" s="11">
        <f t="shared" si="28"/>
        <v>0.11373236425823001</v>
      </c>
      <c r="P169" s="5">
        <f t="shared" si="29"/>
        <v>8065517.2413793104</v>
      </c>
      <c r="Q169" s="10">
        <f t="shared" si="30"/>
        <v>849000</v>
      </c>
      <c r="R169" s="11">
        <f t="shared" si="31"/>
        <v>0.10526293287729799</v>
      </c>
    </row>
    <row r="170" spans="1:18" x14ac:dyDescent="0.3">
      <c r="A170" s="7">
        <v>6200001</v>
      </c>
      <c r="B170" s="7">
        <v>6250000</v>
      </c>
      <c r="C170" s="7">
        <v>30000</v>
      </c>
      <c r="E170" s="7">
        <v>0</v>
      </c>
      <c r="F170" s="7">
        <f t="shared" si="32"/>
        <v>625000</v>
      </c>
      <c r="G170" s="13">
        <f t="shared" si="22"/>
        <v>2.2079999999999989E-2</v>
      </c>
      <c r="H170" s="7">
        <f t="shared" si="23"/>
        <v>30000</v>
      </c>
      <c r="I170" s="5">
        <f t="shared" si="24"/>
        <v>167999.99999999994</v>
      </c>
      <c r="L170" s="5">
        <f t="shared" si="25"/>
        <v>7073000</v>
      </c>
      <c r="M170" s="5">
        <f t="shared" si="26"/>
        <v>7524468.0851063831</v>
      </c>
      <c r="N170" s="10">
        <f t="shared" si="27"/>
        <v>855500</v>
      </c>
      <c r="O170" s="11">
        <f t="shared" si="28"/>
        <v>0.11369574438003675</v>
      </c>
      <c r="P170" s="5">
        <f t="shared" si="29"/>
        <v>8129885.0574712642</v>
      </c>
      <c r="Q170" s="10">
        <f t="shared" si="30"/>
        <v>855500</v>
      </c>
      <c r="R170" s="11">
        <f t="shared" si="31"/>
        <v>0.10522904001131062</v>
      </c>
    </row>
    <row r="171" spans="1:18" x14ac:dyDescent="0.3">
      <c r="A171" s="7">
        <v>6250001</v>
      </c>
      <c r="B171" s="7">
        <v>6300000</v>
      </c>
      <c r="C171" s="7">
        <v>30000</v>
      </c>
      <c r="E171" s="7">
        <v>0</v>
      </c>
      <c r="F171" s="7">
        <f t="shared" si="32"/>
        <v>630000</v>
      </c>
      <c r="G171" s="13">
        <f t="shared" si="22"/>
        <v>2.2063492063492049E-2</v>
      </c>
      <c r="H171" s="7">
        <f t="shared" si="23"/>
        <v>30000</v>
      </c>
      <c r="I171" s="5">
        <f t="shared" si="24"/>
        <v>168999.99999999991</v>
      </c>
      <c r="L171" s="5">
        <f t="shared" si="25"/>
        <v>7129000</v>
      </c>
      <c r="M171" s="5">
        <f t="shared" si="26"/>
        <v>7584042.5531914895</v>
      </c>
      <c r="N171" s="10">
        <f t="shared" si="27"/>
        <v>862000</v>
      </c>
      <c r="O171" s="11">
        <f t="shared" si="28"/>
        <v>0.11365969981764623</v>
      </c>
      <c r="P171" s="5">
        <f t="shared" si="29"/>
        <v>8194252.8735632189</v>
      </c>
      <c r="Q171" s="10">
        <f t="shared" si="30"/>
        <v>862000</v>
      </c>
      <c r="R171" s="11">
        <f t="shared" si="31"/>
        <v>0.10519567961845981</v>
      </c>
    </row>
    <row r="172" spans="1:18" x14ac:dyDescent="0.3">
      <c r="A172" s="7">
        <v>6300001</v>
      </c>
      <c r="B172" s="7">
        <v>6350000</v>
      </c>
      <c r="C172" s="7">
        <v>30000</v>
      </c>
      <c r="E172" s="7">
        <v>0</v>
      </c>
      <c r="F172" s="7">
        <f t="shared" si="32"/>
        <v>635000</v>
      </c>
      <c r="G172" s="13">
        <f t="shared" si="22"/>
        <v>2.2047244094488175E-2</v>
      </c>
      <c r="H172" s="7">
        <f t="shared" si="23"/>
        <v>30000</v>
      </c>
      <c r="I172" s="5">
        <f t="shared" si="24"/>
        <v>169999.99999999991</v>
      </c>
      <c r="L172" s="5">
        <f t="shared" si="25"/>
        <v>7185000</v>
      </c>
      <c r="M172" s="5">
        <f t="shared" si="26"/>
        <v>7643617.021276596</v>
      </c>
      <c r="N172" s="10">
        <f t="shared" si="27"/>
        <v>868500</v>
      </c>
      <c r="O172" s="11">
        <f t="shared" si="28"/>
        <v>0.11362421711899791</v>
      </c>
      <c r="P172" s="5">
        <f t="shared" si="29"/>
        <v>8258620.6896551726</v>
      </c>
      <c r="Q172" s="10">
        <f t="shared" si="30"/>
        <v>868500</v>
      </c>
      <c r="R172" s="11">
        <f t="shared" si="31"/>
        <v>0.10516283924843424</v>
      </c>
    </row>
    <row r="173" spans="1:18" x14ac:dyDescent="0.3">
      <c r="A173" s="7">
        <v>6350001</v>
      </c>
      <c r="B173" s="7">
        <v>6400000</v>
      </c>
      <c r="C173" s="7">
        <v>30000</v>
      </c>
      <c r="E173" s="7">
        <v>0</v>
      </c>
      <c r="F173" s="7">
        <f t="shared" si="32"/>
        <v>640000</v>
      </c>
      <c r="G173" s="13">
        <f t="shared" si="22"/>
        <v>2.2031249999999988E-2</v>
      </c>
      <c r="H173" s="7">
        <f t="shared" si="23"/>
        <v>30000</v>
      </c>
      <c r="I173" s="5">
        <f t="shared" si="24"/>
        <v>170999.99999999991</v>
      </c>
      <c r="L173" s="5">
        <f t="shared" si="25"/>
        <v>7241000</v>
      </c>
      <c r="M173" s="5">
        <f t="shared" si="26"/>
        <v>7703191.4893617025</v>
      </c>
      <c r="N173" s="10">
        <f t="shared" si="27"/>
        <v>875000</v>
      </c>
      <c r="O173" s="11">
        <f t="shared" si="28"/>
        <v>0.11358928324817014</v>
      </c>
      <c r="P173" s="5">
        <f t="shared" si="29"/>
        <v>8322988.5057471264</v>
      </c>
      <c r="Q173" s="10">
        <f t="shared" si="30"/>
        <v>875000</v>
      </c>
      <c r="R173" s="11">
        <f t="shared" si="31"/>
        <v>0.10513050683607236</v>
      </c>
    </row>
    <row r="174" spans="1:18" x14ac:dyDescent="0.3">
      <c r="A174" s="7">
        <v>6400001</v>
      </c>
      <c r="B174" s="7">
        <v>6450000</v>
      </c>
      <c r="C174" s="7">
        <v>30000</v>
      </c>
      <c r="E174" s="7">
        <v>0</v>
      </c>
      <c r="F174" s="7">
        <f t="shared" si="32"/>
        <v>645000</v>
      </c>
      <c r="G174" s="13">
        <f t="shared" si="22"/>
        <v>2.2015503875968984E-2</v>
      </c>
      <c r="H174" s="7">
        <f t="shared" si="23"/>
        <v>30000</v>
      </c>
      <c r="I174" s="5">
        <f t="shared" si="24"/>
        <v>171999.99999999994</v>
      </c>
      <c r="L174" s="5">
        <f t="shared" si="25"/>
        <v>7297000</v>
      </c>
      <c r="M174" s="5">
        <f t="shared" si="26"/>
        <v>7762765.9574468089</v>
      </c>
      <c r="N174" s="10">
        <f t="shared" si="27"/>
        <v>881500</v>
      </c>
      <c r="O174" s="11">
        <f t="shared" si="28"/>
        <v>0.11355488556941208</v>
      </c>
      <c r="P174" s="5">
        <f t="shared" si="29"/>
        <v>8387356.3218390802</v>
      </c>
      <c r="Q174" s="10">
        <f t="shared" si="30"/>
        <v>881500</v>
      </c>
      <c r="R174" s="11">
        <f t="shared" si="31"/>
        <v>0.10509867068658353</v>
      </c>
    </row>
    <row r="175" spans="1:18" x14ac:dyDescent="0.3">
      <c r="A175" s="7">
        <v>6450001</v>
      </c>
      <c r="B175" s="7">
        <v>6500000</v>
      </c>
      <c r="C175" s="7">
        <v>30000</v>
      </c>
      <c r="E175" s="7">
        <v>0</v>
      </c>
      <c r="F175" s="7">
        <f t="shared" si="32"/>
        <v>650000</v>
      </c>
      <c r="G175" s="13">
        <f t="shared" si="22"/>
        <v>2.1999999999999992E-2</v>
      </c>
      <c r="H175" s="7">
        <f t="shared" si="23"/>
        <v>30000</v>
      </c>
      <c r="I175" s="5">
        <f t="shared" si="24"/>
        <v>172999.99999999994</v>
      </c>
      <c r="L175" s="5">
        <f t="shared" si="25"/>
        <v>7353000</v>
      </c>
      <c r="M175" s="5">
        <f t="shared" si="26"/>
        <v>7822340.4255319154</v>
      </c>
      <c r="N175" s="10">
        <f t="shared" si="27"/>
        <v>888000</v>
      </c>
      <c r="O175" s="11">
        <f t="shared" si="28"/>
        <v>0.11352101183190534</v>
      </c>
      <c r="P175" s="5">
        <f t="shared" si="29"/>
        <v>8451724.137931034</v>
      </c>
      <c r="Q175" s="10">
        <f t="shared" si="30"/>
        <v>887999.99999999907</v>
      </c>
      <c r="R175" s="11">
        <f t="shared" si="31"/>
        <v>0.10506731946144421</v>
      </c>
    </row>
    <row r="176" spans="1:18" x14ac:dyDescent="0.3">
      <c r="A176" s="7">
        <v>6500001</v>
      </c>
      <c r="B176" s="7">
        <v>6550000</v>
      </c>
      <c r="C176" s="7">
        <v>30000</v>
      </c>
      <c r="E176" s="7">
        <v>0</v>
      </c>
      <c r="F176" s="7">
        <f t="shared" si="32"/>
        <v>655000</v>
      </c>
      <c r="G176" s="13">
        <f t="shared" si="22"/>
        <v>2.1984732824427478E-2</v>
      </c>
      <c r="H176" s="7">
        <f t="shared" si="23"/>
        <v>30000</v>
      </c>
      <c r="I176" s="5">
        <f t="shared" si="24"/>
        <v>173999.99999999997</v>
      </c>
      <c r="L176" s="5">
        <f t="shared" si="25"/>
        <v>7409000</v>
      </c>
      <c r="M176" s="5">
        <f t="shared" si="26"/>
        <v>7881914.8936170219</v>
      </c>
      <c r="N176" s="10">
        <f t="shared" si="27"/>
        <v>894500</v>
      </c>
      <c r="O176" s="11">
        <f t="shared" si="28"/>
        <v>0.11348765015521663</v>
      </c>
      <c r="P176" s="5">
        <f t="shared" si="29"/>
        <v>8516091.9540229887</v>
      </c>
      <c r="Q176" s="10">
        <f t="shared" si="30"/>
        <v>894500</v>
      </c>
      <c r="R176" s="11">
        <f t="shared" si="31"/>
        <v>0.10503644216493453</v>
      </c>
    </row>
    <row r="177" spans="1:18" x14ac:dyDescent="0.3">
      <c r="A177" s="7">
        <v>6550001</v>
      </c>
      <c r="B177" s="7">
        <v>6600000</v>
      </c>
      <c r="C177" s="7">
        <v>30000</v>
      </c>
      <c r="E177" s="7">
        <v>0</v>
      </c>
      <c r="F177" s="7">
        <f t="shared" si="32"/>
        <v>660000</v>
      </c>
      <c r="G177" s="13">
        <f t="shared" si="22"/>
        <v>2.1969696969696959E-2</v>
      </c>
      <c r="H177" s="7">
        <f t="shared" si="23"/>
        <v>30000</v>
      </c>
      <c r="I177" s="5">
        <f t="shared" si="24"/>
        <v>174999.99999999991</v>
      </c>
      <c r="L177" s="5">
        <f t="shared" si="25"/>
        <v>7465000</v>
      </c>
      <c r="M177" s="5">
        <f t="shared" si="26"/>
        <v>7941489.3617021283</v>
      </c>
      <c r="N177" s="10">
        <f t="shared" si="27"/>
        <v>901000</v>
      </c>
      <c r="O177" s="11">
        <f t="shared" si="28"/>
        <v>0.11345478901540522</v>
      </c>
      <c r="P177" s="5">
        <f t="shared" si="29"/>
        <v>8580459.7701149434</v>
      </c>
      <c r="Q177" s="10">
        <f t="shared" si="30"/>
        <v>901000.00000000093</v>
      </c>
      <c r="R177" s="11">
        <f t="shared" si="31"/>
        <v>0.10500602813127941</v>
      </c>
    </row>
    <row r="178" spans="1:18" x14ac:dyDescent="0.3">
      <c r="A178" s="7">
        <v>6600001</v>
      </c>
      <c r="B178" s="7">
        <v>6650000</v>
      </c>
      <c r="C178" s="7">
        <v>30000</v>
      </c>
      <c r="E178" s="7">
        <v>0</v>
      </c>
      <c r="F178" s="7">
        <f t="shared" si="32"/>
        <v>665000</v>
      </c>
      <c r="G178" s="13">
        <f t="shared" si="22"/>
        <v>2.1954887218045102E-2</v>
      </c>
      <c r="H178" s="7">
        <f t="shared" si="23"/>
        <v>30000</v>
      </c>
      <c r="I178" s="5">
        <f t="shared" si="24"/>
        <v>175999.99999999994</v>
      </c>
      <c r="L178" s="5">
        <f t="shared" si="25"/>
        <v>7521000</v>
      </c>
      <c r="M178" s="5">
        <f t="shared" si="26"/>
        <v>8001063.8297872348</v>
      </c>
      <c r="N178" s="10">
        <f t="shared" si="27"/>
        <v>907500</v>
      </c>
      <c r="O178" s="11">
        <f t="shared" si="28"/>
        <v>0.11342241723175109</v>
      </c>
      <c r="P178" s="5">
        <f t="shared" si="29"/>
        <v>8644827.5862068962</v>
      </c>
      <c r="Q178" s="10">
        <f t="shared" si="30"/>
        <v>907500</v>
      </c>
      <c r="R178" s="11">
        <f t="shared" si="31"/>
        <v>0.10497606701236538</v>
      </c>
    </row>
    <row r="179" spans="1:18" x14ac:dyDescent="0.3">
      <c r="A179" s="7">
        <v>6650001</v>
      </c>
      <c r="B179" s="7">
        <v>6700000</v>
      </c>
      <c r="C179" s="7">
        <v>30000</v>
      </c>
      <c r="E179" s="7">
        <v>0</v>
      </c>
      <c r="F179" s="7">
        <f t="shared" si="32"/>
        <v>670000</v>
      </c>
      <c r="G179" s="13">
        <f t="shared" si="22"/>
        <v>2.194029850746268E-2</v>
      </c>
      <c r="H179" s="7">
        <f t="shared" si="23"/>
        <v>30000</v>
      </c>
      <c r="I179" s="5">
        <f t="shared" si="24"/>
        <v>176999.99999999994</v>
      </c>
      <c r="L179" s="5">
        <f t="shared" si="25"/>
        <v>7577000</v>
      </c>
      <c r="M179" s="5">
        <f t="shared" si="26"/>
        <v>8060638.2978723412</v>
      </c>
      <c r="N179" s="10">
        <f t="shared" si="27"/>
        <v>914000</v>
      </c>
      <c r="O179" s="11">
        <f t="shared" si="28"/>
        <v>0.11339052395407152</v>
      </c>
      <c r="P179" s="5">
        <f t="shared" si="29"/>
        <v>8709195.4022988509</v>
      </c>
      <c r="Q179" s="10">
        <f t="shared" si="30"/>
        <v>914000</v>
      </c>
      <c r="R179" s="11">
        <f t="shared" si="31"/>
        <v>0.10494654876600237</v>
      </c>
    </row>
    <row r="180" spans="1:18" x14ac:dyDescent="0.3">
      <c r="A180" s="7">
        <v>6700001</v>
      </c>
      <c r="B180" s="7">
        <v>6750000</v>
      </c>
      <c r="C180" s="7">
        <v>30000</v>
      </c>
      <c r="E180" s="7">
        <v>0</v>
      </c>
      <c r="F180" s="7">
        <f t="shared" si="32"/>
        <v>675000</v>
      </c>
      <c r="G180" s="13">
        <f t="shared" si="22"/>
        <v>2.1925925925925918E-2</v>
      </c>
      <c r="H180" s="7">
        <f t="shared" si="23"/>
        <v>30000</v>
      </c>
      <c r="I180" s="5">
        <f t="shared" si="24"/>
        <v>177999.99999999994</v>
      </c>
      <c r="L180" s="5">
        <f t="shared" si="25"/>
        <v>7633000</v>
      </c>
      <c r="M180" s="5">
        <f t="shared" si="26"/>
        <v>8120212.7659574477</v>
      </c>
      <c r="N180" s="10">
        <f t="shared" si="27"/>
        <v>920500</v>
      </c>
      <c r="O180" s="11">
        <f t="shared" si="28"/>
        <v>0.11335909865059608</v>
      </c>
      <c r="P180" s="5">
        <f t="shared" si="29"/>
        <v>8773563.2183908038</v>
      </c>
      <c r="Q180" s="10">
        <f t="shared" si="30"/>
        <v>920499.99999999907</v>
      </c>
      <c r="R180" s="11">
        <f t="shared" si="31"/>
        <v>0.10491746364470055</v>
      </c>
    </row>
    <row r="181" spans="1:18" x14ac:dyDescent="0.3">
      <c r="A181" s="7">
        <v>6750001</v>
      </c>
      <c r="B181" s="7">
        <v>6800000</v>
      </c>
      <c r="C181" s="7">
        <v>30000</v>
      </c>
      <c r="E181" s="7">
        <v>0</v>
      </c>
      <c r="F181" s="7">
        <f t="shared" si="32"/>
        <v>680000</v>
      </c>
      <c r="G181" s="13">
        <f t="shared" si="22"/>
        <v>2.1911764705882339E-2</v>
      </c>
      <c r="H181" s="7">
        <f t="shared" si="23"/>
        <v>30000</v>
      </c>
      <c r="I181" s="5">
        <f t="shared" si="24"/>
        <v>178999.99999999991</v>
      </c>
      <c r="L181" s="5">
        <f t="shared" si="25"/>
        <v>7689000</v>
      </c>
      <c r="M181" s="5">
        <f t="shared" si="26"/>
        <v>8179787.2340425532</v>
      </c>
      <c r="N181" s="10">
        <f t="shared" si="27"/>
        <v>927000</v>
      </c>
      <c r="O181" s="11">
        <f t="shared" si="28"/>
        <v>0.11332813109637144</v>
      </c>
      <c r="P181" s="5">
        <f t="shared" si="29"/>
        <v>8837931.0344827585</v>
      </c>
      <c r="Q181" s="10">
        <f t="shared" si="30"/>
        <v>927000</v>
      </c>
      <c r="R181" s="11">
        <f t="shared" si="31"/>
        <v>0.10488880218493953</v>
      </c>
    </row>
    <row r="182" spans="1:18" x14ac:dyDescent="0.3">
      <c r="A182" s="7">
        <v>6800001</v>
      </c>
      <c r="B182" s="7">
        <v>6850000</v>
      </c>
      <c r="C182" s="7">
        <v>30000</v>
      </c>
      <c r="E182" s="7">
        <v>0</v>
      </c>
      <c r="F182" s="7">
        <f t="shared" si="32"/>
        <v>685000</v>
      </c>
      <c r="G182" s="13">
        <f t="shared" si="22"/>
        <v>2.1897810218978089E-2</v>
      </c>
      <c r="H182" s="7">
        <f t="shared" si="23"/>
        <v>30000</v>
      </c>
      <c r="I182" s="5">
        <f t="shared" si="24"/>
        <v>179999.99999999991</v>
      </c>
      <c r="L182" s="5">
        <f t="shared" si="25"/>
        <v>7745000</v>
      </c>
      <c r="M182" s="5">
        <f t="shared" si="26"/>
        <v>8239361.7021276597</v>
      </c>
      <c r="N182" s="10">
        <f t="shared" si="27"/>
        <v>933500</v>
      </c>
      <c r="O182" s="11">
        <f t="shared" si="28"/>
        <v>0.11329761136216913</v>
      </c>
      <c r="P182" s="5">
        <f t="shared" si="29"/>
        <v>8902298.8505747132</v>
      </c>
      <c r="Q182" s="10">
        <f t="shared" si="30"/>
        <v>933500</v>
      </c>
      <c r="R182" s="11">
        <f t="shared" si="31"/>
        <v>0.10486055519690123</v>
      </c>
    </row>
    <row r="183" spans="1:18" x14ac:dyDescent="0.3">
      <c r="A183" s="7">
        <v>6850001</v>
      </c>
      <c r="B183" s="7">
        <v>6900000</v>
      </c>
      <c r="C183" s="7">
        <v>30000</v>
      </c>
      <c r="E183" s="7">
        <v>0</v>
      </c>
      <c r="F183" s="7">
        <f t="shared" si="32"/>
        <v>690000</v>
      </c>
      <c r="G183" s="13">
        <f t="shared" si="22"/>
        <v>2.1884057971014489E-2</v>
      </c>
      <c r="H183" s="7">
        <f t="shared" si="23"/>
        <v>30000</v>
      </c>
      <c r="I183" s="5">
        <f t="shared" si="24"/>
        <v>180999.99999999997</v>
      </c>
      <c r="L183" s="5">
        <f t="shared" si="25"/>
        <v>7801000</v>
      </c>
      <c r="M183" s="5">
        <f t="shared" si="26"/>
        <v>8298936.1702127662</v>
      </c>
      <c r="N183" s="10">
        <f t="shared" si="27"/>
        <v>940000</v>
      </c>
      <c r="O183" s="11">
        <f t="shared" si="28"/>
        <v>0.11326752980387129</v>
      </c>
      <c r="P183" s="5">
        <f t="shared" si="29"/>
        <v>8966666.666666666</v>
      </c>
      <c r="Q183" s="10">
        <f t="shared" si="30"/>
        <v>939999.99999999907</v>
      </c>
      <c r="R183" s="11">
        <f t="shared" si="31"/>
        <v>0.10483271375464674</v>
      </c>
    </row>
    <row r="184" spans="1:18" x14ac:dyDescent="0.3">
      <c r="A184" s="7">
        <v>6900001</v>
      </c>
      <c r="B184" s="7">
        <v>6950000</v>
      </c>
      <c r="C184" s="7">
        <v>30000</v>
      </c>
      <c r="E184" s="7">
        <v>0</v>
      </c>
      <c r="F184" s="7">
        <f t="shared" si="32"/>
        <v>695000</v>
      </c>
      <c r="G184" s="13">
        <f t="shared" si="22"/>
        <v>2.1870503597122296E-2</v>
      </c>
      <c r="H184" s="7">
        <f t="shared" si="23"/>
        <v>30000</v>
      </c>
      <c r="I184" s="5">
        <f t="shared" si="24"/>
        <v>181999.99999999994</v>
      </c>
      <c r="L184" s="5">
        <f t="shared" si="25"/>
        <v>7857000</v>
      </c>
      <c r="M184" s="5">
        <f t="shared" si="26"/>
        <v>8358510.6382978726</v>
      </c>
      <c r="N184" s="10">
        <f t="shared" si="27"/>
        <v>946500</v>
      </c>
      <c r="O184" s="11">
        <f t="shared" si="28"/>
        <v>0.11323787705231003</v>
      </c>
      <c r="P184" s="5">
        <f t="shared" si="29"/>
        <v>9031034.4827586208</v>
      </c>
      <c r="Q184" s="10">
        <f t="shared" si="30"/>
        <v>946500</v>
      </c>
      <c r="R184" s="11">
        <f t="shared" si="31"/>
        <v>0.10480526918671249</v>
      </c>
    </row>
    <row r="185" spans="1:18" x14ac:dyDescent="0.3">
      <c r="A185" s="7">
        <v>6950001</v>
      </c>
      <c r="B185" s="7">
        <v>7000000</v>
      </c>
      <c r="C185" s="7">
        <v>30000</v>
      </c>
      <c r="E185" s="7">
        <v>0</v>
      </c>
      <c r="F185" s="7">
        <f t="shared" si="32"/>
        <v>700000</v>
      </c>
      <c r="G185" s="13">
        <f t="shared" si="22"/>
        <v>2.1857142857142853E-2</v>
      </c>
      <c r="H185" s="7">
        <f t="shared" si="23"/>
        <v>30000</v>
      </c>
      <c r="I185" s="5">
        <f t="shared" si="24"/>
        <v>182999.99999999997</v>
      </c>
      <c r="L185" s="5">
        <f t="shared" si="25"/>
        <v>7913000</v>
      </c>
      <c r="M185" s="5">
        <f t="shared" si="26"/>
        <v>8418085.1063829791</v>
      </c>
      <c r="N185" s="10">
        <f t="shared" si="27"/>
        <v>953000</v>
      </c>
      <c r="O185" s="11">
        <f t="shared" si="28"/>
        <v>0.11320864400353847</v>
      </c>
      <c r="P185" s="5">
        <f t="shared" si="29"/>
        <v>9095402.2988505755</v>
      </c>
      <c r="Q185" s="10">
        <f t="shared" si="30"/>
        <v>953000.00000000093</v>
      </c>
      <c r="R185" s="11">
        <f t="shared" si="31"/>
        <v>0.10477821306710486</v>
      </c>
    </row>
    <row r="186" spans="1:18" x14ac:dyDescent="0.3">
      <c r="A186" s="7">
        <v>7000001</v>
      </c>
      <c r="B186" s="7">
        <v>7050000</v>
      </c>
      <c r="C186" s="7">
        <v>30000</v>
      </c>
      <c r="E186" s="7">
        <v>0</v>
      </c>
      <c r="F186" s="7">
        <f t="shared" si="32"/>
        <v>705000</v>
      </c>
      <c r="G186" s="13">
        <f t="shared" si="22"/>
        <v>2.1843971631205661E-2</v>
      </c>
      <c r="H186" s="7">
        <f t="shared" si="23"/>
        <v>30000</v>
      </c>
      <c r="I186" s="5">
        <f t="shared" si="24"/>
        <v>183999.99999999991</v>
      </c>
      <c r="L186" s="5">
        <f t="shared" si="25"/>
        <v>7969000</v>
      </c>
      <c r="M186" s="5">
        <f t="shared" si="26"/>
        <v>8477659.5744680855</v>
      </c>
      <c r="N186" s="10">
        <f t="shared" si="27"/>
        <v>959500</v>
      </c>
      <c r="O186" s="11">
        <f t="shared" si="28"/>
        <v>0.11317982180951185</v>
      </c>
      <c r="P186" s="5">
        <f t="shared" si="29"/>
        <v>9159770.1149425283</v>
      </c>
      <c r="Q186" s="10">
        <f t="shared" si="30"/>
        <v>959500</v>
      </c>
      <c r="R186" s="11">
        <f t="shared" si="31"/>
        <v>0.10475153720667588</v>
      </c>
    </row>
    <row r="187" spans="1:18" x14ac:dyDescent="0.3">
      <c r="A187" s="7">
        <v>7050001</v>
      </c>
      <c r="B187" s="7">
        <v>7100000</v>
      </c>
      <c r="C187" s="7">
        <v>30000</v>
      </c>
      <c r="E187" s="7">
        <v>0</v>
      </c>
      <c r="F187" s="7">
        <f t="shared" si="32"/>
        <v>710000</v>
      </c>
      <c r="G187" s="13">
        <f t="shared" si="22"/>
        <v>2.1830985915492943E-2</v>
      </c>
      <c r="H187" s="7">
        <f t="shared" si="23"/>
        <v>30000</v>
      </c>
      <c r="I187" s="5">
        <f t="shared" si="24"/>
        <v>184999.99999999988</v>
      </c>
      <c r="L187" s="5">
        <f t="shared" si="25"/>
        <v>8025000</v>
      </c>
      <c r="M187" s="5">
        <f t="shared" si="26"/>
        <v>8537234.042553192</v>
      </c>
      <c r="N187" s="10">
        <f t="shared" si="27"/>
        <v>966000</v>
      </c>
      <c r="O187" s="11">
        <f t="shared" si="28"/>
        <v>0.11315140186915887</v>
      </c>
      <c r="P187" s="5">
        <f t="shared" si="29"/>
        <v>9224137.931034483</v>
      </c>
      <c r="Q187" s="10">
        <f t="shared" si="30"/>
        <v>966000</v>
      </c>
      <c r="R187" s="11">
        <f t="shared" si="31"/>
        <v>0.10472523364485981</v>
      </c>
    </row>
    <row r="188" spans="1:18" x14ac:dyDescent="0.3">
      <c r="A188" s="7">
        <v>7100001</v>
      </c>
      <c r="B188" s="7">
        <v>7150000</v>
      </c>
      <c r="C188" s="7">
        <v>30000</v>
      </c>
      <c r="E188" s="7">
        <v>0</v>
      </c>
      <c r="F188" s="7">
        <f t="shared" si="32"/>
        <v>715000</v>
      </c>
      <c r="G188" s="13">
        <f t="shared" si="22"/>
        <v>2.1818181818181806E-2</v>
      </c>
      <c r="H188" s="7">
        <f t="shared" si="23"/>
        <v>30000</v>
      </c>
      <c r="I188" s="5">
        <f t="shared" si="24"/>
        <v>185999.99999999991</v>
      </c>
      <c r="L188" s="5">
        <f t="shared" si="25"/>
        <v>8081000</v>
      </c>
      <c r="M188" s="5">
        <f t="shared" si="26"/>
        <v>8596808.5106382985</v>
      </c>
      <c r="N188" s="10">
        <f t="shared" si="27"/>
        <v>972500</v>
      </c>
      <c r="O188" s="11">
        <f t="shared" si="28"/>
        <v>0.11312337581982428</v>
      </c>
      <c r="P188" s="5">
        <f t="shared" si="29"/>
        <v>9288505.7471264377</v>
      </c>
      <c r="Q188" s="10">
        <f t="shared" si="30"/>
        <v>972500.00000000093</v>
      </c>
      <c r="R188" s="11">
        <f t="shared" si="31"/>
        <v>0.10469929464175234</v>
      </c>
    </row>
    <row r="189" spans="1:18" x14ac:dyDescent="0.3">
      <c r="A189" s="7">
        <v>7150001</v>
      </c>
      <c r="B189" s="7">
        <v>7200000</v>
      </c>
      <c r="C189" s="7">
        <v>30000</v>
      </c>
      <c r="E189" s="7">
        <v>0</v>
      </c>
      <c r="F189" s="7">
        <f t="shared" si="32"/>
        <v>720000</v>
      </c>
      <c r="G189" s="13">
        <f t="shared" si="22"/>
        <v>2.180555555555555E-2</v>
      </c>
      <c r="H189" s="7">
        <f t="shared" si="23"/>
        <v>30000</v>
      </c>
      <c r="I189" s="5">
        <f t="shared" si="24"/>
        <v>186999.99999999997</v>
      </c>
      <c r="L189" s="5">
        <f t="shared" si="25"/>
        <v>8137000</v>
      </c>
      <c r="M189" s="5">
        <f t="shared" si="26"/>
        <v>8656382.9787234049</v>
      </c>
      <c r="N189" s="10">
        <f t="shared" si="27"/>
        <v>979000</v>
      </c>
      <c r="O189" s="11">
        <f t="shared" si="28"/>
        <v>0.11309573552906475</v>
      </c>
      <c r="P189" s="5">
        <f t="shared" si="29"/>
        <v>9352873.5632183906</v>
      </c>
      <c r="Q189" s="10">
        <f t="shared" si="30"/>
        <v>979000</v>
      </c>
      <c r="R189" s="11">
        <f t="shared" si="31"/>
        <v>0.10467371267051739</v>
      </c>
    </row>
    <row r="190" spans="1:18" x14ac:dyDescent="0.3">
      <c r="A190" s="7">
        <v>7200001</v>
      </c>
      <c r="B190" s="7">
        <v>7250000</v>
      </c>
      <c r="C190" s="7">
        <v>30000</v>
      </c>
      <c r="E190" s="7">
        <v>0</v>
      </c>
      <c r="F190" s="7">
        <f t="shared" si="32"/>
        <v>725000</v>
      </c>
      <c r="G190" s="13">
        <f t="shared" si="22"/>
        <v>2.1793103448275855E-2</v>
      </c>
      <c r="H190" s="7">
        <f t="shared" si="23"/>
        <v>30000</v>
      </c>
      <c r="I190" s="5">
        <f t="shared" si="24"/>
        <v>187999.99999999994</v>
      </c>
      <c r="L190" s="5">
        <f t="shared" si="25"/>
        <v>8193000</v>
      </c>
      <c r="M190" s="5">
        <f t="shared" si="26"/>
        <v>8715957.4468085114</v>
      </c>
      <c r="N190" s="10">
        <f t="shared" si="27"/>
        <v>985500</v>
      </c>
      <c r="O190" s="11">
        <f t="shared" si="28"/>
        <v>0.11306847308678139</v>
      </c>
      <c r="P190" s="5">
        <f t="shared" si="29"/>
        <v>9417241.3793103453</v>
      </c>
      <c r="Q190" s="10">
        <f t="shared" si="30"/>
        <v>985500</v>
      </c>
      <c r="R190" s="11">
        <f t="shared" si="31"/>
        <v>0.10464848041010619</v>
      </c>
    </row>
    <row r="191" spans="1:18" x14ac:dyDescent="0.3">
      <c r="A191" s="7">
        <v>7250001</v>
      </c>
      <c r="B191" s="7">
        <v>7300000</v>
      </c>
      <c r="C191" s="7">
        <v>30000</v>
      </c>
      <c r="E191" s="7">
        <v>0</v>
      </c>
      <c r="F191" s="7">
        <f t="shared" si="32"/>
        <v>730000</v>
      </c>
      <c r="G191" s="13">
        <f t="shared" si="22"/>
        <v>2.178082191780821E-2</v>
      </c>
      <c r="H191" s="7">
        <f t="shared" si="23"/>
        <v>30000</v>
      </c>
      <c r="I191" s="5">
        <f t="shared" si="24"/>
        <v>188999.99999999994</v>
      </c>
      <c r="L191" s="5">
        <f t="shared" si="25"/>
        <v>8249000</v>
      </c>
      <c r="M191" s="5">
        <f t="shared" si="26"/>
        <v>8775531.9148936179</v>
      </c>
      <c r="N191" s="10">
        <f t="shared" si="27"/>
        <v>992000</v>
      </c>
      <c r="O191" s="11">
        <f t="shared" si="28"/>
        <v>0.11304158079767243</v>
      </c>
      <c r="P191" s="5">
        <f t="shared" si="29"/>
        <v>9481609.1954022981</v>
      </c>
      <c r="Q191" s="10">
        <f t="shared" si="30"/>
        <v>991999.99999999907</v>
      </c>
      <c r="R191" s="11">
        <f t="shared" si="31"/>
        <v>0.10462359073827121</v>
      </c>
    </row>
    <row r="192" spans="1:18" x14ac:dyDescent="0.3">
      <c r="A192" s="7">
        <v>7300001</v>
      </c>
      <c r="B192" s="7">
        <v>7350000</v>
      </c>
      <c r="C192" s="7">
        <v>30000</v>
      </c>
      <c r="E192" s="7">
        <v>0</v>
      </c>
      <c r="F192" s="7">
        <f t="shared" si="32"/>
        <v>735000</v>
      </c>
      <c r="G192" s="13">
        <f t="shared" si="22"/>
        <v>2.1768707482993185E-2</v>
      </c>
      <c r="H192" s="7">
        <f t="shared" si="23"/>
        <v>30000</v>
      </c>
      <c r="I192" s="5">
        <f t="shared" si="24"/>
        <v>189999.99999999991</v>
      </c>
      <c r="L192" s="5">
        <f t="shared" si="25"/>
        <v>8305000</v>
      </c>
      <c r="M192" s="5">
        <f t="shared" si="26"/>
        <v>8835106.3829787243</v>
      </c>
      <c r="N192" s="10">
        <f t="shared" si="27"/>
        <v>998500</v>
      </c>
      <c r="O192" s="11">
        <f t="shared" si="28"/>
        <v>0.11301505117399156</v>
      </c>
      <c r="P192" s="5">
        <f t="shared" si="29"/>
        <v>9545977.0114942528</v>
      </c>
      <c r="Q192" s="10">
        <f t="shared" si="30"/>
        <v>998500</v>
      </c>
      <c r="R192" s="11">
        <f t="shared" si="31"/>
        <v>0.10459903672486454</v>
      </c>
    </row>
    <row r="193" spans="1:18" x14ac:dyDescent="0.3">
      <c r="A193" s="7">
        <v>7350001</v>
      </c>
      <c r="B193" s="7">
        <v>7400000</v>
      </c>
      <c r="C193" s="7">
        <v>30000</v>
      </c>
      <c r="E193" s="7">
        <v>0</v>
      </c>
      <c r="F193" s="7">
        <f t="shared" si="32"/>
        <v>740000</v>
      </c>
      <c r="G193" s="13">
        <f t="shared" si="22"/>
        <v>2.1756756756756743E-2</v>
      </c>
      <c r="H193" s="7">
        <f t="shared" si="23"/>
        <v>30000</v>
      </c>
      <c r="I193" s="5">
        <f t="shared" si="24"/>
        <v>190999.99999999988</v>
      </c>
      <c r="L193" s="5">
        <f t="shared" si="25"/>
        <v>8361000</v>
      </c>
      <c r="M193" s="5">
        <f t="shared" si="26"/>
        <v>8894680.8510638308</v>
      </c>
      <c r="N193" s="10">
        <f t="shared" si="27"/>
        <v>1005000</v>
      </c>
      <c r="O193" s="11">
        <f t="shared" si="28"/>
        <v>0.11298887692859705</v>
      </c>
      <c r="P193" s="5">
        <f t="shared" si="29"/>
        <v>9610344.8275862075</v>
      </c>
      <c r="Q193" s="10">
        <f t="shared" si="30"/>
        <v>1005000.0000000009</v>
      </c>
      <c r="R193" s="11">
        <f t="shared" si="31"/>
        <v>0.10457481162540375</v>
      </c>
    </row>
    <row r="194" spans="1:18" x14ac:dyDescent="0.3">
      <c r="A194" s="7">
        <v>7400001</v>
      </c>
      <c r="B194" s="7">
        <v>7450000</v>
      </c>
      <c r="C194" s="7">
        <v>30000</v>
      </c>
      <c r="E194" s="7">
        <v>0</v>
      </c>
      <c r="F194" s="7">
        <f t="shared" si="32"/>
        <v>745000</v>
      </c>
      <c r="G194" s="13">
        <f t="shared" si="22"/>
        <v>2.1744966442953012E-2</v>
      </c>
      <c r="H194" s="7">
        <f t="shared" si="23"/>
        <v>30000</v>
      </c>
      <c r="I194" s="5">
        <f t="shared" si="24"/>
        <v>191999.99999999994</v>
      </c>
      <c r="L194" s="5">
        <f t="shared" si="25"/>
        <v>8417000</v>
      </c>
      <c r="M194" s="5">
        <f t="shared" si="26"/>
        <v>8954255.3191489372</v>
      </c>
      <c r="N194" s="10">
        <f t="shared" si="27"/>
        <v>1011500</v>
      </c>
      <c r="O194" s="11">
        <f t="shared" si="28"/>
        <v>0.11296305096827847</v>
      </c>
      <c r="P194" s="5">
        <f t="shared" si="29"/>
        <v>9674712.6436781604</v>
      </c>
      <c r="Q194" s="10">
        <f t="shared" si="30"/>
        <v>1011500</v>
      </c>
      <c r="R194" s="11">
        <f t="shared" si="31"/>
        <v>0.10455090887489606</v>
      </c>
    </row>
    <row r="195" spans="1:18" x14ac:dyDescent="0.3">
      <c r="A195" s="7">
        <v>7450001</v>
      </c>
      <c r="B195" s="7">
        <v>7500000</v>
      </c>
      <c r="C195" s="7">
        <v>30000</v>
      </c>
      <c r="E195" s="7">
        <v>0</v>
      </c>
      <c r="F195" s="7">
        <f t="shared" si="32"/>
        <v>750000</v>
      </c>
      <c r="G195" s="13">
        <f t="shared" ref="G195:G258" si="33">MIN($K$2,MAX($K$3,$K$4/B195+$K$3))-$K$17</f>
        <v>2.1733333333333327E-2</v>
      </c>
      <c r="H195" s="7">
        <f t="shared" ref="H195:H258" si="34">MIN($K$11,$K$9+$K$10*(B195-$B$2))</f>
        <v>30000</v>
      </c>
      <c r="I195" s="5">
        <f t="shared" ref="I195:I258" si="35">B195*G195+H195</f>
        <v>192999.99999999994</v>
      </c>
      <c r="L195" s="5">
        <f t="shared" ref="L195:L258" si="36">B195+C195+E195+F195+I195</f>
        <v>8473000</v>
      </c>
      <c r="M195" s="5">
        <f t="shared" ref="M195:M258" si="37">L195/(1-$K$14)</f>
        <v>9013829.7872340437</v>
      </c>
      <c r="N195" s="10">
        <f t="shared" ref="N195:N258" si="38">M195*(1-$K$14)-(B195+E195+F195)*(1-$K$17)-C195</f>
        <v>1018000</v>
      </c>
      <c r="O195" s="11">
        <f t="shared" ref="O195:O258" si="39">N195/M195</f>
        <v>0.11293756638734803</v>
      </c>
      <c r="P195" s="5">
        <f t="shared" ref="P195:P258" si="40">L195/(1-$K$15)</f>
        <v>9739080.4597701151</v>
      </c>
      <c r="Q195" s="10">
        <f t="shared" ref="Q195:Q258" si="41">P195*(1-$K$15)-(B195+E195+F195)*(1-$K$17)-C195</f>
        <v>1018000</v>
      </c>
      <c r="R195" s="11">
        <f t="shared" ref="R195:R258" si="42">Q195/P195</f>
        <v>0.10452732208190724</v>
      </c>
    </row>
    <row r="196" spans="1:18" x14ac:dyDescent="0.3">
      <c r="A196" s="7">
        <v>7500001</v>
      </c>
      <c r="B196" s="7">
        <v>7550000</v>
      </c>
      <c r="C196" s="7">
        <v>30000</v>
      </c>
      <c r="E196" s="7">
        <v>0</v>
      </c>
      <c r="F196" s="7">
        <f t="shared" si="32"/>
        <v>755000</v>
      </c>
      <c r="G196" s="13">
        <f t="shared" si="33"/>
        <v>2.1721854304635746E-2</v>
      </c>
      <c r="H196" s="7">
        <f t="shared" si="34"/>
        <v>30000</v>
      </c>
      <c r="I196" s="5">
        <f t="shared" si="35"/>
        <v>193999.99999999988</v>
      </c>
      <c r="L196" s="5">
        <f t="shared" si="36"/>
        <v>8529000</v>
      </c>
      <c r="M196" s="5">
        <f t="shared" si="37"/>
        <v>9073404.2553191502</v>
      </c>
      <c r="N196" s="10">
        <f t="shared" si="38"/>
        <v>1024500</v>
      </c>
      <c r="O196" s="11">
        <f t="shared" si="39"/>
        <v>0.11291241646148434</v>
      </c>
      <c r="P196" s="5">
        <f t="shared" si="40"/>
        <v>9803448.2758620698</v>
      </c>
      <c r="Q196" s="10">
        <f t="shared" si="41"/>
        <v>1024500</v>
      </c>
      <c r="R196" s="11">
        <f t="shared" si="42"/>
        <v>0.10450404502286316</v>
      </c>
    </row>
    <row r="197" spans="1:18" x14ac:dyDescent="0.3">
      <c r="A197" s="7">
        <v>7550001</v>
      </c>
      <c r="B197" s="7">
        <v>7600000</v>
      </c>
      <c r="C197" s="7">
        <v>30000</v>
      </c>
      <c r="E197" s="7">
        <v>0</v>
      </c>
      <c r="F197" s="7">
        <f t="shared" si="32"/>
        <v>760000</v>
      </c>
      <c r="G197" s="13">
        <f t="shared" si="33"/>
        <v>2.1710526315789458E-2</v>
      </c>
      <c r="H197" s="7">
        <f t="shared" si="34"/>
        <v>30000</v>
      </c>
      <c r="I197" s="5">
        <f t="shared" si="35"/>
        <v>194999.99999999988</v>
      </c>
      <c r="L197" s="5">
        <f t="shared" si="36"/>
        <v>8585000</v>
      </c>
      <c r="M197" s="5">
        <f t="shared" si="37"/>
        <v>9132978.7234042566</v>
      </c>
      <c r="N197" s="10">
        <f t="shared" si="38"/>
        <v>1031000</v>
      </c>
      <c r="O197" s="11">
        <f t="shared" si="39"/>
        <v>0.11288759464181711</v>
      </c>
      <c r="P197" s="5">
        <f t="shared" si="40"/>
        <v>9867816.0919540226</v>
      </c>
      <c r="Q197" s="10">
        <f t="shared" si="41"/>
        <v>1031000</v>
      </c>
      <c r="R197" s="11">
        <f t="shared" si="42"/>
        <v>0.10448107163657543</v>
      </c>
    </row>
    <row r="198" spans="1:18" x14ac:dyDescent="0.3">
      <c r="A198" s="7">
        <v>7600001</v>
      </c>
      <c r="B198" s="7">
        <v>7650000</v>
      </c>
      <c r="C198" s="7">
        <v>30000</v>
      </c>
      <c r="E198" s="7">
        <v>0</v>
      </c>
      <c r="F198" s="7">
        <f t="shared" si="32"/>
        <v>765000</v>
      </c>
      <c r="G198" s="13">
        <f t="shared" si="33"/>
        <v>2.1699346405228748E-2</v>
      </c>
      <c r="H198" s="7">
        <f t="shared" si="34"/>
        <v>30000</v>
      </c>
      <c r="I198" s="5">
        <f t="shared" si="35"/>
        <v>195999.99999999991</v>
      </c>
      <c r="L198" s="5">
        <f t="shared" si="36"/>
        <v>8641000</v>
      </c>
      <c r="M198" s="5">
        <f t="shared" si="37"/>
        <v>9192553.1914893631</v>
      </c>
      <c r="N198" s="10">
        <f t="shared" si="38"/>
        <v>1037500</v>
      </c>
      <c r="O198" s="11">
        <f t="shared" si="39"/>
        <v>0.11286309454924197</v>
      </c>
      <c r="P198" s="5">
        <f t="shared" si="40"/>
        <v>9932183.9080459774</v>
      </c>
      <c r="Q198" s="10">
        <f t="shared" si="41"/>
        <v>1037500</v>
      </c>
      <c r="R198" s="11">
        <f t="shared" si="42"/>
        <v>0.10445839601897929</v>
      </c>
    </row>
    <row r="199" spans="1:18" x14ac:dyDescent="0.3">
      <c r="A199" s="7">
        <v>7650001</v>
      </c>
      <c r="B199" s="7">
        <v>7700000</v>
      </c>
      <c r="C199" s="7">
        <v>30000</v>
      </c>
      <c r="E199" s="7">
        <v>0</v>
      </c>
      <c r="F199" s="7">
        <f t="shared" si="32"/>
        <v>770000</v>
      </c>
      <c r="G199" s="13">
        <f t="shared" si="33"/>
        <v>2.1688311688311673E-2</v>
      </c>
      <c r="H199" s="7">
        <f t="shared" si="34"/>
        <v>30000</v>
      </c>
      <c r="I199" s="5">
        <f t="shared" si="35"/>
        <v>196999.99999999988</v>
      </c>
      <c r="L199" s="5">
        <f t="shared" si="36"/>
        <v>8697000</v>
      </c>
      <c r="M199" s="5">
        <f t="shared" si="37"/>
        <v>9252127.6595744677</v>
      </c>
      <c r="N199" s="10">
        <f t="shared" si="38"/>
        <v>1044000</v>
      </c>
      <c r="O199" s="11">
        <f t="shared" si="39"/>
        <v>0.11283890996895482</v>
      </c>
      <c r="P199" s="5">
        <f t="shared" si="40"/>
        <v>9996551.7241379302</v>
      </c>
      <c r="Q199" s="10">
        <f t="shared" si="41"/>
        <v>1044000</v>
      </c>
      <c r="R199" s="11">
        <f t="shared" si="42"/>
        <v>0.10443601241807521</v>
      </c>
    </row>
    <row r="200" spans="1:18" x14ac:dyDescent="0.3">
      <c r="A200" s="7">
        <v>7700001</v>
      </c>
      <c r="B200" s="7">
        <v>7750000</v>
      </c>
      <c r="C200" s="7">
        <v>30000</v>
      </c>
      <c r="E200" s="7">
        <v>0</v>
      </c>
      <c r="F200" s="7">
        <f t="shared" si="32"/>
        <v>775000</v>
      </c>
      <c r="G200" s="13">
        <f t="shared" si="33"/>
        <v>2.1677419354838703E-2</v>
      </c>
      <c r="H200" s="7">
        <f t="shared" si="34"/>
        <v>30000</v>
      </c>
      <c r="I200" s="5">
        <f t="shared" si="35"/>
        <v>197999.99999999994</v>
      </c>
      <c r="L200" s="5">
        <f t="shared" si="36"/>
        <v>8753000</v>
      </c>
      <c r="M200" s="5">
        <f t="shared" si="37"/>
        <v>9311702.1276595742</v>
      </c>
      <c r="N200" s="10">
        <f t="shared" si="38"/>
        <v>1050500</v>
      </c>
      <c r="O200" s="11">
        <f t="shared" si="39"/>
        <v>0.11281503484519594</v>
      </c>
      <c r="P200" s="5">
        <f t="shared" si="40"/>
        <v>10060919.540229885</v>
      </c>
      <c r="Q200" s="10">
        <f t="shared" si="41"/>
        <v>1050500</v>
      </c>
      <c r="R200" s="11">
        <f t="shared" si="42"/>
        <v>0.10441391522906432</v>
      </c>
    </row>
    <row r="201" spans="1:18" x14ac:dyDescent="0.3">
      <c r="A201" s="7">
        <v>7750001</v>
      </c>
      <c r="B201" s="7">
        <v>7800000</v>
      </c>
      <c r="C201" s="7">
        <v>30000</v>
      </c>
      <c r="E201" s="7">
        <v>0</v>
      </c>
      <c r="F201" s="7">
        <f t="shared" si="32"/>
        <v>780000</v>
      </c>
      <c r="G201" s="13">
        <f t="shared" si="33"/>
        <v>2.1666666666666654E-2</v>
      </c>
      <c r="H201" s="7">
        <f t="shared" si="34"/>
        <v>30000</v>
      </c>
      <c r="I201" s="5">
        <f t="shared" si="35"/>
        <v>198999.99999999988</v>
      </c>
      <c r="L201" s="5">
        <f t="shared" si="36"/>
        <v>8809000</v>
      </c>
      <c r="M201" s="5">
        <f t="shared" si="37"/>
        <v>9371276.5957446806</v>
      </c>
      <c r="N201" s="10">
        <f t="shared" si="38"/>
        <v>1057000</v>
      </c>
      <c r="O201" s="11">
        <f t="shared" si="39"/>
        <v>0.1127914632761948</v>
      </c>
      <c r="P201" s="5">
        <f t="shared" si="40"/>
        <v>10125287.35632184</v>
      </c>
      <c r="Q201" s="10">
        <f t="shared" si="41"/>
        <v>1057000</v>
      </c>
      <c r="R201" s="11">
        <f t="shared" si="42"/>
        <v>0.10439209898966965</v>
      </c>
    </row>
    <row r="202" spans="1:18" x14ac:dyDescent="0.3">
      <c r="A202" s="7">
        <v>7800001</v>
      </c>
      <c r="B202" s="7">
        <v>7850000</v>
      </c>
      <c r="C202" s="7">
        <v>30000</v>
      </c>
      <c r="E202" s="7">
        <v>0</v>
      </c>
      <c r="F202" s="7">
        <f t="shared" si="32"/>
        <v>785000</v>
      </c>
      <c r="G202" s="13">
        <f t="shared" si="33"/>
        <v>2.1656050955414008E-2</v>
      </c>
      <c r="H202" s="7">
        <f t="shared" si="34"/>
        <v>30000</v>
      </c>
      <c r="I202" s="5">
        <f t="shared" si="35"/>
        <v>199999.99999999997</v>
      </c>
      <c r="L202" s="5">
        <f t="shared" si="36"/>
        <v>8865000</v>
      </c>
      <c r="M202" s="5">
        <f t="shared" si="37"/>
        <v>9430851.0638297871</v>
      </c>
      <c r="N202" s="10">
        <f t="shared" si="38"/>
        <v>1063500</v>
      </c>
      <c r="O202" s="11">
        <f t="shared" si="39"/>
        <v>0.11276818950930627</v>
      </c>
      <c r="P202" s="5">
        <f t="shared" si="40"/>
        <v>10189655.172413792</v>
      </c>
      <c r="Q202" s="10">
        <f t="shared" si="41"/>
        <v>1063500</v>
      </c>
      <c r="R202" s="11">
        <f t="shared" si="42"/>
        <v>0.10437055837563453</v>
      </c>
    </row>
    <row r="203" spans="1:18" x14ac:dyDescent="0.3">
      <c r="A203" s="7">
        <v>7850001</v>
      </c>
      <c r="B203" s="7">
        <v>7900000</v>
      </c>
      <c r="C203" s="7">
        <v>30000</v>
      </c>
      <c r="E203" s="7">
        <v>0</v>
      </c>
      <c r="F203" s="7">
        <f t="shared" si="32"/>
        <v>790000</v>
      </c>
      <c r="G203" s="13">
        <f t="shared" si="33"/>
        <v>2.1645569620253158E-2</v>
      </c>
      <c r="H203" s="7">
        <f t="shared" si="34"/>
        <v>30000</v>
      </c>
      <c r="I203" s="5">
        <f t="shared" si="35"/>
        <v>200999.99999999994</v>
      </c>
      <c r="L203" s="5">
        <f t="shared" si="36"/>
        <v>8921000</v>
      </c>
      <c r="M203" s="5">
        <f t="shared" si="37"/>
        <v>9490425.5319148935</v>
      </c>
      <c r="N203" s="10">
        <f t="shared" si="38"/>
        <v>1070000</v>
      </c>
      <c r="O203" s="11">
        <f t="shared" si="39"/>
        <v>0.11274520793633001</v>
      </c>
      <c r="P203" s="5">
        <f t="shared" si="40"/>
        <v>10254022.988505747</v>
      </c>
      <c r="Q203" s="10">
        <f t="shared" si="41"/>
        <v>1070000</v>
      </c>
      <c r="R203" s="11">
        <f t="shared" si="42"/>
        <v>0.10434928819639054</v>
      </c>
    </row>
    <row r="204" spans="1:18" x14ac:dyDescent="0.3">
      <c r="A204" s="7">
        <v>7900001</v>
      </c>
      <c r="B204" s="7">
        <v>7950000</v>
      </c>
      <c r="C204" s="7">
        <v>30000</v>
      </c>
      <c r="E204" s="7">
        <v>0</v>
      </c>
      <c r="F204" s="7">
        <f t="shared" si="32"/>
        <v>795000</v>
      </c>
      <c r="G204" s="13">
        <f t="shared" si="33"/>
        <v>2.1635220125786156E-2</v>
      </c>
      <c r="H204" s="7">
        <f t="shared" si="34"/>
        <v>30000</v>
      </c>
      <c r="I204" s="5">
        <f t="shared" si="35"/>
        <v>201999.99999999994</v>
      </c>
      <c r="L204" s="5">
        <f t="shared" si="36"/>
        <v>8977000</v>
      </c>
      <c r="M204" s="5">
        <f t="shared" si="37"/>
        <v>9550000</v>
      </c>
      <c r="N204" s="10">
        <f t="shared" si="38"/>
        <v>1076500</v>
      </c>
      <c r="O204" s="11">
        <f t="shared" si="39"/>
        <v>0.11272251308900523</v>
      </c>
      <c r="P204" s="5">
        <f t="shared" si="40"/>
        <v>10318390.804597702</v>
      </c>
      <c r="Q204" s="10">
        <f t="shared" si="41"/>
        <v>1076500</v>
      </c>
      <c r="R204" s="11">
        <f t="shared" si="42"/>
        <v>0.10432828339088782</v>
      </c>
    </row>
    <row r="205" spans="1:18" x14ac:dyDescent="0.3">
      <c r="A205" s="7">
        <v>7950001</v>
      </c>
      <c r="B205" s="7">
        <v>8000000</v>
      </c>
      <c r="C205" s="7">
        <v>30000</v>
      </c>
      <c r="E205" s="7">
        <v>0</v>
      </c>
      <c r="F205" s="7">
        <f t="shared" si="32"/>
        <v>800000</v>
      </c>
      <c r="G205" s="13">
        <f t="shared" si="33"/>
        <v>2.1624999999999991E-2</v>
      </c>
      <c r="H205" s="7">
        <f t="shared" si="34"/>
        <v>30000</v>
      </c>
      <c r="I205" s="5">
        <f t="shared" si="35"/>
        <v>202999.99999999994</v>
      </c>
      <c r="L205" s="5">
        <f t="shared" si="36"/>
        <v>9033000</v>
      </c>
      <c r="M205" s="5">
        <f t="shared" si="37"/>
        <v>9609574.4680851065</v>
      </c>
      <c r="N205" s="10">
        <f t="shared" si="38"/>
        <v>1083000</v>
      </c>
      <c r="O205" s="11">
        <f t="shared" si="39"/>
        <v>0.11270009963467287</v>
      </c>
      <c r="P205" s="5">
        <f t="shared" si="40"/>
        <v>10382758.620689655</v>
      </c>
      <c r="Q205" s="10">
        <f t="shared" si="41"/>
        <v>1083000</v>
      </c>
      <c r="R205" s="11">
        <f t="shared" si="42"/>
        <v>0.10430753902358021</v>
      </c>
    </row>
    <row r="206" spans="1:18" x14ac:dyDescent="0.3">
      <c r="A206" s="7">
        <v>8000001</v>
      </c>
      <c r="B206" s="7">
        <v>8050000</v>
      </c>
      <c r="C206" s="7">
        <v>30000</v>
      </c>
      <c r="E206" s="7">
        <v>0</v>
      </c>
      <c r="F206" s="7">
        <f t="shared" si="32"/>
        <v>805000</v>
      </c>
      <c r="G206" s="13">
        <f t="shared" si="33"/>
        <v>2.1614906832298122E-2</v>
      </c>
      <c r="H206" s="7">
        <f t="shared" si="34"/>
        <v>30000</v>
      </c>
      <c r="I206" s="5">
        <f t="shared" si="35"/>
        <v>203999.99999999988</v>
      </c>
      <c r="L206" s="5">
        <f t="shared" si="36"/>
        <v>9089000</v>
      </c>
      <c r="M206" s="5">
        <f t="shared" si="37"/>
        <v>9669148.9361702129</v>
      </c>
      <c r="N206" s="10">
        <f t="shared" si="38"/>
        <v>1089500</v>
      </c>
      <c r="O206" s="11">
        <f t="shared" si="39"/>
        <v>0.11267796237209814</v>
      </c>
      <c r="P206" s="5">
        <f t="shared" si="40"/>
        <v>10447126.436781609</v>
      </c>
      <c r="Q206" s="10">
        <f t="shared" si="41"/>
        <v>1089500</v>
      </c>
      <c r="R206" s="11">
        <f t="shared" si="42"/>
        <v>0.10428705028055892</v>
      </c>
    </row>
    <row r="207" spans="1:18" x14ac:dyDescent="0.3">
      <c r="A207" s="7">
        <v>8050001</v>
      </c>
      <c r="B207" s="7">
        <v>8100000</v>
      </c>
      <c r="C207" s="7">
        <v>30000</v>
      </c>
      <c r="E207" s="7">
        <v>0</v>
      </c>
      <c r="F207" s="7">
        <f t="shared" si="32"/>
        <v>810000</v>
      </c>
      <c r="G207" s="13">
        <f t="shared" si="33"/>
        <v>2.1604938271604923E-2</v>
      </c>
      <c r="H207" s="7">
        <f t="shared" si="34"/>
        <v>30000</v>
      </c>
      <c r="I207" s="5">
        <f t="shared" si="35"/>
        <v>204999.99999999988</v>
      </c>
      <c r="L207" s="5">
        <f t="shared" si="36"/>
        <v>9145000</v>
      </c>
      <c r="M207" s="5">
        <f t="shared" si="37"/>
        <v>9728723.4042553194</v>
      </c>
      <c r="N207" s="10">
        <f t="shared" si="38"/>
        <v>1096000</v>
      </c>
      <c r="O207" s="11">
        <f t="shared" si="39"/>
        <v>0.11265609622744668</v>
      </c>
      <c r="P207" s="5">
        <f t="shared" si="40"/>
        <v>10511494.252873564</v>
      </c>
      <c r="Q207" s="10">
        <f t="shared" si="41"/>
        <v>1096000</v>
      </c>
      <c r="R207" s="11">
        <f t="shared" si="42"/>
        <v>0.10426681246582831</v>
      </c>
    </row>
    <row r="208" spans="1:18" x14ac:dyDescent="0.3">
      <c r="A208" s="7">
        <v>8100001</v>
      </c>
      <c r="B208" s="7">
        <v>8150000</v>
      </c>
      <c r="C208" s="7">
        <v>30000</v>
      </c>
      <c r="E208" s="7">
        <v>0</v>
      </c>
      <c r="F208" s="7">
        <f t="shared" si="32"/>
        <v>815000</v>
      </c>
      <c r="G208" s="13">
        <f t="shared" si="33"/>
        <v>2.1595092024539866E-2</v>
      </c>
      <c r="H208" s="7">
        <f t="shared" si="34"/>
        <v>30000</v>
      </c>
      <c r="I208" s="5">
        <f t="shared" si="35"/>
        <v>205999.99999999991</v>
      </c>
      <c r="L208" s="5">
        <f t="shared" si="36"/>
        <v>9201000</v>
      </c>
      <c r="M208" s="5">
        <f t="shared" si="37"/>
        <v>9788297.8723404258</v>
      </c>
      <c r="N208" s="10">
        <f t="shared" si="38"/>
        <v>1102500</v>
      </c>
      <c r="O208" s="11">
        <f t="shared" si="39"/>
        <v>0.11263449625040756</v>
      </c>
      <c r="P208" s="5">
        <f t="shared" si="40"/>
        <v>10575862.068965517</v>
      </c>
      <c r="Q208" s="10">
        <f t="shared" si="41"/>
        <v>1102500</v>
      </c>
      <c r="R208" s="11">
        <f t="shared" si="42"/>
        <v>0.10424682099771765</v>
      </c>
    </row>
    <row r="209" spans="1:18" x14ac:dyDescent="0.3">
      <c r="A209" s="7">
        <v>8150001</v>
      </c>
      <c r="B209" s="7">
        <v>8200000</v>
      </c>
      <c r="C209" s="7">
        <v>30000</v>
      </c>
      <c r="E209" s="7">
        <v>0</v>
      </c>
      <c r="F209" s="7">
        <f t="shared" si="32"/>
        <v>820000</v>
      </c>
      <c r="G209" s="13">
        <f t="shared" si="33"/>
        <v>2.1585365853658528E-2</v>
      </c>
      <c r="H209" s="7">
        <f t="shared" si="34"/>
        <v>30000</v>
      </c>
      <c r="I209" s="5">
        <f t="shared" si="35"/>
        <v>206999.99999999994</v>
      </c>
      <c r="L209" s="5">
        <f t="shared" si="36"/>
        <v>9257000</v>
      </c>
      <c r="M209" s="5">
        <f t="shared" si="37"/>
        <v>9847872.3404255323</v>
      </c>
      <c r="N209" s="10">
        <f t="shared" si="38"/>
        <v>1109000</v>
      </c>
      <c r="O209" s="11">
        <f t="shared" si="39"/>
        <v>0.11261315761045694</v>
      </c>
      <c r="P209" s="5">
        <f t="shared" si="40"/>
        <v>10640229.885057472</v>
      </c>
      <c r="Q209" s="10">
        <f t="shared" si="41"/>
        <v>1109000</v>
      </c>
      <c r="R209" s="11">
        <f t="shared" si="42"/>
        <v>0.10422707140542292</v>
      </c>
    </row>
    <row r="210" spans="1:18" x14ac:dyDescent="0.3">
      <c r="A210" s="7">
        <v>8200001</v>
      </c>
      <c r="B210" s="7">
        <v>8250000</v>
      </c>
      <c r="C210" s="7">
        <v>30000</v>
      </c>
      <c r="E210" s="7">
        <v>0</v>
      </c>
      <c r="F210" s="7">
        <f t="shared" si="32"/>
        <v>825000</v>
      </c>
      <c r="G210" s="13">
        <f t="shared" si="33"/>
        <v>2.1575757575757568E-2</v>
      </c>
      <c r="H210" s="7">
        <f t="shared" si="34"/>
        <v>30000</v>
      </c>
      <c r="I210" s="5">
        <f t="shared" si="35"/>
        <v>207999.99999999994</v>
      </c>
      <c r="L210" s="5">
        <f t="shared" si="36"/>
        <v>9313000</v>
      </c>
      <c r="M210" s="5">
        <f t="shared" si="37"/>
        <v>9907446.8085106388</v>
      </c>
      <c r="N210" s="10">
        <f t="shared" si="38"/>
        <v>1115500</v>
      </c>
      <c r="O210" s="11">
        <f t="shared" si="39"/>
        <v>0.11259207559325674</v>
      </c>
      <c r="P210" s="5">
        <f t="shared" si="40"/>
        <v>10704597.701149425</v>
      </c>
      <c r="Q210" s="10">
        <f t="shared" si="41"/>
        <v>1115500</v>
      </c>
      <c r="R210" s="11">
        <f t="shared" si="42"/>
        <v>0.1042075593256738</v>
      </c>
    </row>
    <row r="211" spans="1:18" x14ac:dyDescent="0.3">
      <c r="A211" s="7">
        <v>8250001</v>
      </c>
      <c r="B211" s="7">
        <v>8300000</v>
      </c>
      <c r="C211" s="7">
        <v>30000</v>
      </c>
      <c r="E211" s="7">
        <v>0</v>
      </c>
      <c r="F211" s="7">
        <f t="shared" si="32"/>
        <v>830000</v>
      </c>
      <c r="G211" s="13">
        <f t="shared" si="33"/>
        <v>2.1566265060240952E-2</v>
      </c>
      <c r="H211" s="7">
        <f t="shared" si="34"/>
        <v>30000</v>
      </c>
      <c r="I211" s="5">
        <f t="shared" si="35"/>
        <v>208999.99999999991</v>
      </c>
      <c r="L211" s="5">
        <f t="shared" si="36"/>
        <v>9369000</v>
      </c>
      <c r="M211" s="5">
        <f t="shared" si="37"/>
        <v>9967021.2765957452</v>
      </c>
      <c r="N211" s="10">
        <f t="shared" si="38"/>
        <v>1122000</v>
      </c>
      <c r="O211" s="11">
        <f t="shared" si="39"/>
        <v>0.11257124559718219</v>
      </c>
      <c r="P211" s="5">
        <f t="shared" si="40"/>
        <v>10768965.517241379</v>
      </c>
      <c r="Q211" s="10">
        <f t="shared" si="41"/>
        <v>1122000</v>
      </c>
      <c r="R211" s="11">
        <f t="shared" si="42"/>
        <v>0.1041882804995197</v>
      </c>
    </row>
    <row r="212" spans="1:18" x14ac:dyDescent="0.3">
      <c r="A212" s="7">
        <v>8300001</v>
      </c>
      <c r="B212" s="7">
        <v>8350000</v>
      </c>
      <c r="C212" s="7">
        <v>30000</v>
      </c>
      <c r="E212" s="7">
        <v>0</v>
      </c>
      <c r="F212" s="7">
        <f t="shared" si="32"/>
        <v>835000</v>
      </c>
      <c r="G212" s="13">
        <f t="shared" si="33"/>
        <v>2.1556886227544897E-2</v>
      </c>
      <c r="H212" s="7">
        <f t="shared" si="34"/>
        <v>30000</v>
      </c>
      <c r="I212" s="5">
        <f t="shared" si="35"/>
        <v>209999.99999999988</v>
      </c>
      <c r="L212" s="5">
        <f t="shared" si="36"/>
        <v>9425000</v>
      </c>
      <c r="M212" s="5">
        <f t="shared" si="37"/>
        <v>10026595.744680852</v>
      </c>
      <c r="N212" s="10">
        <f t="shared" si="38"/>
        <v>1128500</v>
      </c>
      <c r="O212" s="11">
        <f t="shared" si="39"/>
        <v>0.11255066312997347</v>
      </c>
      <c r="P212" s="5">
        <f t="shared" si="40"/>
        <v>10833333.333333334</v>
      </c>
      <c r="Q212" s="10">
        <f t="shared" si="41"/>
        <v>1128500</v>
      </c>
      <c r="R212" s="11">
        <f t="shared" si="42"/>
        <v>0.10416923076923076</v>
      </c>
    </row>
    <row r="213" spans="1:18" x14ac:dyDescent="0.3">
      <c r="A213" s="7">
        <v>8350001</v>
      </c>
      <c r="B213" s="7">
        <v>8400000</v>
      </c>
      <c r="C213" s="7">
        <v>30000</v>
      </c>
      <c r="E213" s="7">
        <v>0</v>
      </c>
      <c r="F213" s="7">
        <f t="shared" si="32"/>
        <v>840000</v>
      </c>
      <c r="G213" s="13">
        <f t="shared" si="33"/>
        <v>2.1547619047619038E-2</v>
      </c>
      <c r="H213" s="7">
        <f t="shared" si="34"/>
        <v>30000</v>
      </c>
      <c r="I213" s="5">
        <f t="shared" si="35"/>
        <v>210999.99999999991</v>
      </c>
      <c r="L213" s="5">
        <f t="shared" si="36"/>
        <v>9481000</v>
      </c>
      <c r="M213" s="5">
        <f t="shared" si="37"/>
        <v>10086170.212765958</v>
      </c>
      <c r="N213" s="10">
        <f t="shared" si="38"/>
        <v>1135000</v>
      </c>
      <c r="O213" s="11">
        <f t="shared" si="39"/>
        <v>0.11253032380550575</v>
      </c>
      <c r="P213" s="5">
        <f t="shared" si="40"/>
        <v>10897701.149425287</v>
      </c>
      <c r="Q213" s="10">
        <f t="shared" si="41"/>
        <v>1135000</v>
      </c>
      <c r="R213" s="11">
        <f t="shared" si="42"/>
        <v>0.10415040607530851</v>
      </c>
    </row>
    <row r="214" spans="1:18" x14ac:dyDescent="0.3">
      <c r="A214" s="7">
        <v>8400001</v>
      </c>
      <c r="B214" s="7">
        <v>8450000</v>
      </c>
      <c r="C214" s="7">
        <v>30000</v>
      </c>
      <c r="E214" s="7">
        <v>0</v>
      </c>
      <c r="F214" s="7">
        <f t="shared" si="32"/>
        <v>845000</v>
      </c>
      <c r="G214" s="13">
        <f t="shared" si="33"/>
        <v>2.1538461538461534E-2</v>
      </c>
      <c r="H214" s="7">
        <f t="shared" si="34"/>
        <v>30000</v>
      </c>
      <c r="I214" s="5">
        <f t="shared" si="35"/>
        <v>211999.99999999997</v>
      </c>
      <c r="L214" s="5">
        <f t="shared" si="36"/>
        <v>9537000</v>
      </c>
      <c r="M214" s="5">
        <f t="shared" si="37"/>
        <v>10145744.680851065</v>
      </c>
      <c r="N214" s="10">
        <f t="shared" si="38"/>
        <v>1141500</v>
      </c>
      <c r="O214" s="11">
        <f t="shared" si="39"/>
        <v>0.11251022334067316</v>
      </c>
      <c r="P214" s="5">
        <f t="shared" si="40"/>
        <v>10962068.965517242</v>
      </c>
      <c r="Q214" s="10">
        <f t="shared" si="41"/>
        <v>1141500</v>
      </c>
      <c r="R214" s="11">
        <f t="shared" si="42"/>
        <v>0.10413180245360176</v>
      </c>
    </row>
    <row r="215" spans="1:18" x14ac:dyDescent="0.3">
      <c r="A215" s="7">
        <v>8450001</v>
      </c>
      <c r="B215" s="7">
        <v>8500000</v>
      </c>
      <c r="C215" s="7">
        <v>30000</v>
      </c>
      <c r="E215" s="7">
        <v>0</v>
      </c>
      <c r="F215" s="7">
        <f t="shared" si="32"/>
        <v>850000</v>
      </c>
      <c r="G215" s="13">
        <f t="shared" si="33"/>
        <v>2.1529411764705866E-2</v>
      </c>
      <c r="H215" s="7">
        <f t="shared" si="34"/>
        <v>30000</v>
      </c>
      <c r="I215" s="5">
        <f t="shared" si="35"/>
        <v>212999.99999999985</v>
      </c>
      <c r="L215" s="5">
        <f t="shared" si="36"/>
        <v>9593000</v>
      </c>
      <c r="M215" s="5">
        <f t="shared" si="37"/>
        <v>10205319.148936171</v>
      </c>
      <c r="N215" s="10">
        <f t="shared" si="38"/>
        <v>1148000</v>
      </c>
      <c r="O215" s="11">
        <f t="shared" si="39"/>
        <v>0.11249035755238193</v>
      </c>
      <c r="P215" s="5">
        <f t="shared" si="40"/>
        <v>11026436.781609196</v>
      </c>
      <c r="Q215" s="10">
        <f t="shared" si="41"/>
        <v>1148000</v>
      </c>
      <c r="R215" s="11">
        <f t="shared" si="42"/>
        <v>0.10411341603252371</v>
      </c>
    </row>
    <row r="216" spans="1:18" x14ac:dyDescent="0.3">
      <c r="A216" s="7">
        <v>8500001</v>
      </c>
      <c r="B216" s="7">
        <v>8550000</v>
      </c>
      <c r="C216" s="7">
        <v>30000</v>
      </c>
      <c r="E216" s="7">
        <v>0</v>
      </c>
      <c r="F216" s="7">
        <f t="shared" si="32"/>
        <v>855000</v>
      </c>
      <c r="G216" s="13">
        <f t="shared" si="33"/>
        <v>2.1520467836257301E-2</v>
      </c>
      <c r="H216" s="7">
        <f t="shared" si="34"/>
        <v>30000</v>
      </c>
      <c r="I216" s="5">
        <f t="shared" si="35"/>
        <v>213999.99999999991</v>
      </c>
      <c r="L216" s="5">
        <f t="shared" si="36"/>
        <v>9649000</v>
      </c>
      <c r="M216" s="5">
        <f t="shared" si="37"/>
        <v>10264893.617021278</v>
      </c>
      <c r="N216" s="10">
        <f t="shared" si="38"/>
        <v>1154500</v>
      </c>
      <c r="O216" s="11">
        <f t="shared" si="39"/>
        <v>0.11247072235464814</v>
      </c>
      <c r="P216" s="5">
        <f t="shared" si="40"/>
        <v>11090804.597701149</v>
      </c>
      <c r="Q216" s="10">
        <f t="shared" si="41"/>
        <v>1154500</v>
      </c>
      <c r="R216" s="11">
        <f t="shared" si="42"/>
        <v>0.10409524303036584</v>
      </c>
    </row>
    <row r="217" spans="1:18" x14ac:dyDescent="0.3">
      <c r="A217" s="7">
        <v>8550001</v>
      </c>
      <c r="B217" s="7">
        <v>8600000</v>
      </c>
      <c r="C217" s="7">
        <v>30000</v>
      </c>
      <c r="E217" s="7">
        <v>0</v>
      </c>
      <c r="F217" s="7">
        <f t="shared" si="32"/>
        <v>860000</v>
      </c>
      <c r="G217" s="13">
        <f t="shared" si="33"/>
        <v>2.1511627906976735E-2</v>
      </c>
      <c r="H217" s="7">
        <f t="shared" si="34"/>
        <v>30000</v>
      </c>
      <c r="I217" s="5">
        <f t="shared" si="35"/>
        <v>214999.99999999991</v>
      </c>
      <c r="L217" s="5">
        <f t="shared" si="36"/>
        <v>9705000</v>
      </c>
      <c r="M217" s="5">
        <f t="shared" si="37"/>
        <v>10324468.085106384</v>
      </c>
      <c r="N217" s="10">
        <f t="shared" si="38"/>
        <v>1161000</v>
      </c>
      <c r="O217" s="11">
        <f t="shared" si="39"/>
        <v>0.11245131375579596</v>
      </c>
      <c r="P217" s="5">
        <f t="shared" si="40"/>
        <v>11155172.413793104</v>
      </c>
      <c r="Q217" s="10">
        <f t="shared" si="41"/>
        <v>1161000</v>
      </c>
      <c r="R217" s="11">
        <f t="shared" si="42"/>
        <v>0.10407727975270478</v>
      </c>
    </row>
    <row r="218" spans="1:18" x14ac:dyDescent="0.3">
      <c r="A218" s="7">
        <v>8600001</v>
      </c>
      <c r="B218" s="7">
        <v>8650000</v>
      </c>
      <c r="C218" s="7">
        <v>30000</v>
      </c>
      <c r="E218" s="7">
        <v>0</v>
      </c>
      <c r="F218" s="7">
        <f t="shared" ref="F218:F281" si="43">(B218+E218)*10%</f>
        <v>865000</v>
      </c>
      <c r="G218" s="13">
        <f t="shared" si="33"/>
        <v>2.1502890173410394E-2</v>
      </c>
      <c r="H218" s="7">
        <f t="shared" si="34"/>
        <v>30000</v>
      </c>
      <c r="I218" s="5">
        <f t="shared" si="35"/>
        <v>215999.99999999991</v>
      </c>
      <c r="L218" s="5">
        <f t="shared" si="36"/>
        <v>9761000</v>
      </c>
      <c r="M218" s="5">
        <f t="shared" si="37"/>
        <v>10384042.55319149</v>
      </c>
      <c r="N218" s="10">
        <f t="shared" si="38"/>
        <v>1167500</v>
      </c>
      <c r="O218" s="11">
        <f t="shared" si="39"/>
        <v>0.11243212785575248</v>
      </c>
      <c r="P218" s="5">
        <f t="shared" si="40"/>
        <v>11219540.229885057</v>
      </c>
      <c r="Q218" s="10">
        <f t="shared" si="41"/>
        <v>1167500</v>
      </c>
      <c r="R218" s="11">
        <f t="shared" si="42"/>
        <v>0.10405952258989859</v>
      </c>
    </row>
    <row r="219" spans="1:18" x14ac:dyDescent="0.3">
      <c r="A219" s="7">
        <v>8650001</v>
      </c>
      <c r="B219" s="7">
        <v>8700000</v>
      </c>
      <c r="C219" s="7">
        <v>30000</v>
      </c>
      <c r="E219" s="7">
        <v>0</v>
      </c>
      <c r="F219" s="7">
        <f t="shared" si="43"/>
        <v>870000</v>
      </c>
      <c r="G219" s="13">
        <f t="shared" si="33"/>
        <v>2.1494252873563213E-2</v>
      </c>
      <c r="H219" s="7">
        <f t="shared" si="34"/>
        <v>30000</v>
      </c>
      <c r="I219" s="5">
        <f t="shared" si="35"/>
        <v>216999.99999999994</v>
      </c>
      <c r="L219" s="5">
        <f t="shared" si="36"/>
        <v>9817000</v>
      </c>
      <c r="M219" s="5">
        <f t="shared" si="37"/>
        <v>10443617.021276597</v>
      </c>
      <c r="N219" s="10">
        <f t="shared" si="38"/>
        <v>1174000</v>
      </c>
      <c r="O219" s="11">
        <f t="shared" si="39"/>
        <v>0.11241316084343485</v>
      </c>
      <c r="P219" s="5">
        <f t="shared" si="40"/>
        <v>11283908.045977011</v>
      </c>
      <c r="Q219" s="10">
        <f t="shared" si="41"/>
        <v>1174000</v>
      </c>
      <c r="R219" s="11">
        <f t="shared" si="42"/>
        <v>0.10404196801466843</v>
      </c>
    </row>
    <row r="220" spans="1:18" x14ac:dyDescent="0.3">
      <c r="A220" s="7">
        <v>8700001</v>
      </c>
      <c r="B220" s="7">
        <v>8750000</v>
      </c>
      <c r="C220" s="7">
        <v>30000</v>
      </c>
      <c r="E220" s="7">
        <v>0</v>
      </c>
      <c r="F220" s="7">
        <f t="shared" si="43"/>
        <v>875000</v>
      </c>
      <c r="G220" s="13">
        <f t="shared" si="33"/>
        <v>2.1485714285714275E-2</v>
      </c>
      <c r="H220" s="7">
        <f t="shared" si="34"/>
        <v>30000</v>
      </c>
      <c r="I220" s="5">
        <f t="shared" si="35"/>
        <v>217999.99999999991</v>
      </c>
      <c r="L220" s="5">
        <f t="shared" si="36"/>
        <v>9873000</v>
      </c>
      <c r="M220" s="5">
        <f t="shared" si="37"/>
        <v>10503191.489361703</v>
      </c>
      <c r="N220" s="10">
        <f t="shared" si="38"/>
        <v>1180500</v>
      </c>
      <c r="O220" s="11">
        <f t="shared" si="39"/>
        <v>0.11239440899422666</v>
      </c>
      <c r="P220" s="5">
        <f t="shared" si="40"/>
        <v>11348275.862068966</v>
      </c>
      <c r="Q220" s="10">
        <f t="shared" si="41"/>
        <v>1180500</v>
      </c>
      <c r="R220" s="11">
        <f t="shared" si="42"/>
        <v>0.10402461257976299</v>
      </c>
    </row>
    <row r="221" spans="1:18" x14ac:dyDescent="0.3">
      <c r="A221" s="7">
        <v>8750001</v>
      </c>
      <c r="B221" s="7">
        <v>8800000</v>
      </c>
      <c r="C221" s="7">
        <v>30000</v>
      </c>
      <c r="E221" s="7">
        <v>0</v>
      </c>
      <c r="F221" s="7">
        <f t="shared" si="43"/>
        <v>880000</v>
      </c>
      <c r="G221" s="13">
        <f t="shared" si="33"/>
        <v>2.147727272727272E-2</v>
      </c>
      <c r="H221" s="7">
        <f t="shared" si="34"/>
        <v>30000</v>
      </c>
      <c r="I221" s="5">
        <f t="shared" si="35"/>
        <v>218999.99999999994</v>
      </c>
      <c r="L221" s="5">
        <f t="shared" si="36"/>
        <v>9929000</v>
      </c>
      <c r="M221" s="5">
        <f t="shared" si="37"/>
        <v>10562765.95744681</v>
      </c>
      <c r="N221" s="10">
        <f t="shared" si="38"/>
        <v>1187000</v>
      </c>
      <c r="O221" s="11">
        <f t="shared" si="39"/>
        <v>0.11237586866753951</v>
      </c>
      <c r="P221" s="5">
        <f t="shared" si="40"/>
        <v>11412643.678160919</v>
      </c>
      <c r="Q221" s="10">
        <f t="shared" si="41"/>
        <v>1187000</v>
      </c>
      <c r="R221" s="11">
        <f t="shared" si="42"/>
        <v>0.10400745291570149</v>
      </c>
    </row>
    <row r="222" spans="1:18" x14ac:dyDescent="0.3">
      <c r="A222" s="7">
        <v>8800001</v>
      </c>
      <c r="B222" s="7">
        <v>8850000</v>
      </c>
      <c r="C222" s="7">
        <v>30000</v>
      </c>
      <c r="E222" s="7">
        <v>0</v>
      </c>
      <c r="F222" s="7">
        <f t="shared" si="43"/>
        <v>885000</v>
      </c>
      <c r="G222" s="13">
        <f t="shared" si="33"/>
        <v>2.1468926553672302E-2</v>
      </c>
      <c r="H222" s="7">
        <f t="shared" si="34"/>
        <v>30000</v>
      </c>
      <c r="I222" s="5">
        <f t="shared" si="35"/>
        <v>219999.99999999988</v>
      </c>
      <c r="L222" s="5">
        <f t="shared" si="36"/>
        <v>9985000</v>
      </c>
      <c r="M222" s="5">
        <f t="shared" si="37"/>
        <v>10622340.425531916</v>
      </c>
      <c r="N222" s="10">
        <f t="shared" si="38"/>
        <v>1193500</v>
      </c>
      <c r="O222" s="11">
        <f t="shared" si="39"/>
        <v>0.11235753630445668</v>
      </c>
      <c r="P222" s="5">
        <f t="shared" si="40"/>
        <v>11477011.494252874</v>
      </c>
      <c r="Q222" s="10">
        <f t="shared" si="41"/>
        <v>1193500</v>
      </c>
      <c r="R222" s="11">
        <f t="shared" si="42"/>
        <v>0.10399048572859289</v>
      </c>
    </row>
    <row r="223" spans="1:18" x14ac:dyDescent="0.3">
      <c r="A223" s="7">
        <v>8850001</v>
      </c>
      <c r="B223" s="7">
        <v>8900000</v>
      </c>
      <c r="C223" s="7">
        <v>30000</v>
      </c>
      <c r="E223" s="7">
        <v>0</v>
      </c>
      <c r="F223" s="7">
        <f t="shared" si="43"/>
        <v>890000</v>
      </c>
      <c r="G223" s="13">
        <f t="shared" si="33"/>
        <v>2.1460674157303364E-2</v>
      </c>
      <c r="H223" s="7">
        <f t="shared" si="34"/>
        <v>30000</v>
      </c>
      <c r="I223" s="5">
        <f t="shared" si="35"/>
        <v>220999.99999999994</v>
      </c>
      <c r="L223" s="5">
        <f t="shared" si="36"/>
        <v>10041000</v>
      </c>
      <c r="M223" s="5">
        <f t="shared" si="37"/>
        <v>10681914.893617023</v>
      </c>
      <c r="N223" s="10">
        <f t="shared" si="38"/>
        <v>1200000</v>
      </c>
      <c r="O223" s="11">
        <f t="shared" si="39"/>
        <v>0.11233940842545562</v>
      </c>
      <c r="P223" s="5">
        <f t="shared" si="40"/>
        <v>11541379.310344828</v>
      </c>
      <c r="Q223" s="10">
        <f t="shared" si="41"/>
        <v>1200000</v>
      </c>
      <c r="R223" s="11">
        <f t="shared" si="42"/>
        <v>0.10397370779802807</v>
      </c>
    </row>
    <row r="224" spans="1:18" x14ac:dyDescent="0.3">
      <c r="A224" s="7">
        <v>8900001</v>
      </c>
      <c r="B224" s="7">
        <v>8950000</v>
      </c>
      <c r="C224" s="7">
        <v>30000</v>
      </c>
      <c r="E224" s="7">
        <v>0</v>
      </c>
      <c r="F224" s="7">
        <f t="shared" si="43"/>
        <v>895000</v>
      </c>
      <c r="G224" s="13">
        <f t="shared" si="33"/>
        <v>2.1452513966480444E-2</v>
      </c>
      <c r="H224" s="7">
        <f t="shared" si="34"/>
        <v>30000</v>
      </c>
      <c r="I224" s="5">
        <f t="shared" si="35"/>
        <v>221999.99999999997</v>
      </c>
      <c r="L224" s="5">
        <f t="shared" si="36"/>
        <v>10097000</v>
      </c>
      <c r="M224" s="5">
        <f t="shared" si="37"/>
        <v>10741489.361702127</v>
      </c>
      <c r="N224" s="10">
        <f t="shared" si="38"/>
        <v>1206500</v>
      </c>
      <c r="O224" s="11">
        <f t="shared" si="39"/>
        <v>0.1123214816282064</v>
      </c>
      <c r="P224" s="5">
        <f t="shared" si="40"/>
        <v>11605747.126436781</v>
      </c>
      <c r="Q224" s="10">
        <f t="shared" si="41"/>
        <v>1206500</v>
      </c>
      <c r="R224" s="11">
        <f t="shared" si="42"/>
        <v>0.10395711597504209</v>
      </c>
    </row>
    <row r="225" spans="1:18" x14ac:dyDescent="0.3">
      <c r="A225" s="7">
        <v>8950001</v>
      </c>
      <c r="B225" s="7">
        <v>9000000</v>
      </c>
      <c r="C225" s="7">
        <v>30000</v>
      </c>
      <c r="E225" s="7">
        <v>0</v>
      </c>
      <c r="F225" s="7">
        <f t="shared" si="43"/>
        <v>900000</v>
      </c>
      <c r="G225" s="13">
        <f t="shared" si="33"/>
        <v>2.1444444444444433E-2</v>
      </c>
      <c r="H225" s="7">
        <f t="shared" si="34"/>
        <v>30000</v>
      </c>
      <c r="I225" s="5">
        <f t="shared" si="35"/>
        <v>222999.99999999988</v>
      </c>
      <c r="L225" s="5">
        <f t="shared" si="36"/>
        <v>10153000</v>
      </c>
      <c r="M225" s="5">
        <f t="shared" si="37"/>
        <v>10801063.829787234</v>
      </c>
      <c r="N225" s="10">
        <f t="shared" si="38"/>
        <v>1213000</v>
      </c>
      <c r="O225" s="11">
        <f t="shared" si="39"/>
        <v>0.11230375258544273</v>
      </c>
      <c r="P225" s="5">
        <f t="shared" si="40"/>
        <v>11670114.942528736</v>
      </c>
      <c r="Q225" s="10">
        <f t="shared" si="41"/>
        <v>1213000</v>
      </c>
      <c r="R225" s="11">
        <f t="shared" si="42"/>
        <v>0.1039407071801438</v>
      </c>
    </row>
    <row r="226" spans="1:18" x14ac:dyDescent="0.3">
      <c r="A226" s="7">
        <v>9000001</v>
      </c>
      <c r="B226" s="7">
        <v>9050000</v>
      </c>
      <c r="C226" s="7">
        <v>30000</v>
      </c>
      <c r="E226" s="7">
        <v>0</v>
      </c>
      <c r="F226" s="7">
        <f t="shared" si="43"/>
        <v>905000</v>
      </c>
      <c r="G226" s="13">
        <f t="shared" si="33"/>
        <v>2.1436464088397778E-2</v>
      </c>
      <c r="H226" s="7">
        <f t="shared" si="34"/>
        <v>30000</v>
      </c>
      <c r="I226" s="5">
        <f t="shared" si="35"/>
        <v>223999.99999999988</v>
      </c>
      <c r="L226" s="5">
        <f t="shared" si="36"/>
        <v>10209000</v>
      </c>
      <c r="M226" s="5">
        <f t="shared" si="37"/>
        <v>10860638.29787234</v>
      </c>
      <c r="N226" s="10">
        <f t="shared" si="38"/>
        <v>1219500</v>
      </c>
      <c r="O226" s="11">
        <f t="shared" si="39"/>
        <v>0.11228621804290333</v>
      </c>
      <c r="P226" s="5">
        <f t="shared" si="40"/>
        <v>11734482.758620691</v>
      </c>
      <c r="Q226" s="10">
        <f t="shared" si="41"/>
        <v>1219500</v>
      </c>
      <c r="R226" s="11">
        <f t="shared" si="42"/>
        <v>0.10392447840141052</v>
      </c>
    </row>
    <row r="227" spans="1:18" x14ac:dyDescent="0.3">
      <c r="A227" s="7">
        <v>9050001</v>
      </c>
      <c r="B227" s="7">
        <v>9100000</v>
      </c>
      <c r="C227" s="7">
        <v>30000</v>
      </c>
      <c r="E227" s="7">
        <v>0</v>
      </c>
      <c r="F227" s="7">
        <f t="shared" si="43"/>
        <v>910000</v>
      </c>
      <c r="G227" s="13">
        <f t="shared" si="33"/>
        <v>2.1428571428571422E-2</v>
      </c>
      <c r="H227" s="7">
        <f t="shared" si="34"/>
        <v>30000</v>
      </c>
      <c r="I227" s="5">
        <f t="shared" si="35"/>
        <v>224999.99999999994</v>
      </c>
      <c r="L227" s="5">
        <f t="shared" si="36"/>
        <v>10265000</v>
      </c>
      <c r="M227" s="5">
        <f t="shared" si="37"/>
        <v>10920212.765957447</v>
      </c>
      <c r="N227" s="10">
        <f t="shared" si="38"/>
        <v>1226000</v>
      </c>
      <c r="O227" s="11">
        <f t="shared" si="39"/>
        <v>0.11226887481734048</v>
      </c>
      <c r="P227" s="5">
        <f t="shared" si="40"/>
        <v>11798850.574712643</v>
      </c>
      <c r="Q227" s="10">
        <f t="shared" si="41"/>
        <v>1226000</v>
      </c>
      <c r="R227" s="11">
        <f t="shared" si="42"/>
        <v>0.10390842669264491</v>
      </c>
    </row>
    <row r="228" spans="1:18" x14ac:dyDescent="0.3">
      <c r="A228" s="7">
        <v>9100001</v>
      </c>
      <c r="B228" s="7">
        <v>9150000</v>
      </c>
      <c r="C228" s="7">
        <v>30000</v>
      </c>
      <c r="E228" s="7">
        <v>0</v>
      </c>
      <c r="F228" s="7">
        <f t="shared" si="43"/>
        <v>915000</v>
      </c>
      <c r="G228" s="13">
        <f t="shared" si="33"/>
        <v>2.1420765027322389E-2</v>
      </c>
      <c r="H228" s="7">
        <f t="shared" si="34"/>
        <v>30000</v>
      </c>
      <c r="I228" s="5">
        <f t="shared" si="35"/>
        <v>225999.99999999985</v>
      </c>
      <c r="L228" s="5">
        <f t="shared" si="36"/>
        <v>10321000</v>
      </c>
      <c r="M228" s="5">
        <f t="shared" si="37"/>
        <v>10979787.234042553</v>
      </c>
      <c r="N228" s="10">
        <f t="shared" si="38"/>
        <v>1232500</v>
      </c>
      <c r="O228" s="11">
        <f t="shared" si="39"/>
        <v>0.11225171979459354</v>
      </c>
      <c r="P228" s="5">
        <f t="shared" si="40"/>
        <v>11863218.390804598</v>
      </c>
      <c r="Q228" s="10">
        <f t="shared" si="41"/>
        <v>1232500</v>
      </c>
      <c r="R228" s="11">
        <f t="shared" si="42"/>
        <v>0.10389254917159189</v>
      </c>
    </row>
    <row r="229" spans="1:18" x14ac:dyDescent="0.3">
      <c r="A229" s="7">
        <v>9150001</v>
      </c>
      <c r="B229" s="7">
        <v>9200000</v>
      </c>
      <c r="C229" s="7">
        <v>30000</v>
      </c>
      <c r="E229" s="7">
        <v>0</v>
      </c>
      <c r="F229" s="7">
        <f t="shared" si="43"/>
        <v>920000</v>
      </c>
      <c r="G229" s="13">
        <f t="shared" si="33"/>
        <v>2.1413043478260854E-2</v>
      </c>
      <c r="H229" s="7">
        <f t="shared" si="34"/>
        <v>30000</v>
      </c>
      <c r="I229" s="5">
        <f t="shared" si="35"/>
        <v>226999.99999999985</v>
      </c>
      <c r="L229" s="5">
        <f t="shared" si="36"/>
        <v>10377000</v>
      </c>
      <c r="M229" s="5">
        <f t="shared" si="37"/>
        <v>11039361.70212766</v>
      </c>
      <c r="N229" s="10">
        <f t="shared" si="38"/>
        <v>1239000</v>
      </c>
      <c r="O229" s="11">
        <f t="shared" si="39"/>
        <v>0.11223474992772478</v>
      </c>
      <c r="P229" s="5">
        <f t="shared" si="40"/>
        <v>11927586.206896551</v>
      </c>
      <c r="Q229" s="10">
        <f t="shared" si="41"/>
        <v>1239000</v>
      </c>
      <c r="R229" s="11">
        <f t="shared" si="42"/>
        <v>0.10387684301821336</v>
      </c>
    </row>
    <row r="230" spans="1:18" x14ac:dyDescent="0.3">
      <c r="A230" s="7">
        <v>9200001</v>
      </c>
      <c r="B230" s="7">
        <v>9250000</v>
      </c>
      <c r="C230" s="7">
        <v>30000</v>
      </c>
      <c r="E230" s="7">
        <v>0</v>
      </c>
      <c r="F230" s="7">
        <f t="shared" si="43"/>
        <v>925000</v>
      </c>
      <c r="G230" s="13">
        <f t="shared" si="33"/>
        <v>2.1405405405405392E-2</v>
      </c>
      <c r="H230" s="7">
        <f t="shared" si="34"/>
        <v>30000</v>
      </c>
      <c r="I230" s="5">
        <f t="shared" si="35"/>
        <v>227999.99999999988</v>
      </c>
      <c r="L230" s="5">
        <f t="shared" si="36"/>
        <v>10433000</v>
      </c>
      <c r="M230" s="5">
        <f t="shared" si="37"/>
        <v>11098936.170212766</v>
      </c>
      <c r="N230" s="10">
        <f t="shared" si="38"/>
        <v>1245500</v>
      </c>
      <c r="O230" s="11">
        <f t="shared" si="39"/>
        <v>0.11221796223521519</v>
      </c>
      <c r="P230" s="5">
        <f t="shared" si="40"/>
        <v>11991954.022988506</v>
      </c>
      <c r="Q230" s="10">
        <f t="shared" si="41"/>
        <v>1245500</v>
      </c>
      <c r="R230" s="11">
        <f t="shared" si="42"/>
        <v>0.10386130547301831</v>
      </c>
    </row>
    <row r="231" spans="1:18" x14ac:dyDescent="0.3">
      <c r="A231" s="7">
        <v>9250001</v>
      </c>
      <c r="B231" s="7">
        <v>9300000</v>
      </c>
      <c r="C231" s="7">
        <v>30000</v>
      </c>
      <c r="E231" s="7">
        <v>0</v>
      </c>
      <c r="F231" s="7">
        <f t="shared" si="43"/>
        <v>930000</v>
      </c>
      <c r="G231" s="13">
        <f t="shared" si="33"/>
        <v>2.1397849462365587E-2</v>
      </c>
      <c r="H231" s="7">
        <f t="shared" si="34"/>
        <v>30000</v>
      </c>
      <c r="I231" s="5">
        <f t="shared" si="35"/>
        <v>228999.99999999997</v>
      </c>
      <c r="L231" s="5">
        <f t="shared" si="36"/>
        <v>10489000</v>
      </c>
      <c r="M231" s="5">
        <f t="shared" si="37"/>
        <v>11158510.638297873</v>
      </c>
      <c r="N231" s="10">
        <f t="shared" si="38"/>
        <v>1252000</v>
      </c>
      <c r="O231" s="11">
        <f t="shared" si="39"/>
        <v>0.11220135379921822</v>
      </c>
      <c r="P231" s="5">
        <f t="shared" si="40"/>
        <v>12056321.83908046</v>
      </c>
      <c r="Q231" s="10">
        <f t="shared" si="41"/>
        <v>1252000</v>
      </c>
      <c r="R231" s="11">
        <f t="shared" si="42"/>
        <v>0.10384593383544666</v>
      </c>
    </row>
    <row r="232" spans="1:18" x14ac:dyDescent="0.3">
      <c r="A232" s="7">
        <v>9300001</v>
      </c>
      <c r="B232" s="7">
        <v>9350000</v>
      </c>
      <c r="C232" s="7">
        <v>30000</v>
      </c>
      <c r="E232" s="7">
        <v>0</v>
      </c>
      <c r="F232" s="7">
        <f t="shared" si="43"/>
        <v>935000</v>
      </c>
      <c r="G232" s="13">
        <f t="shared" si="33"/>
        <v>2.139037433155079E-2</v>
      </c>
      <c r="H232" s="7">
        <f t="shared" si="34"/>
        <v>30000</v>
      </c>
      <c r="I232" s="5">
        <f t="shared" si="35"/>
        <v>229999.99999999988</v>
      </c>
      <c r="L232" s="5">
        <f t="shared" si="36"/>
        <v>10545000</v>
      </c>
      <c r="M232" s="5">
        <f t="shared" si="37"/>
        <v>11218085.106382979</v>
      </c>
      <c r="N232" s="10">
        <f t="shared" si="38"/>
        <v>1258500</v>
      </c>
      <c r="O232" s="11">
        <f t="shared" si="39"/>
        <v>0.11218492176386913</v>
      </c>
      <c r="P232" s="5">
        <f t="shared" si="40"/>
        <v>12120689.655172413</v>
      </c>
      <c r="Q232" s="10">
        <f t="shared" si="41"/>
        <v>1258500</v>
      </c>
      <c r="R232" s="11">
        <f t="shared" si="42"/>
        <v>0.10383072546230442</v>
      </c>
    </row>
    <row r="233" spans="1:18" x14ac:dyDescent="0.3">
      <c r="A233" s="7">
        <v>9350001</v>
      </c>
      <c r="B233" s="7">
        <v>9400000</v>
      </c>
      <c r="C233" s="7">
        <v>30000</v>
      </c>
      <c r="E233" s="7">
        <v>0</v>
      </c>
      <c r="F233" s="7">
        <f t="shared" si="43"/>
        <v>940000</v>
      </c>
      <c r="G233" s="13">
        <f t="shared" si="33"/>
        <v>2.138297872340425E-2</v>
      </c>
      <c r="H233" s="7">
        <f t="shared" si="34"/>
        <v>30000</v>
      </c>
      <c r="I233" s="5">
        <f t="shared" si="35"/>
        <v>230999.99999999994</v>
      </c>
      <c r="L233" s="5">
        <f t="shared" si="36"/>
        <v>10601000</v>
      </c>
      <c r="M233" s="5">
        <f t="shared" si="37"/>
        <v>11277659.574468086</v>
      </c>
      <c r="N233" s="10">
        <f t="shared" si="38"/>
        <v>1265000</v>
      </c>
      <c r="O233" s="11">
        <f t="shared" si="39"/>
        <v>0.11216866333364776</v>
      </c>
      <c r="P233" s="5">
        <f t="shared" si="40"/>
        <v>12185057.471264368</v>
      </c>
      <c r="Q233" s="10">
        <f t="shared" si="41"/>
        <v>1265000</v>
      </c>
      <c r="R233" s="11">
        <f t="shared" si="42"/>
        <v>0.10381567776624846</v>
      </c>
    </row>
    <row r="234" spans="1:18" x14ac:dyDescent="0.3">
      <c r="A234" s="7">
        <v>9400001</v>
      </c>
      <c r="B234" s="7">
        <v>9450000</v>
      </c>
      <c r="C234" s="7">
        <v>30000</v>
      </c>
      <c r="E234" s="7">
        <v>0</v>
      </c>
      <c r="F234" s="7">
        <f t="shared" si="43"/>
        <v>945000</v>
      </c>
      <c r="G234" s="13">
        <f t="shared" si="33"/>
        <v>2.1375661375661367E-2</v>
      </c>
      <c r="H234" s="7">
        <f t="shared" si="34"/>
        <v>30000</v>
      </c>
      <c r="I234" s="5">
        <f t="shared" si="35"/>
        <v>231999.99999999991</v>
      </c>
      <c r="L234" s="5">
        <f t="shared" si="36"/>
        <v>10657000</v>
      </c>
      <c r="M234" s="5">
        <f t="shared" si="37"/>
        <v>11337234.042553192</v>
      </c>
      <c r="N234" s="10">
        <f t="shared" si="38"/>
        <v>1271500</v>
      </c>
      <c r="O234" s="11">
        <f t="shared" si="39"/>
        <v>0.11215257577179319</v>
      </c>
      <c r="P234" s="5">
        <f t="shared" si="40"/>
        <v>12249425.287356323</v>
      </c>
      <c r="Q234" s="10">
        <f t="shared" si="41"/>
        <v>1271500</v>
      </c>
      <c r="R234" s="11">
        <f t="shared" si="42"/>
        <v>0.10380078821431922</v>
      </c>
    </row>
    <row r="235" spans="1:18" x14ac:dyDescent="0.3">
      <c r="A235" s="7">
        <v>9450001</v>
      </c>
      <c r="B235" s="7">
        <v>9500000</v>
      </c>
      <c r="C235" s="7">
        <v>30000</v>
      </c>
      <c r="E235" s="7">
        <v>0</v>
      </c>
      <c r="F235" s="7">
        <f t="shared" si="43"/>
        <v>950000</v>
      </c>
      <c r="G235" s="13">
        <f t="shared" si="33"/>
        <v>2.1368421052631564E-2</v>
      </c>
      <c r="H235" s="7">
        <f t="shared" si="34"/>
        <v>30000</v>
      </c>
      <c r="I235" s="5">
        <f t="shared" si="35"/>
        <v>232999.99999999985</v>
      </c>
      <c r="L235" s="5">
        <f t="shared" si="36"/>
        <v>10713000</v>
      </c>
      <c r="M235" s="5">
        <f t="shared" si="37"/>
        <v>11396808.510638298</v>
      </c>
      <c r="N235" s="10">
        <f t="shared" si="38"/>
        <v>1278000</v>
      </c>
      <c r="O235" s="11">
        <f t="shared" si="39"/>
        <v>0.11213665639876784</v>
      </c>
      <c r="P235" s="5">
        <f t="shared" si="40"/>
        <v>12313793.103448275</v>
      </c>
      <c r="Q235" s="10">
        <f t="shared" si="41"/>
        <v>1278000</v>
      </c>
      <c r="R235" s="11">
        <f t="shared" si="42"/>
        <v>0.10378605432651919</v>
      </c>
    </row>
    <row r="236" spans="1:18" x14ac:dyDescent="0.3">
      <c r="A236" s="7">
        <v>9500001</v>
      </c>
      <c r="B236" s="7">
        <v>9550000</v>
      </c>
      <c r="C236" s="7">
        <v>30000</v>
      </c>
      <c r="E236" s="7">
        <v>0</v>
      </c>
      <c r="F236" s="7">
        <f t="shared" si="43"/>
        <v>955000</v>
      </c>
      <c r="G236" s="13">
        <f t="shared" si="33"/>
        <v>2.1361256544502605E-2</v>
      </c>
      <c r="H236" s="7">
        <f t="shared" si="34"/>
        <v>30000</v>
      </c>
      <c r="I236" s="5">
        <f t="shared" si="35"/>
        <v>233999.99999999988</v>
      </c>
      <c r="L236" s="5">
        <f t="shared" si="36"/>
        <v>10769000</v>
      </c>
      <c r="M236" s="5">
        <f t="shared" si="37"/>
        <v>11456382.978723405</v>
      </c>
      <c r="N236" s="10">
        <f t="shared" si="38"/>
        <v>1284500</v>
      </c>
      <c r="O236" s="11">
        <f t="shared" si="39"/>
        <v>0.11212090259076979</v>
      </c>
      <c r="P236" s="5">
        <f t="shared" si="40"/>
        <v>12378160.91954023</v>
      </c>
      <c r="Q236" s="10">
        <f t="shared" si="41"/>
        <v>1284500</v>
      </c>
      <c r="R236" s="11">
        <f t="shared" si="42"/>
        <v>0.10377147367443589</v>
      </c>
    </row>
    <row r="237" spans="1:18" x14ac:dyDescent="0.3">
      <c r="A237" s="7">
        <v>9550001</v>
      </c>
      <c r="B237" s="7">
        <v>9600000</v>
      </c>
      <c r="C237" s="7">
        <v>30000</v>
      </c>
      <c r="E237" s="7">
        <v>0</v>
      </c>
      <c r="F237" s="7">
        <f t="shared" si="43"/>
        <v>960000</v>
      </c>
      <c r="G237" s="13">
        <f t="shared" si="33"/>
        <v>2.135416666666666E-2</v>
      </c>
      <c r="H237" s="7">
        <f t="shared" si="34"/>
        <v>30000</v>
      </c>
      <c r="I237" s="5">
        <f t="shared" si="35"/>
        <v>234999.99999999994</v>
      </c>
      <c r="L237" s="5">
        <f t="shared" si="36"/>
        <v>10825000</v>
      </c>
      <c r="M237" s="5">
        <f t="shared" si="37"/>
        <v>11515957.446808511</v>
      </c>
      <c r="N237" s="10">
        <f t="shared" si="38"/>
        <v>1291000</v>
      </c>
      <c r="O237" s="11">
        <f t="shared" si="39"/>
        <v>0.11210531177829099</v>
      </c>
      <c r="P237" s="5">
        <f t="shared" si="40"/>
        <v>12442528.735632185</v>
      </c>
      <c r="Q237" s="10">
        <f t="shared" si="41"/>
        <v>1291000</v>
      </c>
      <c r="R237" s="11">
        <f t="shared" si="42"/>
        <v>0.10375704387990761</v>
      </c>
    </row>
    <row r="238" spans="1:18" x14ac:dyDescent="0.3">
      <c r="A238" s="7">
        <v>9600001</v>
      </c>
      <c r="B238" s="7">
        <v>9650000</v>
      </c>
      <c r="C238" s="7">
        <v>30000</v>
      </c>
      <c r="E238" s="7">
        <v>0</v>
      </c>
      <c r="F238" s="7">
        <f t="shared" si="43"/>
        <v>965000</v>
      </c>
      <c r="G238" s="13">
        <f t="shared" si="33"/>
        <v>2.1347150259067346E-2</v>
      </c>
      <c r="H238" s="7">
        <f t="shared" si="34"/>
        <v>30000</v>
      </c>
      <c r="I238" s="5">
        <f t="shared" si="35"/>
        <v>235999.99999999988</v>
      </c>
      <c r="L238" s="5">
        <f t="shared" si="36"/>
        <v>10881000</v>
      </c>
      <c r="M238" s="5">
        <f t="shared" si="37"/>
        <v>11575531.914893618</v>
      </c>
      <c r="N238" s="10">
        <f t="shared" si="38"/>
        <v>1297500</v>
      </c>
      <c r="O238" s="11">
        <f t="shared" si="39"/>
        <v>0.11208988144472015</v>
      </c>
      <c r="P238" s="5">
        <f t="shared" si="40"/>
        <v>12506896.551724138</v>
      </c>
      <c r="Q238" s="10">
        <f t="shared" si="41"/>
        <v>1297500</v>
      </c>
      <c r="R238" s="11">
        <f t="shared" si="42"/>
        <v>0.10374276261373036</v>
      </c>
    </row>
    <row r="239" spans="1:18" x14ac:dyDescent="0.3">
      <c r="A239" s="7">
        <v>9650001</v>
      </c>
      <c r="B239" s="7">
        <v>9700000</v>
      </c>
      <c r="C239" s="7">
        <v>30000</v>
      </c>
      <c r="E239" s="7">
        <v>0</v>
      </c>
      <c r="F239" s="7">
        <f t="shared" si="43"/>
        <v>970000</v>
      </c>
      <c r="G239" s="13">
        <f t="shared" si="33"/>
        <v>2.1340206185567007E-2</v>
      </c>
      <c r="H239" s="7">
        <f t="shared" si="34"/>
        <v>30000</v>
      </c>
      <c r="I239" s="5">
        <f t="shared" si="35"/>
        <v>236999.99999999997</v>
      </c>
      <c r="L239" s="5">
        <f t="shared" si="36"/>
        <v>10937000</v>
      </c>
      <c r="M239" s="5">
        <f t="shared" si="37"/>
        <v>11635106.382978724</v>
      </c>
      <c r="N239" s="10">
        <f t="shared" si="38"/>
        <v>1304000</v>
      </c>
      <c r="O239" s="11">
        <f t="shared" si="39"/>
        <v>0.11207460912498857</v>
      </c>
      <c r="P239" s="5">
        <f t="shared" si="40"/>
        <v>12571264.367816092</v>
      </c>
      <c r="Q239" s="10">
        <f t="shared" si="41"/>
        <v>1304000</v>
      </c>
      <c r="R239" s="11">
        <f t="shared" si="42"/>
        <v>0.10372862759440431</v>
      </c>
    </row>
    <row r="240" spans="1:18" x14ac:dyDescent="0.3">
      <c r="A240" s="7">
        <v>9700001</v>
      </c>
      <c r="B240" s="7">
        <v>9750000</v>
      </c>
      <c r="C240" s="7">
        <v>30000</v>
      </c>
      <c r="E240" s="7">
        <v>0</v>
      </c>
      <c r="F240" s="7">
        <f t="shared" si="43"/>
        <v>975000</v>
      </c>
      <c r="G240" s="13">
        <f t="shared" si="33"/>
        <v>2.1333333333333329E-2</v>
      </c>
      <c r="H240" s="7">
        <f t="shared" si="34"/>
        <v>30000</v>
      </c>
      <c r="I240" s="5">
        <f t="shared" si="35"/>
        <v>237999.99999999997</v>
      </c>
      <c r="L240" s="5">
        <f t="shared" si="36"/>
        <v>10993000</v>
      </c>
      <c r="M240" s="5">
        <f t="shared" si="37"/>
        <v>11694680.851063831</v>
      </c>
      <c r="N240" s="10">
        <f t="shared" si="38"/>
        <v>1310500</v>
      </c>
      <c r="O240" s="11">
        <f t="shared" si="39"/>
        <v>0.11205949240425725</v>
      </c>
      <c r="P240" s="5">
        <f t="shared" si="40"/>
        <v>12635632.183908045</v>
      </c>
      <c r="Q240" s="10">
        <f t="shared" si="41"/>
        <v>1310500</v>
      </c>
      <c r="R240" s="11">
        <f t="shared" si="42"/>
        <v>0.10371463658691896</v>
      </c>
    </row>
    <row r="241" spans="1:18" x14ac:dyDescent="0.3">
      <c r="A241" s="7">
        <v>9750001</v>
      </c>
      <c r="B241" s="7">
        <v>9800000</v>
      </c>
      <c r="C241" s="7">
        <v>30000</v>
      </c>
      <c r="E241" s="7">
        <v>0</v>
      </c>
      <c r="F241" s="7">
        <f t="shared" si="43"/>
        <v>980000</v>
      </c>
      <c r="G241" s="13">
        <f t="shared" si="33"/>
        <v>2.132653061224489E-2</v>
      </c>
      <c r="H241" s="7">
        <f t="shared" si="34"/>
        <v>30000</v>
      </c>
      <c r="I241" s="5">
        <f t="shared" si="35"/>
        <v>238999.99999999991</v>
      </c>
      <c r="L241" s="5">
        <f t="shared" si="36"/>
        <v>11049000</v>
      </c>
      <c r="M241" s="5">
        <f t="shared" si="37"/>
        <v>11754255.319148937</v>
      </c>
      <c r="N241" s="10">
        <f t="shared" si="38"/>
        <v>1317000</v>
      </c>
      <c r="O241" s="11">
        <f t="shared" si="39"/>
        <v>0.11204452891664403</v>
      </c>
      <c r="P241" s="5">
        <f t="shared" si="40"/>
        <v>12700000</v>
      </c>
      <c r="Q241" s="10">
        <f t="shared" si="41"/>
        <v>1317000</v>
      </c>
      <c r="R241" s="11">
        <f t="shared" si="42"/>
        <v>0.1037007874015748</v>
      </c>
    </row>
    <row r="242" spans="1:18" x14ac:dyDescent="0.3">
      <c r="A242" s="7">
        <v>9800001</v>
      </c>
      <c r="B242" s="7">
        <v>9850000</v>
      </c>
      <c r="C242" s="7">
        <v>30000</v>
      </c>
      <c r="E242" s="7">
        <v>0</v>
      </c>
      <c r="F242" s="7">
        <f t="shared" si="43"/>
        <v>985000</v>
      </c>
      <c r="G242" s="13">
        <f t="shared" si="33"/>
        <v>2.1319796954314713E-2</v>
      </c>
      <c r="H242" s="7">
        <f t="shared" si="34"/>
        <v>30000</v>
      </c>
      <c r="I242" s="5">
        <f t="shared" si="35"/>
        <v>239999.99999999991</v>
      </c>
      <c r="L242" s="5">
        <f t="shared" si="36"/>
        <v>11105000</v>
      </c>
      <c r="M242" s="5">
        <f t="shared" si="37"/>
        <v>11813829.787234044</v>
      </c>
      <c r="N242" s="10">
        <f t="shared" si="38"/>
        <v>1323500</v>
      </c>
      <c r="O242" s="11">
        <f t="shared" si="39"/>
        <v>0.11202971634398919</v>
      </c>
      <c r="P242" s="5">
        <f t="shared" si="40"/>
        <v>12764367.816091955</v>
      </c>
      <c r="Q242" s="10">
        <f t="shared" si="41"/>
        <v>1323500</v>
      </c>
      <c r="R242" s="11">
        <f t="shared" si="42"/>
        <v>0.10368707789284105</v>
      </c>
    </row>
    <row r="243" spans="1:18" x14ac:dyDescent="0.3">
      <c r="A243" s="7">
        <v>9850001</v>
      </c>
      <c r="B243" s="7">
        <v>9900000</v>
      </c>
      <c r="C243" s="7">
        <v>30000</v>
      </c>
      <c r="E243" s="7">
        <v>0</v>
      </c>
      <c r="F243" s="7">
        <f t="shared" si="43"/>
        <v>990000</v>
      </c>
      <c r="G243" s="13">
        <f t="shared" si="33"/>
        <v>2.1313131313131298E-2</v>
      </c>
      <c r="H243" s="7">
        <f t="shared" si="34"/>
        <v>30000</v>
      </c>
      <c r="I243" s="5">
        <f t="shared" si="35"/>
        <v>240999.99999999985</v>
      </c>
      <c r="L243" s="5">
        <f t="shared" si="36"/>
        <v>11161000</v>
      </c>
      <c r="M243" s="5">
        <f t="shared" si="37"/>
        <v>11873404.25531915</v>
      </c>
      <c r="N243" s="10">
        <f t="shared" si="38"/>
        <v>1330000</v>
      </c>
      <c r="O243" s="11">
        <f t="shared" si="39"/>
        <v>0.11201505241465817</v>
      </c>
      <c r="P243" s="5">
        <f t="shared" si="40"/>
        <v>12828735.632183908</v>
      </c>
      <c r="Q243" s="10">
        <f t="shared" si="41"/>
        <v>1330000</v>
      </c>
      <c r="R243" s="11">
        <f t="shared" si="42"/>
        <v>0.10367350595824747</v>
      </c>
    </row>
    <row r="244" spans="1:18" x14ac:dyDescent="0.3">
      <c r="A244" s="7">
        <v>9900001</v>
      </c>
      <c r="B244" s="7">
        <v>9950000</v>
      </c>
      <c r="C244" s="7">
        <v>30000</v>
      </c>
      <c r="E244" s="7">
        <v>0</v>
      </c>
      <c r="F244" s="7">
        <f t="shared" si="43"/>
        <v>995000</v>
      </c>
      <c r="G244" s="13">
        <f t="shared" si="33"/>
        <v>2.1306532663316571E-2</v>
      </c>
      <c r="H244" s="7">
        <f t="shared" si="34"/>
        <v>30000</v>
      </c>
      <c r="I244" s="5">
        <f t="shared" si="35"/>
        <v>241999.99999999988</v>
      </c>
      <c r="L244" s="5">
        <f t="shared" si="36"/>
        <v>11217000</v>
      </c>
      <c r="M244" s="5">
        <f t="shared" si="37"/>
        <v>11932978.723404257</v>
      </c>
      <c r="N244" s="10">
        <f t="shared" si="38"/>
        <v>1336500</v>
      </c>
      <c r="O244" s="11">
        <f t="shared" si="39"/>
        <v>0.11200053490238031</v>
      </c>
      <c r="P244" s="5">
        <f t="shared" si="40"/>
        <v>12893103.448275862</v>
      </c>
      <c r="Q244" s="10">
        <f t="shared" si="41"/>
        <v>1336500</v>
      </c>
      <c r="R244" s="11">
        <f t="shared" si="42"/>
        <v>0.10366006953730944</v>
      </c>
    </row>
    <row r="245" spans="1:18" x14ac:dyDescent="0.3">
      <c r="A245" s="7">
        <v>9950001</v>
      </c>
      <c r="B245" s="7">
        <v>10000000</v>
      </c>
      <c r="C245" s="7">
        <v>30000</v>
      </c>
      <c r="E245" s="7">
        <v>0</v>
      </c>
      <c r="F245" s="7">
        <f t="shared" si="43"/>
        <v>1000000</v>
      </c>
      <c r="G245" s="13">
        <f t="shared" si="33"/>
        <v>2.1299999999999986E-2</v>
      </c>
      <c r="H245" s="7">
        <f t="shared" si="34"/>
        <v>30000</v>
      </c>
      <c r="I245" s="5">
        <f t="shared" si="35"/>
        <v>242999.99999999985</v>
      </c>
      <c r="L245" s="5">
        <f t="shared" si="36"/>
        <v>11273000</v>
      </c>
      <c r="M245" s="5">
        <f t="shared" si="37"/>
        <v>11992553.191489363</v>
      </c>
      <c r="N245" s="10">
        <f t="shared" si="38"/>
        <v>1343000</v>
      </c>
      <c r="O245" s="11">
        <f t="shared" si="39"/>
        <v>0.11198616162512195</v>
      </c>
      <c r="P245" s="5">
        <f t="shared" si="40"/>
        <v>12957471.264367817</v>
      </c>
      <c r="Q245" s="10">
        <f t="shared" si="41"/>
        <v>1343000</v>
      </c>
      <c r="R245" s="11">
        <f t="shared" si="42"/>
        <v>0.10364676661048522</v>
      </c>
    </row>
    <row r="246" spans="1:18" x14ac:dyDescent="0.3">
      <c r="A246" s="7">
        <v>10000001</v>
      </c>
      <c r="B246" s="7">
        <v>10050000</v>
      </c>
      <c r="C246" s="7">
        <v>30000</v>
      </c>
      <c r="E246" s="7">
        <v>0</v>
      </c>
      <c r="F246" s="7">
        <f t="shared" si="43"/>
        <v>1005000</v>
      </c>
      <c r="G246" s="13">
        <f t="shared" si="33"/>
        <v>2.1293532338308441E-2</v>
      </c>
      <c r="H246" s="7">
        <f t="shared" si="34"/>
        <v>30000</v>
      </c>
      <c r="I246" s="5">
        <f t="shared" si="35"/>
        <v>243999.99999999983</v>
      </c>
      <c r="L246" s="5">
        <f t="shared" si="36"/>
        <v>11329000</v>
      </c>
      <c r="M246" s="5">
        <f t="shared" si="37"/>
        <v>12052127.65957447</v>
      </c>
      <c r="N246" s="10">
        <f t="shared" si="38"/>
        <v>1349500</v>
      </c>
      <c r="O246" s="11">
        <f t="shared" si="39"/>
        <v>0.11197193044399328</v>
      </c>
      <c r="P246" s="5">
        <f t="shared" si="40"/>
        <v>13021839.08045977</v>
      </c>
      <c r="Q246" s="10">
        <f t="shared" si="41"/>
        <v>1349500</v>
      </c>
      <c r="R246" s="11">
        <f t="shared" si="42"/>
        <v>0.10363359519816401</v>
      </c>
    </row>
    <row r="247" spans="1:18" x14ac:dyDescent="0.3">
      <c r="A247" s="7">
        <v>10050001</v>
      </c>
      <c r="B247" s="7">
        <v>10100000</v>
      </c>
      <c r="C247" s="7">
        <v>30000</v>
      </c>
      <c r="E247" s="7">
        <v>0</v>
      </c>
      <c r="F247" s="7">
        <f t="shared" si="43"/>
        <v>1010000</v>
      </c>
      <c r="G247" s="13">
        <f t="shared" si="33"/>
        <v>2.1287128712871278E-2</v>
      </c>
      <c r="H247" s="7">
        <f t="shared" si="34"/>
        <v>30000</v>
      </c>
      <c r="I247" s="5">
        <f t="shared" si="35"/>
        <v>244999.99999999991</v>
      </c>
      <c r="L247" s="5">
        <f t="shared" si="36"/>
        <v>11385000</v>
      </c>
      <c r="M247" s="5">
        <f t="shared" si="37"/>
        <v>12111702.127659576</v>
      </c>
      <c r="N247" s="10">
        <f t="shared" si="38"/>
        <v>1356000</v>
      </c>
      <c r="O247" s="11">
        <f t="shared" si="39"/>
        <v>0.11195783926218707</v>
      </c>
      <c r="P247" s="5">
        <f t="shared" si="40"/>
        <v>13086206.896551725</v>
      </c>
      <c r="Q247" s="10">
        <f t="shared" si="41"/>
        <v>1356000</v>
      </c>
      <c r="R247" s="11">
        <f t="shared" si="42"/>
        <v>0.10362055335968379</v>
      </c>
    </row>
    <row r="248" spans="1:18" x14ac:dyDescent="0.3">
      <c r="A248" s="7">
        <v>10100001</v>
      </c>
      <c r="B248" s="7">
        <v>10150000</v>
      </c>
      <c r="C248" s="7">
        <v>30000</v>
      </c>
      <c r="E248" s="7">
        <v>0</v>
      </c>
      <c r="F248" s="7">
        <f t="shared" si="43"/>
        <v>1015000</v>
      </c>
      <c r="G248" s="13">
        <f t="shared" si="33"/>
        <v>2.1280788177339888E-2</v>
      </c>
      <c r="H248" s="7">
        <f t="shared" si="34"/>
        <v>30000</v>
      </c>
      <c r="I248" s="5">
        <f t="shared" si="35"/>
        <v>245999.99999999985</v>
      </c>
      <c r="L248" s="5">
        <f t="shared" si="36"/>
        <v>11441000</v>
      </c>
      <c r="M248" s="5">
        <f t="shared" si="37"/>
        <v>12171276.595744681</v>
      </c>
      <c r="N248" s="10">
        <f t="shared" si="38"/>
        <v>1362500</v>
      </c>
      <c r="O248" s="11">
        <f t="shared" si="39"/>
        <v>0.11194388602394896</v>
      </c>
      <c r="P248" s="5">
        <f t="shared" si="40"/>
        <v>13150574.712643677</v>
      </c>
      <c r="Q248" s="10">
        <f t="shared" si="41"/>
        <v>1362500</v>
      </c>
      <c r="R248" s="11">
        <f t="shared" si="42"/>
        <v>0.1036076391923783</v>
      </c>
    </row>
    <row r="249" spans="1:18" x14ac:dyDescent="0.3">
      <c r="A249" s="7">
        <v>10150001</v>
      </c>
      <c r="B249" s="7">
        <v>10200000</v>
      </c>
      <c r="C249" s="7">
        <v>30000</v>
      </c>
      <c r="E249" s="7">
        <v>0</v>
      </c>
      <c r="F249" s="7">
        <f t="shared" si="43"/>
        <v>1020000</v>
      </c>
      <c r="G249" s="13">
        <f t="shared" si="33"/>
        <v>2.1274509803921565E-2</v>
      </c>
      <c r="H249" s="7">
        <f t="shared" si="34"/>
        <v>30000</v>
      </c>
      <c r="I249" s="5">
        <f t="shared" si="35"/>
        <v>246999.99999999997</v>
      </c>
      <c r="L249" s="5">
        <f t="shared" si="36"/>
        <v>11497000</v>
      </c>
      <c r="M249" s="5">
        <f t="shared" si="37"/>
        <v>12230851.063829787</v>
      </c>
      <c r="N249" s="10">
        <f t="shared" si="38"/>
        <v>1369000</v>
      </c>
      <c r="O249" s="11">
        <f t="shared" si="39"/>
        <v>0.11193006871357745</v>
      </c>
      <c r="P249" s="5">
        <f t="shared" si="40"/>
        <v>13214942.528735632</v>
      </c>
      <c r="Q249" s="10">
        <f t="shared" si="41"/>
        <v>1369000</v>
      </c>
      <c r="R249" s="11">
        <f t="shared" si="42"/>
        <v>0.10359485083065148</v>
      </c>
    </row>
    <row r="250" spans="1:18" x14ac:dyDescent="0.3">
      <c r="A250" s="7">
        <v>10200001</v>
      </c>
      <c r="B250" s="7">
        <v>10250000</v>
      </c>
      <c r="C250" s="7">
        <v>30000</v>
      </c>
      <c r="E250" s="7">
        <v>0</v>
      </c>
      <c r="F250" s="7">
        <f t="shared" si="43"/>
        <v>1025000</v>
      </c>
      <c r="G250" s="13">
        <f t="shared" si="33"/>
        <v>2.126829268292682E-2</v>
      </c>
      <c r="H250" s="7">
        <f t="shared" si="34"/>
        <v>30000</v>
      </c>
      <c r="I250" s="5">
        <f t="shared" si="35"/>
        <v>247999.99999999991</v>
      </c>
      <c r="L250" s="5">
        <f t="shared" si="36"/>
        <v>11553000</v>
      </c>
      <c r="M250" s="5">
        <f t="shared" si="37"/>
        <v>12290425.531914894</v>
      </c>
      <c r="N250" s="10">
        <f t="shared" si="38"/>
        <v>1375500</v>
      </c>
      <c r="O250" s="11">
        <f t="shared" si="39"/>
        <v>0.11191638535445339</v>
      </c>
      <c r="P250" s="5">
        <f t="shared" si="40"/>
        <v>13279310.344827587</v>
      </c>
      <c r="Q250" s="10">
        <f t="shared" si="41"/>
        <v>1375500</v>
      </c>
      <c r="R250" s="11">
        <f t="shared" si="42"/>
        <v>0.1035821864450792</v>
      </c>
    </row>
    <row r="251" spans="1:18" x14ac:dyDescent="0.3">
      <c r="A251" s="7">
        <v>10250001</v>
      </c>
      <c r="B251" s="7">
        <v>10300000</v>
      </c>
      <c r="C251" s="7">
        <v>30000</v>
      </c>
      <c r="E251" s="7">
        <v>0</v>
      </c>
      <c r="F251" s="7">
        <f t="shared" si="43"/>
        <v>1030000</v>
      </c>
      <c r="G251" s="13">
        <f t="shared" si="33"/>
        <v>2.1262135922330089E-2</v>
      </c>
      <c r="H251" s="7">
        <f t="shared" si="34"/>
        <v>30000</v>
      </c>
      <c r="I251" s="5">
        <f t="shared" si="35"/>
        <v>248999.99999999991</v>
      </c>
      <c r="L251" s="5">
        <f t="shared" si="36"/>
        <v>11609000</v>
      </c>
      <c r="M251" s="5">
        <f t="shared" si="37"/>
        <v>12350000</v>
      </c>
      <c r="N251" s="10">
        <f t="shared" si="38"/>
        <v>1382000</v>
      </c>
      <c r="O251" s="11">
        <f t="shared" si="39"/>
        <v>0.11190283400809717</v>
      </c>
      <c r="P251" s="5">
        <f t="shared" si="40"/>
        <v>13343678.16091954</v>
      </c>
      <c r="Q251" s="10">
        <f t="shared" si="41"/>
        <v>1382000</v>
      </c>
      <c r="R251" s="11">
        <f t="shared" si="42"/>
        <v>0.10356964424153674</v>
      </c>
    </row>
    <row r="252" spans="1:18" x14ac:dyDescent="0.3">
      <c r="A252" s="7">
        <v>10300001</v>
      </c>
      <c r="B252" s="7">
        <v>10350000</v>
      </c>
      <c r="C252" s="7">
        <v>30000</v>
      </c>
      <c r="E252" s="7">
        <v>0</v>
      </c>
      <c r="F252" s="7">
        <f t="shared" si="43"/>
        <v>1035000</v>
      </c>
      <c r="G252" s="13">
        <f t="shared" si="33"/>
        <v>2.125603864734299E-2</v>
      </c>
      <c r="H252" s="7">
        <f t="shared" si="34"/>
        <v>30000</v>
      </c>
      <c r="I252" s="5">
        <f t="shared" si="35"/>
        <v>249999.99999999994</v>
      </c>
      <c r="L252" s="5">
        <f t="shared" si="36"/>
        <v>11665000</v>
      </c>
      <c r="M252" s="5">
        <f t="shared" si="37"/>
        <v>12409574.468085106</v>
      </c>
      <c r="N252" s="10">
        <f t="shared" si="38"/>
        <v>1388500</v>
      </c>
      <c r="O252" s="11">
        <f t="shared" si="39"/>
        <v>0.11188941277325332</v>
      </c>
      <c r="P252" s="5">
        <f t="shared" si="40"/>
        <v>13408045.977011494</v>
      </c>
      <c r="Q252" s="10">
        <f t="shared" si="41"/>
        <v>1388500</v>
      </c>
      <c r="R252" s="11">
        <f t="shared" si="42"/>
        <v>0.10355722246035148</v>
      </c>
    </row>
    <row r="253" spans="1:18" x14ac:dyDescent="0.3">
      <c r="A253" s="7">
        <v>10350001</v>
      </c>
      <c r="B253" s="7">
        <v>10400000</v>
      </c>
      <c r="C253" s="7">
        <v>30000</v>
      </c>
      <c r="E253" s="7">
        <v>0</v>
      </c>
      <c r="F253" s="7">
        <f t="shared" si="43"/>
        <v>1040000</v>
      </c>
      <c r="G253" s="13">
        <f t="shared" si="33"/>
        <v>2.1249999999999991E-2</v>
      </c>
      <c r="H253" s="7">
        <f t="shared" si="34"/>
        <v>30000</v>
      </c>
      <c r="I253" s="5">
        <f t="shared" si="35"/>
        <v>250999.99999999991</v>
      </c>
      <c r="L253" s="5">
        <f t="shared" si="36"/>
        <v>11721000</v>
      </c>
      <c r="M253" s="5">
        <f t="shared" si="37"/>
        <v>12469148.936170213</v>
      </c>
      <c r="N253" s="10">
        <f t="shared" si="38"/>
        <v>1395000</v>
      </c>
      <c r="O253" s="11">
        <f t="shared" si="39"/>
        <v>0.11187611978500128</v>
      </c>
      <c r="P253" s="5">
        <f t="shared" si="40"/>
        <v>13472413.793103449</v>
      </c>
      <c r="Q253" s="10">
        <f t="shared" si="41"/>
        <v>1395000</v>
      </c>
      <c r="R253" s="11">
        <f t="shared" si="42"/>
        <v>0.1035449193754799</v>
      </c>
    </row>
    <row r="254" spans="1:18" x14ac:dyDescent="0.3">
      <c r="A254" s="7">
        <v>10400001</v>
      </c>
      <c r="B254" s="7">
        <v>10450000</v>
      </c>
      <c r="C254" s="7">
        <v>30000</v>
      </c>
      <c r="E254" s="7">
        <v>0</v>
      </c>
      <c r="F254" s="7">
        <f t="shared" si="43"/>
        <v>1045000</v>
      </c>
      <c r="G254" s="13">
        <f t="shared" si="33"/>
        <v>2.1244019138755968E-2</v>
      </c>
      <c r="H254" s="7">
        <f t="shared" si="34"/>
        <v>30000</v>
      </c>
      <c r="I254" s="5">
        <f t="shared" si="35"/>
        <v>251999.99999999985</v>
      </c>
      <c r="L254" s="5">
        <f t="shared" si="36"/>
        <v>11777000</v>
      </c>
      <c r="M254" s="5">
        <f t="shared" si="37"/>
        <v>12528723.404255319</v>
      </c>
      <c r="N254" s="10">
        <f t="shared" si="38"/>
        <v>1401500</v>
      </c>
      <c r="O254" s="11">
        <f t="shared" si="39"/>
        <v>0.11186295321389148</v>
      </c>
      <c r="P254" s="5">
        <f t="shared" si="40"/>
        <v>13536781.609195402</v>
      </c>
      <c r="Q254" s="10">
        <f t="shared" si="41"/>
        <v>1401500</v>
      </c>
      <c r="R254" s="11">
        <f t="shared" si="42"/>
        <v>0.10353273329370807</v>
      </c>
    </row>
    <row r="255" spans="1:18" x14ac:dyDescent="0.3">
      <c r="A255" s="7">
        <v>10450001</v>
      </c>
      <c r="B255" s="7">
        <v>10500000</v>
      </c>
      <c r="C255" s="7">
        <v>30000</v>
      </c>
      <c r="E255" s="7">
        <v>0</v>
      </c>
      <c r="F255" s="7">
        <f t="shared" si="43"/>
        <v>1050000</v>
      </c>
      <c r="G255" s="13">
        <f t="shared" si="33"/>
        <v>2.1238095238095223E-2</v>
      </c>
      <c r="H255" s="7">
        <f t="shared" si="34"/>
        <v>30000</v>
      </c>
      <c r="I255" s="5">
        <f t="shared" si="35"/>
        <v>252999.99999999983</v>
      </c>
      <c r="L255" s="5">
        <f t="shared" si="36"/>
        <v>11833000</v>
      </c>
      <c r="M255" s="5">
        <f t="shared" si="37"/>
        <v>12588297.872340426</v>
      </c>
      <c r="N255" s="10">
        <f t="shared" si="38"/>
        <v>1408000</v>
      </c>
      <c r="O255" s="11">
        <f t="shared" si="39"/>
        <v>0.11184991126510606</v>
      </c>
      <c r="P255" s="5">
        <f t="shared" si="40"/>
        <v>13601149.425287357</v>
      </c>
      <c r="Q255" s="10">
        <f t="shared" si="41"/>
        <v>1408000</v>
      </c>
      <c r="R255" s="11">
        <f t="shared" si="42"/>
        <v>0.10352066255387475</v>
      </c>
    </row>
    <row r="256" spans="1:18" x14ac:dyDescent="0.3">
      <c r="A256" s="7">
        <v>10500001</v>
      </c>
      <c r="B256" s="7">
        <v>10550000</v>
      </c>
      <c r="C256" s="7">
        <v>30000</v>
      </c>
      <c r="E256" s="7">
        <v>0</v>
      </c>
      <c r="F256" s="7">
        <f t="shared" si="43"/>
        <v>1055000</v>
      </c>
      <c r="G256" s="13">
        <f t="shared" si="33"/>
        <v>2.123222748815165E-2</v>
      </c>
      <c r="H256" s="7">
        <f t="shared" si="34"/>
        <v>30000</v>
      </c>
      <c r="I256" s="5">
        <f t="shared" si="35"/>
        <v>253999.99999999991</v>
      </c>
      <c r="L256" s="5">
        <f t="shared" si="36"/>
        <v>11889000</v>
      </c>
      <c r="M256" s="5">
        <f t="shared" si="37"/>
        <v>12647872.340425532</v>
      </c>
      <c r="N256" s="10">
        <f t="shared" si="38"/>
        <v>1414500</v>
      </c>
      <c r="O256" s="11">
        <f t="shared" si="39"/>
        <v>0.1118369921776432</v>
      </c>
      <c r="P256" s="5">
        <f t="shared" si="40"/>
        <v>13665517.241379311</v>
      </c>
      <c r="Q256" s="10">
        <f t="shared" si="41"/>
        <v>1414500</v>
      </c>
      <c r="R256" s="11">
        <f t="shared" si="42"/>
        <v>0.10350870552611657</v>
      </c>
    </row>
    <row r="257" spans="1:18" x14ac:dyDescent="0.3">
      <c r="A257" s="7">
        <v>10550001</v>
      </c>
      <c r="B257" s="7">
        <v>10600000</v>
      </c>
      <c r="C257" s="7">
        <v>30000</v>
      </c>
      <c r="E257" s="7">
        <v>0</v>
      </c>
      <c r="F257" s="7">
        <f t="shared" si="43"/>
        <v>1060000</v>
      </c>
      <c r="G257" s="13">
        <f t="shared" si="33"/>
        <v>2.1226415094339618E-2</v>
      </c>
      <c r="H257" s="7">
        <f t="shared" si="34"/>
        <v>30000</v>
      </c>
      <c r="I257" s="5">
        <f t="shared" si="35"/>
        <v>254999.99999999994</v>
      </c>
      <c r="L257" s="5">
        <f t="shared" si="36"/>
        <v>11945000</v>
      </c>
      <c r="M257" s="5">
        <f t="shared" si="37"/>
        <v>12707446.808510639</v>
      </c>
      <c r="N257" s="10">
        <f t="shared" si="38"/>
        <v>1421000</v>
      </c>
      <c r="O257" s="11">
        <f t="shared" si="39"/>
        <v>0.11182419422352448</v>
      </c>
      <c r="P257" s="5">
        <f t="shared" si="40"/>
        <v>13729885.057471264</v>
      </c>
      <c r="Q257" s="10">
        <f t="shared" si="41"/>
        <v>1421000</v>
      </c>
      <c r="R257" s="11">
        <f t="shared" si="42"/>
        <v>0.10349686061113436</v>
      </c>
    </row>
    <row r="258" spans="1:18" x14ac:dyDescent="0.3">
      <c r="A258" s="7">
        <v>10600001</v>
      </c>
      <c r="B258" s="7">
        <v>10650000</v>
      </c>
      <c r="C258" s="7">
        <v>30000</v>
      </c>
      <c r="E258" s="7">
        <v>0</v>
      </c>
      <c r="F258" s="7">
        <f t="shared" si="43"/>
        <v>1065000</v>
      </c>
      <c r="G258" s="13">
        <f t="shared" si="33"/>
        <v>2.1220657276995292E-2</v>
      </c>
      <c r="H258" s="7">
        <f t="shared" si="34"/>
        <v>30000</v>
      </c>
      <c r="I258" s="5">
        <f t="shared" si="35"/>
        <v>255999.99999999985</v>
      </c>
      <c r="L258" s="5">
        <f t="shared" si="36"/>
        <v>12001000</v>
      </c>
      <c r="M258" s="5">
        <f t="shared" si="37"/>
        <v>12767021.276595745</v>
      </c>
      <c r="N258" s="10">
        <f t="shared" si="38"/>
        <v>1427500</v>
      </c>
      <c r="O258" s="11">
        <f t="shared" si="39"/>
        <v>0.11181151570702441</v>
      </c>
      <c r="P258" s="5">
        <f t="shared" si="40"/>
        <v>13794252.873563219</v>
      </c>
      <c r="Q258" s="10">
        <f t="shared" si="41"/>
        <v>1427500</v>
      </c>
      <c r="R258" s="11">
        <f t="shared" si="42"/>
        <v>0.10348512623948004</v>
      </c>
    </row>
    <row r="259" spans="1:18" x14ac:dyDescent="0.3">
      <c r="A259" s="7">
        <v>10650001</v>
      </c>
      <c r="B259" s="7">
        <v>10700000</v>
      </c>
      <c r="C259" s="7">
        <v>30000</v>
      </c>
      <c r="E259" s="7">
        <v>0</v>
      </c>
      <c r="F259" s="7">
        <f t="shared" si="43"/>
        <v>1070000</v>
      </c>
      <c r="G259" s="13">
        <f t="shared" ref="G259:G322" si="44">MIN($K$2,MAX($K$3,$K$4/B259+$K$3))-$K$17</f>
        <v>2.1214953271028028E-2</v>
      </c>
      <c r="H259" s="7">
        <f t="shared" ref="H259:H322" si="45">MIN($K$11,$K$9+$K$10*(B259-$B$2))</f>
        <v>30000</v>
      </c>
      <c r="I259" s="5">
        <f t="shared" ref="I259:I322" si="46">B259*G259+H259</f>
        <v>256999.99999999991</v>
      </c>
      <c r="L259" s="5">
        <f t="shared" ref="L259:L322" si="47">B259+C259+E259+F259+I259</f>
        <v>12057000</v>
      </c>
      <c r="M259" s="5">
        <f t="shared" ref="M259:M322" si="48">L259/(1-$K$14)</f>
        <v>12826595.744680852</v>
      </c>
      <c r="N259" s="10">
        <f t="shared" ref="N259:N322" si="49">M259*(1-$K$14)-(B259+E259+F259)*(1-$K$17)-C259</f>
        <v>1434000</v>
      </c>
      <c r="O259" s="11">
        <f t="shared" ref="O259:O322" si="50">N259/M259</f>
        <v>0.11179895496392137</v>
      </c>
      <c r="P259" s="5">
        <f t="shared" ref="P259:P322" si="51">L259/(1-$K$15)</f>
        <v>13858620.689655172</v>
      </c>
      <c r="Q259" s="10">
        <f t="shared" ref="Q259:Q322" si="52">P259*(1-$K$15)-(B259+E259+F259)*(1-$K$17)-C259</f>
        <v>1434000</v>
      </c>
      <c r="R259" s="11">
        <f t="shared" ref="R259:R322" si="53">Q259/P259</f>
        <v>0.10347350087086341</v>
      </c>
    </row>
    <row r="260" spans="1:18" x14ac:dyDescent="0.3">
      <c r="A260" s="7">
        <v>10700001</v>
      </c>
      <c r="B260" s="7">
        <v>10750000</v>
      </c>
      <c r="C260" s="7">
        <v>30000</v>
      </c>
      <c r="E260" s="7">
        <v>0</v>
      </c>
      <c r="F260" s="7">
        <f t="shared" si="43"/>
        <v>1075000</v>
      </c>
      <c r="G260" s="13">
        <f t="shared" si="44"/>
        <v>2.1209302325581381E-2</v>
      </c>
      <c r="H260" s="7">
        <f t="shared" si="45"/>
        <v>30000</v>
      </c>
      <c r="I260" s="5">
        <f t="shared" si="46"/>
        <v>257999.99999999985</v>
      </c>
      <c r="L260" s="5">
        <f t="shared" si="47"/>
        <v>12113000</v>
      </c>
      <c r="M260" s="5">
        <f t="shared" si="48"/>
        <v>12886170.212765958</v>
      </c>
      <c r="N260" s="10">
        <f t="shared" si="49"/>
        <v>1440500</v>
      </c>
      <c r="O260" s="11">
        <f t="shared" si="50"/>
        <v>0.11178651036076942</v>
      </c>
      <c r="P260" s="5">
        <f t="shared" si="51"/>
        <v>13922988.505747126</v>
      </c>
      <c r="Q260" s="10">
        <f t="shared" si="52"/>
        <v>1440500</v>
      </c>
      <c r="R260" s="11">
        <f t="shared" si="53"/>
        <v>0.10346198299347809</v>
      </c>
    </row>
    <row r="261" spans="1:18" x14ac:dyDescent="0.3">
      <c r="A261" s="7">
        <v>10750001</v>
      </c>
      <c r="B261" s="7">
        <v>10800000</v>
      </c>
      <c r="C261" s="7">
        <v>30000</v>
      </c>
      <c r="E261" s="7">
        <v>0</v>
      </c>
      <c r="F261" s="7">
        <f t="shared" si="43"/>
        <v>1080000</v>
      </c>
      <c r="G261" s="13">
        <f t="shared" si="44"/>
        <v>2.1203703703703697E-2</v>
      </c>
      <c r="H261" s="7">
        <f t="shared" si="45"/>
        <v>30000</v>
      </c>
      <c r="I261" s="5">
        <f t="shared" si="46"/>
        <v>258999.99999999991</v>
      </c>
      <c r="L261" s="5">
        <f t="shared" si="47"/>
        <v>12169000</v>
      </c>
      <c r="M261" s="5">
        <f t="shared" si="48"/>
        <v>12945744.680851065</v>
      </c>
      <c r="N261" s="10">
        <f t="shared" si="49"/>
        <v>1447000</v>
      </c>
      <c r="O261" s="11">
        <f t="shared" si="50"/>
        <v>0.11177418029419015</v>
      </c>
      <c r="P261" s="5">
        <f t="shared" si="51"/>
        <v>13987356.321839081</v>
      </c>
      <c r="Q261" s="10">
        <f t="shared" si="52"/>
        <v>1447000</v>
      </c>
      <c r="R261" s="11">
        <f t="shared" si="53"/>
        <v>0.1034505711233462</v>
      </c>
    </row>
    <row r="262" spans="1:18" x14ac:dyDescent="0.3">
      <c r="A262" s="7">
        <v>10800001</v>
      </c>
      <c r="B262" s="7">
        <v>10850000</v>
      </c>
      <c r="C262" s="7">
        <v>30000</v>
      </c>
      <c r="E262" s="7">
        <v>0</v>
      </c>
      <c r="F262" s="7">
        <f t="shared" si="43"/>
        <v>1085000</v>
      </c>
      <c r="G262" s="13">
        <f t="shared" si="44"/>
        <v>2.1198156682027638E-2</v>
      </c>
      <c r="H262" s="7">
        <f t="shared" si="45"/>
        <v>30000</v>
      </c>
      <c r="I262" s="5">
        <f t="shared" si="46"/>
        <v>259999.99999999988</v>
      </c>
      <c r="L262" s="5">
        <f t="shared" si="47"/>
        <v>12225000</v>
      </c>
      <c r="M262" s="5">
        <f t="shared" si="48"/>
        <v>13005319.148936171</v>
      </c>
      <c r="N262" s="10">
        <f t="shared" si="49"/>
        <v>1453500</v>
      </c>
      <c r="O262" s="11">
        <f t="shared" si="50"/>
        <v>0.11176196319018404</v>
      </c>
      <c r="P262" s="5">
        <f t="shared" si="51"/>
        <v>14051724.137931034</v>
      </c>
      <c r="Q262" s="10">
        <f t="shared" si="52"/>
        <v>1453500</v>
      </c>
      <c r="R262" s="11">
        <f t="shared" si="53"/>
        <v>0.10343926380368099</v>
      </c>
    </row>
    <row r="263" spans="1:18" x14ac:dyDescent="0.3">
      <c r="A263" s="7">
        <v>10850001</v>
      </c>
      <c r="B263" s="7">
        <v>10900000</v>
      </c>
      <c r="C263" s="7">
        <v>30000</v>
      </c>
      <c r="E263" s="7">
        <v>0</v>
      </c>
      <c r="F263" s="7">
        <f t="shared" si="43"/>
        <v>1090000</v>
      </c>
      <c r="G263" s="13">
        <f t="shared" si="44"/>
        <v>2.1192660550458708E-2</v>
      </c>
      <c r="H263" s="7">
        <f t="shared" si="45"/>
        <v>30000</v>
      </c>
      <c r="I263" s="5">
        <f t="shared" si="46"/>
        <v>260999.99999999991</v>
      </c>
      <c r="L263" s="5">
        <f t="shared" si="47"/>
        <v>12281000</v>
      </c>
      <c r="M263" s="5">
        <f t="shared" si="48"/>
        <v>13064893.617021278</v>
      </c>
      <c r="N263" s="10">
        <f t="shared" si="49"/>
        <v>1460000</v>
      </c>
      <c r="O263" s="11">
        <f t="shared" si="50"/>
        <v>0.11174985750346063</v>
      </c>
      <c r="P263" s="5">
        <f t="shared" si="51"/>
        <v>14116091.954022989</v>
      </c>
      <c r="Q263" s="10">
        <f t="shared" si="52"/>
        <v>1460000</v>
      </c>
      <c r="R263" s="11">
        <f t="shared" si="53"/>
        <v>0.10342805960426675</v>
      </c>
    </row>
    <row r="264" spans="1:18" x14ac:dyDescent="0.3">
      <c r="A264" s="7">
        <v>10900001</v>
      </c>
      <c r="B264" s="7">
        <v>10950000</v>
      </c>
      <c r="C264" s="7">
        <v>30000</v>
      </c>
      <c r="E264" s="7">
        <v>0</v>
      </c>
      <c r="F264" s="7">
        <f t="shared" si="43"/>
        <v>1095000</v>
      </c>
      <c r="G264" s="13">
        <f t="shared" si="44"/>
        <v>2.1187214611872132E-2</v>
      </c>
      <c r="H264" s="7">
        <f t="shared" si="45"/>
        <v>30000</v>
      </c>
      <c r="I264" s="5">
        <f t="shared" si="46"/>
        <v>261999.99999999985</v>
      </c>
      <c r="L264" s="5">
        <f t="shared" si="47"/>
        <v>12337000</v>
      </c>
      <c r="M264" s="5">
        <f t="shared" si="48"/>
        <v>13124468.085106384</v>
      </c>
      <c r="N264" s="10">
        <f t="shared" si="49"/>
        <v>1466500</v>
      </c>
      <c r="O264" s="11">
        <f t="shared" si="50"/>
        <v>0.11173786171678689</v>
      </c>
      <c r="P264" s="5">
        <f t="shared" si="51"/>
        <v>14180459.770114943</v>
      </c>
      <c r="Q264" s="10">
        <f t="shared" si="52"/>
        <v>1466500</v>
      </c>
      <c r="R264" s="11">
        <f t="shared" si="53"/>
        <v>0.10341695712085595</v>
      </c>
    </row>
    <row r="265" spans="1:18" x14ac:dyDescent="0.3">
      <c r="A265" s="7">
        <v>10950001</v>
      </c>
      <c r="B265" s="7">
        <v>11000000</v>
      </c>
      <c r="C265" s="7">
        <v>30000</v>
      </c>
      <c r="E265" s="7">
        <v>0</v>
      </c>
      <c r="F265" s="7">
        <f t="shared" si="43"/>
        <v>1100000</v>
      </c>
      <c r="G265" s="13">
        <f t="shared" si="44"/>
        <v>2.1181818181818177E-2</v>
      </c>
      <c r="H265" s="7">
        <f t="shared" si="45"/>
        <v>30000</v>
      </c>
      <c r="I265" s="5">
        <f t="shared" si="46"/>
        <v>262999.99999999994</v>
      </c>
      <c r="L265" s="5">
        <f t="shared" si="47"/>
        <v>12393000</v>
      </c>
      <c r="M265" s="5">
        <f t="shared" si="48"/>
        <v>13184042.55319149</v>
      </c>
      <c r="N265" s="10">
        <f t="shared" si="49"/>
        <v>1473000</v>
      </c>
      <c r="O265" s="11">
        <f t="shared" si="50"/>
        <v>0.11172597434035342</v>
      </c>
      <c r="P265" s="5">
        <f t="shared" si="51"/>
        <v>14244827.586206896</v>
      </c>
      <c r="Q265" s="10">
        <f t="shared" si="52"/>
        <v>1473000</v>
      </c>
      <c r="R265" s="11">
        <f t="shared" si="53"/>
        <v>0.10340595497458242</v>
      </c>
    </row>
    <row r="266" spans="1:18" x14ac:dyDescent="0.3">
      <c r="A266" s="7">
        <v>11000001</v>
      </c>
      <c r="B266" s="7">
        <v>11050000</v>
      </c>
      <c r="C266" s="7">
        <v>30000</v>
      </c>
      <c r="E266" s="7">
        <v>0</v>
      </c>
      <c r="F266" s="7">
        <f t="shared" si="43"/>
        <v>1105000</v>
      </c>
      <c r="G266" s="13">
        <f t="shared" si="44"/>
        <v>2.1176470588235283E-2</v>
      </c>
      <c r="H266" s="7">
        <f t="shared" si="45"/>
        <v>30000</v>
      </c>
      <c r="I266" s="5">
        <f t="shared" si="46"/>
        <v>263999.99999999988</v>
      </c>
      <c r="L266" s="5">
        <f t="shared" si="47"/>
        <v>12449000</v>
      </c>
      <c r="M266" s="5">
        <f t="shared" si="48"/>
        <v>13243617.021276597</v>
      </c>
      <c r="N266" s="10">
        <f t="shared" si="49"/>
        <v>1479500</v>
      </c>
      <c r="O266" s="11">
        <f t="shared" si="50"/>
        <v>0.11171419391115751</v>
      </c>
      <c r="P266" s="5">
        <f t="shared" si="51"/>
        <v>14309195.402298851</v>
      </c>
      <c r="Q266" s="10">
        <f t="shared" si="52"/>
        <v>1479500</v>
      </c>
      <c r="R266" s="11">
        <f t="shared" si="53"/>
        <v>0.10339505181139047</v>
      </c>
    </row>
    <row r="267" spans="1:18" x14ac:dyDescent="0.3">
      <c r="A267" s="7">
        <v>11050001</v>
      </c>
      <c r="B267" s="7">
        <v>11100000</v>
      </c>
      <c r="C267" s="7">
        <v>30000</v>
      </c>
      <c r="E267" s="7">
        <v>0</v>
      </c>
      <c r="F267" s="7">
        <f t="shared" si="43"/>
        <v>1110000</v>
      </c>
      <c r="G267" s="13">
        <f t="shared" si="44"/>
        <v>2.1171171171171163E-2</v>
      </c>
      <c r="H267" s="7">
        <f t="shared" si="45"/>
        <v>30000</v>
      </c>
      <c r="I267" s="5">
        <f t="shared" si="46"/>
        <v>264999.99999999988</v>
      </c>
      <c r="L267" s="5">
        <f t="shared" si="47"/>
        <v>12505000</v>
      </c>
      <c r="M267" s="5">
        <f t="shared" si="48"/>
        <v>13303191.489361703</v>
      </c>
      <c r="N267" s="10">
        <f t="shared" si="49"/>
        <v>1486000</v>
      </c>
      <c r="O267" s="11">
        <f t="shared" si="50"/>
        <v>0.11170251899240302</v>
      </c>
      <c r="P267" s="5">
        <f t="shared" si="51"/>
        <v>14373563.218390804</v>
      </c>
      <c r="Q267" s="10">
        <f t="shared" si="52"/>
        <v>1486000</v>
      </c>
      <c r="R267" s="11">
        <f t="shared" si="53"/>
        <v>0.10338424630147941</v>
      </c>
    </row>
    <row r="268" spans="1:18" x14ac:dyDescent="0.3">
      <c r="A268" s="7">
        <v>11100001</v>
      </c>
      <c r="B268" s="7">
        <v>11150000</v>
      </c>
      <c r="C268" s="7">
        <v>30000</v>
      </c>
      <c r="E268" s="7">
        <v>0</v>
      </c>
      <c r="F268" s="7">
        <f t="shared" si="43"/>
        <v>1115000</v>
      </c>
      <c r="G268" s="13">
        <f t="shared" si="44"/>
        <v>2.11659192825112E-2</v>
      </c>
      <c r="H268" s="7">
        <f t="shared" si="45"/>
        <v>30000</v>
      </c>
      <c r="I268" s="5">
        <f t="shared" si="46"/>
        <v>265999.99999999988</v>
      </c>
      <c r="L268" s="5">
        <f t="shared" si="47"/>
        <v>12561000</v>
      </c>
      <c r="M268" s="5">
        <f t="shared" si="48"/>
        <v>13362765.95744681</v>
      </c>
      <c r="N268" s="10">
        <f t="shared" si="49"/>
        <v>1492500</v>
      </c>
      <c r="O268" s="11">
        <f t="shared" si="50"/>
        <v>0.11169094817291615</v>
      </c>
      <c r="P268" s="5">
        <f t="shared" si="51"/>
        <v>14437931.034482758</v>
      </c>
      <c r="Q268" s="10">
        <f t="shared" si="52"/>
        <v>1492500</v>
      </c>
      <c r="R268" s="11">
        <f t="shared" si="53"/>
        <v>0.10337353713876284</v>
      </c>
    </row>
    <row r="269" spans="1:18" x14ac:dyDescent="0.3">
      <c r="A269" s="7">
        <v>11150001</v>
      </c>
      <c r="B269" s="7">
        <v>11200000</v>
      </c>
      <c r="C269" s="7">
        <v>30000</v>
      </c>
      <c r="E269" s="7">
        <v>0</v>
      </c>
      <c r="F269" s="7">
        <f t="shared" si="43"/>
        <v>1120000</v>
      </c>
      <c r="G269" s="13">
        <f t="shared" si="44"/>
        <v>2.1160714285714283E-2</v>
      </c>
      <c r="H269" s="7">
        <f t="shared" si="45"/>
        <v>30000</v>
      </c>
      <c r="I269" s="5">
        <f t="shared" si="46"/>
        <v>267000</v>
      </c>
      <c r="L269" s="5">
        <f t="shared" si="47"/>
        <v>12617000</v>
      </c>
      <c r="M269" s="5">
        <f t="shared" si="48"/>
        <v>13422340.425531916</v>
      </c>
      <c r="N269" s="10">
        <f t="shared" si="49"/>
        <v>1499000</v>
      </c>
      <c r="O269" s="11">
        <f t="shared" si="50"/>
        <v>0.11167948006657683</v>
      </c>
      <c r="P269" s="5">
        <f t="shared" si="51"/>
        <v>14502298.850574713</v>
      </c>
      <c r="Q269" s="10">
        <f t="shared" si="52"/>
        <v>1499000</v>
      </c>
      <c r="R269" s="11">
        <f t="shared" si="53"/>
        <v>0.10336292304034239</v>
      </c>
    </row>
    <row r="270" spans="1:18" x14ac:dyDescent="0.3">
      <c r="A270" s="7">
        <v>11200001</v>
      </c>
      <c r="B270" s="7">
        <v>11250000</v>
      </c>
      <c r="C270" s="7">
        <v>30000</v>
      </c>
      <c r="E270" s="7">
        <v>0</v>
      </c>
      <c r="F270" s="7">
        <f t="shared" si="43"/>
        <v>1125000</v>
      </c>
      <c r="G270" s="13">
        <f t="shared" si="44"/>
        <v>2.1155555555555539E-2</v>
      </c>
      <c r="H270" s="7">
        <f t="shared" si="45"/>
        <v>30000</v>
      </c>
      <c r="I270" s="5">
        <f t="shared" si="46"/>
        <v>267999.99999999977</v>
      </c>
      <c r="L270" s="5">
        <f t="shared" si="47"/>
        <v>12673000</v>
      </c>
      <c r="M270" s="5">
        <f t="shared" si="48"/>
        <v>13481914.893617023</v>
      </c>
      <c r="N270" s="10">
        <f t="shared" si="49"/>
        <v>1505500</v>
      </c>
      <c r="O270" s="11">
        <f t="shared" si="50"/>
        <v>0.11166811331176515</v>
      </c>
      <c r="P270" s="5">
        <f t="shared" si="51"/>
        <v>14566666.666666666</v>
      </c>
      <c r="Q270" s="10">
        <f t="shared" si="52"/>
        <v>1505500</v>
      </c>
      <c r="R270" s="11">
        <f t="shared" si="53"/>
        <v>0.10335240274599543</v>
      </c>
    </row>
    <row r="271" spans="1:18" x14ac:dyDescent="0.3">
      <c r="A271" s="7">
        <v>11250001</v>
      </c>
      <c r="B271" s="7">
        <v>11300000</v>
      </c>
      <c r="C271" s="7">
        <v>30000</v>
      </c>
      <c r="E271" s="7">
        <v>0</v>
      </c>
      <c r="F271" s="7">
        <f t="shared" si="43"/>
        <v>1130000</v>
      </c>
      <c r="G271" s="13">
        <f t="shared" si="44"/>
        <v>2.1150442477876091E-2</v>
      </c>
      <c r="H271" s="7">
        <f t="shared" si="45"/>
        <v>30000</v>
      </c>
      <c r="I271" s="5">
        <f t="shared" si="46"/>
        <v>268999.99999999983</v>
      </c>
      <c r="L271" s="5">
        <f t="shared" si="47"/>
        <v>12729000</v>
      </c>
      <c r="M271" s="5">
        <f t="shared" si="48"/>
        <v>13541489.361702129</v>
      </c>
      <c r="N271" s="10">
        <f t="shared" si="49"/>
        <v>1512000</v>
      </c>
      <c r="O271" s="11">
        <f t="shared" si="50"/>
        <v>0.11165684657082252</v>
      </c>
      <c r="P271" s="5">
        <f t="shared" si="51"/>
        <v>14631034.482758621</v>
      </c>
      <c r="Q271" s="10">
        <f t="shared" si="52"/>
        <v>1512000</v>
      </c>
      <c r="R271" s="11">
        <f t="shared" si="53"/>
        <v>0.10334197501767617</v>
      </c>
    </row>
    <row r="272" spans="1:18" x14ac:dyDescent="0.3">
      <c r="A272" s="7">
        <v>11300001</v>
      </c>
      <c r="B272" s="7">
        <v>11350000</v>
      </c>
      <c r="C272" s="7">
        <v>30000</v>
      </c>
      <c r="E272" s="7">
        <v>0</v>
      </c>
      <c r="F272" s="7">
        <f t="shared" si="43"/>
        <v>1135000</v>
      </c>
      <c r="G272" s="13">
        <f t="shared" si="44"/>
        <v>2.1145374449339199E-2</v>
      </c>
      <c r="H272" s="7">
        <f t="shared" si="45"/>
        <v>30000</v>
      </c>
      <c r="I272" s="5">
        <f t="shared" si="46"/>
        <v>269999.99999999988</v>
      </c>
      <c r="L272" s="5">
        <f t="shared" si="47"/>
        <v>12785000</v>
      </c>
      <c r="M272" s="5">
        <f t="shared" si="48"/>
        <v>13601063.829787236</v>
      </c>
      <c r="N272" s="10">
        <f t="shared" si="49"/>
        <v>1518500</v>
      </c>
      <c r="O272" s="11">
        <f t="shared" si="50"/>
        <v>0.11164567852952678</v>
      </c>
      <c r="P272" s="5">
        <f t="shared" si="51"/>
        <v>14695402.298850575</v>
      </c>
      <c r="Q272" s="10">
        <f t="shared" si="52"/>
        <v>1518500</v>
      </c>
      <c r="R272" s="11">
        <f t="shared" si="53"/>
        <v>0.10333163863903011</v>
      </c>
    </row>
    <row r="273" spans="1:18" x14ac:dyDescent="0.3">
      <c r="A273" s="7">
        <v>11350001</v>
      </c>
      <c r="B273" s="7">
        <v>11400000</v>
      </c>
      <c r="C273" s="7">
        <v>30000</v>
      </c>
      <c r="E273" s="7">
        <v>0</v>
      </c>
      <c r="F273" s="7">
        <f t="shared" si="43"/>
        <v>1140000</v>
      </c>
      <c r="G273" s="13">
        <f t="shared" si="44"/>
        <v>2.1140350877192973E-2</v>
      </c>
      <c r="H273" s="7">
        <f t="shared" si="45"/>
        <v>30000</v>
      </c>
      <c r="I273" s="5">
        <f t="shared" si="46"/>
        <v>270999.99999999988</v>
      </c>
      <c r="L273" s="5">
        <f t="shared" si="47"/>
        <v>12841000</v>
      </c>
      <c r="M273" s="5">
        <f t="shared" si="48"/>
        <v>13660638.29787234</v>
      </c>
      <c r="N273" s="10">
        <f t="shared" si="49"/>
        <v>1525000</v>
      </c>
      <c r="O273" s="11">
        <f t="shared" si="50"/>
        <v>0.11163460789658126</v>
      </c>
      <c r="P273" s="5">
        <f t="shared" si="51"/>
        <v>14759770.114942528</v>
      </c>
      <c r="Q273" s="10">
        <f t="shared" si="52"/>
        <v>1525000</v>
      </c>
      <c r="R273" s="11">
        <f t="shared" si="53"/>
        <v>0.10332139241492096</v>
      </c>
    </row>
    <row r="274" spans="1:18" x14ac:dyDescent="0.3">
      <c r="A274" s="7">
        <v>11400001</v>
      </c>
      <c r="B274" s="7">
        <v>11450000</v>
      </c>
      <c r="C274" s="7">
        <v>30000</v>
      </c>
      <c r="E274" s="7">
        <v>0</v>
      </c>
      <c r="F274" s="7">
        <f t="shared" si="43"/>
        <v>1145000</v>
      </c>
      <c r="G274" s="13">
        <f t="shared" si="44"/>
        <v>2.1135371179039297E-2</v>
      </c>
      <c r="H274" s="7">
        <f t="shared" si="45"/>
        <v>30000</v>
      </c>
      <c r="I274" s="5">
        <f t="shared" si="46"/>
        <v>271999.99999999994</v>
      </c>
      <c r="L274" s="5">
        <f t="shared" si="47"/>
        <v>12897000</v>
      </c>
      <c r="M274" s="5">
        <f t="shared" si="48"/>
        <v>13720212.765957447</v>
      </c>
      <c r="N274" s="10">
        <f t="shared" si="49"/>
        <v>1531500</v>
      </c>
      <c r="O274" s="11">
        <f t="shared" si="50"/>
        <v>0.111623633403117</v>
      </c>
      <c r="P274" s="5">
        <f t="shared" si="51"/>
        <v>14824137.931034483</v>
      </c>
      <c r="Q274" s="10">
        <f t="shared" si="52"/>
        <v>1531500</v>
      </c>
      <c r="R274" s="11">
        <f t="shared" si="53"/>
        <v>0.10331123517096999</v>
      </c>
    </row>
    <row r="275" spans="1:18" x14ac:dyDescent="0.3">
      <c r="A275" s="7">
        <v>11450001</v>
      </c>
      <c r="B275" s="7">
        <v>11500000</v>
      </c>
      <c r="C275" s="7">
        <v>30000</v>
      </c>
      <c r="E275" s="7">
        <v>0</v>
      </c>
      <c r="F275" s="7">
        <f t="shared" si="43"/>
        <v>1150000</v>
      </c>
      <c r="G275" s="13">
        <f t="shared" si="44"/>
        <v>2.113043478260869E-2</v>
      </c>
      <c r="H275" s="7">
        <f t="shared" si="45"/>
        <v>30000</v>
      </c>
      <c r="I275" s="5">
        <f t="shared" si="46"/>
        <v>272999.99999999994</v>
      </c>
      <c r="L275" s="5">
        <f t="shared" si="47"/>
        <v>12953000</v>
      </c>
      <c r="M275" s="5">
        <f t="shared" si="48"/>
        <v>13779787.234042553</v>
      </c>
      <c r="N275" s="10">
        <f t="shared" si="49"/>
        <v>1538000</v>
      </c>
      <c r="O275" s="11">
        <f t="shared" si="50"/>
        <v>0.11161275380220798</v>
      </c>
      <c r="P275" s="5">
        <f t="shared" si="51"/>
        <v>14888505.747126438</v>
      </c>
      <c r="Q275" s="10">
        <f t="shared" si="52"/>
        <v>1538000</v>
      </c>
      <c r="R275" s="11">
        <f t="shared" si="53"/>
        <v>0.10330116575310738</v>
      </c>
    </row>
    <row r="276" spans="1:18" x14ac:dyDescent="0.3">
      <c r="A276" s="7">
        <v>11500001</v>
      </c>
      <c r="B276" s="7">
        <v>11550000</v>
      </c>
      <c r="C276" s="7">
        <v>30000</v>
      </c>
      <c r="E276" s="7">
        <v>0</v>
      </c>
      <c r="F276" s="7">
        <f t="shared" si="43"/>
        <v>1155000</v>
      </c>
      <c r="G276" s="13">
        <f t="shared" si="44"/>
        <v>2.1125541125541117E-2</v>
      </c>
      <c r="H276" s="7">
        <f t="shared" si="45"/>
        <v>30000</v>
      </c>
      <c r="I276" s="5">
        <f t="shared" si="46"/>
        <v>273999.99999999988</v>
      </c>
      <c r="L276" s="5">
        <f t="shared" si="47"/>
        <v>13009000</v>
      </c>
      <c r="M276" s="5">
        <f t="shared" si="48"/>
        <v>13839361.70212766</v>
      </c>
      <c r="N276" s="10">
        <f t="shared" si="49"/>
        <v>1544500</v>
      </c>
      <c r="O276" s="11">
        <f t="shared" si="50"/>
        <v>0.11160196786839879</v>
      </c>
      <c r="P276" s="5">
        <f t="shared" si="51"/>
        <v>14952873.563218391</v>
      </c>
      <c r="Q276" s="10">
        <f t="shared" si="52"/>
        <v>1544500</v>
      </c>
      <c r="R276" s="11">
        <f t="shared" si="53"/>
        <v>0.10329118302713507</v>
      </c>
    </row>
    <row r="277" spans="1:18" x14ac:dyDescent="0.3">
      <c r="A277" s="7">
        <v>11550001</v>
      </c>
      <c r="B277" s="7">
        <v>11600000</v>
      </c>
      <c r="C277" s="7">
        <v>30000</v>
      </c>
      <c r="E277" s="7">
        <v>0</v>
      </c>
      <c r="F277" s="7">
        <f t="shared" si="43"/>
        <v>1160000</v>
      </c>
      <c r="G277" s="13">
        <f t="shared" si="44"/>
        <v>2.11206896551724E-2</v>
      </c>
      <c r="H277" s="7">
        <f t="shared" si="45"/>
        <v>30000</v>
      </c>
      <c r="I277" s="5">
        <f t="shared" si="46"/>
        <v>274999.99999999988</v>
      </c>
      <c r="L277" s="5">
        <f t="shared" si="47"/>
        <v>13065000</v>
      </c>
      <c r="M277" s="5">
        <f t="shared" si="48"/>
        <v>13898936.170212766</v>
      </c>
      <c r="N277" s="10">
        <f t="shared" si="49"/>
        <v>1551000</v>
      </c>
      <c r="O277" s="11">
        <f t="shared" si="50"/>
        <v>0.11159127439724455</v>
      </c>
      <c r="P277" s="5">
        <f t="shared" si="51"/>
        <v>15017241.379310345</v>
      </c>
      <c r="Q277" s="10">
        <f t="shared" si="52"/>
        <v>1551000</v>
      </c>
      <c r="R277" s="11">
        <f t="shared" si="53"/>
        <v>0.10328128587830079</v>
      </c>
    </row>
    <row r="278" spans="1:18" x14ac:dyDescent="0.3">
      <c r="A278" s="7">
        <v>11600001</v>
      </c>
      <c r="B278" s="7">
        <v>11650000</v>
      </c>
      <c r="C278" s="7">
        <v>30000</v>
      </c>
      <c r="E278" s="7">
        <v>0</v>
      </c>
      <c r="F278" s="7">
        <f t="shared" si="43"/>
        <v>1165000</v>
      </c>
      <c r="G278" s="13">
        <f t="shared" si="44"/>
        <v>2.1115879828326176E-2</v>
      </c>
      <c r="H278" s="7">
        <f t="shared" si="45"/>
        <v>30000</v>
      </c>
      <c r="I278" s="5">
        <f t="shared" si="46"/>
        <v>275999.99999999994</v>
      </c>
      <c r="L278" s="5">
        <f t="shared" si="47"/>
        <v>13121000</v>
      </c>
      <c r="M278" s="5">
        <f t="shared" si="48"/>
        <v>13958510.638297873</v>
      </c>
      <c r="N278" s="10">
        <f t="shared" si="49"/>
        <v>1557500</v>
      </c>
      <c r="O278" s="11">
        <f t="shared" si="50"/>
        <v>0.11158067220486244</v>
      </c>
      <c r="P278" s="5">
        <f t="shared" si="51"/>
        <v>15081609.195402298</v>
      </c>
      <c r="Q278" s="10">
        <f t="shared" si="52"/>
        <v>1557500</v>
      </c>
      <c r="R278" s="11">
        <f t="shared" si="53"/>
        <v>0.10327147321088333</v>
      </c>
    </row>
    <row r="279" spans="1:18" x14ac:dyDescent="0.3">
      <c r="A279" s="7">
        <v>11650001</v>
      </c>
      <c r="B279" s="7">
        <v>11700000</v>
      </c>
      <c r="C279" s="7">
        <v>30000</v>
      </c>
      <c r="E279" s="7">
        <v>0</v>
      </c>
      <c r="F279" s="7">
        <f t="shared" si="43"/>
        <v>1170000</v>
      </c>
      <c r="G279" s="13">
        <f t="shared" si="44"/>
        <v>2.1111111111111094E-2</v>
      </c>
      <c r="H279" s="7">
        <f t="shared" si="45"/>
        <v>30000</v>
      </c>
      <c r="I279" s="5">
        <f t="shared" si="46"/>
        <v>276999.99999999977</v>
      </c>
      <c r="L279" s="5">
        <f t="shared" si="47"/>
        <v>13177000</v>
      </c>
      <c r="M279" s="5">
        <f t="shared" si="48"/>
        <v>14018085.106382979</v>
      </c>
      <c r="N279" s="10">
        <f t="shared" si="49"/>
        <v>1564000</v>
      </c>
      <c r="O279" s="11">
        <f t="shared" si="50"/>
        <v>0.11157016012749488</v>
      </c>
      <c r="P279" s="5">
        <f t="shared" si="51"/>
        <v>15145977.011494253</v>
      </c>
      <c r="Q279" s="10">
        <f t="shared" si="52"/>
        <v>1564000</v>
      </c>
      <c r="R279" s="11">
        <f t="shared" si="53"/>
        <v>0.10326174394778781</v>
      </c>
    </row>
    <row r="280" spans="1:18" x14ac:dyDescent="0.3">
      <c r="A280" s="7">
        <v>11700001</v>
      </c>
      <c r="B280" s="7">
        <v>11750000</v>
      </c>
      <c r="C280" s="7">
        <v>30000</v>
      </c>
      <c r="E280" s="7">
        <v>0</v>
      </c>
      <c r="F280" s="7">
        <f t="shared" si="43"/>
        <v>1175000</v>
      </c>
      <c r="G280" s="13">
        <f t="shared" si="44"/>
        <v>2.1106382978723401E-2</v>
      </c>
      <c r="H280" s="7">
        <f t="shared" si="45"/>
        <v>30000</v>
      </c>
      <c r="I280" s="5">
        <f t="shared" si="46"/>
        <v>278000</v>
      </c>
      <c r="L280" s="5">
        <f t="shared" si="47"/>
        <v>13233000</v>
      </c>
      <c r="M280" s="5">
        <f t="shared" si="48"/>
        <v>14077659.574468086</v>
      </c>
      <c r="N280" s="10">
        <f t="shared" si="49"/>
        <v>1570500</v>
      </c>
      <c r="O280" s="11">
        <f t="shared" si="50"/>
        <v>0.11155973702108365</v>
      </c>
      <c r="P280" s="5">
        <f t="shared" si="51"/>
        <v>15210344.827586208</v>
      </c>
      <c r="Q280" s="10">
        <f t="shared" si="52"/>
        <v>1570500</v>
      </c>
      <c r="R280" s="11">
        <f t="shared" si="53"/>
        <v>0.10325209703015188</v>
      </c>
    </row>
    <row r="281" spans="1:18" x14ac:dyDescent="0.3">
      <c r="A281" s="7">
        <v>11750001</v>
      </c>
      <c r="B281" s="7">
        <v>11800000</v>
      </c>
      <c r="C281" s="7">
        <v>30000</v>
      </c>
      <c r="E281" s="7">
        <v>0</v>
      </c>
      <c r="F281" s="7">
        <f t="shared" si="43"/>
        <v>1180000</v>
      </c>
      <c r="G281" s="13">
        <f t="shared" si="44"/>
        <v>2.1101694915254224E-2</v>
      </c>
      <c r="H281" s="7">
        <f t="shared" si="45"/>
        <v>30000</v>
      </c>
      <c r="I281" s="5">
        <f t="shared" si="46"/>
        <v>278999.99999999988</v>
      </c>
      <c r="L281" s="5">
        <f t="shared" si="47"/>
        <v>13289000</v>
      </c>
      <c r="M281" s="5">
        <f t="shared" si="48"/>
        <v>14137234.042553192</v>
      </c>
      <c r="N281" s="10">
        <f t="shared" si="49"/>
        <v>1577000</v>
      </c>
      <c r="O281" s="11">
        <f t="shared" si="50"/>
        <v>0.11154940176085484</v>
      </c>
      <c r="P281" s="5">
        <f t="shared" si="51"/>
        <v>15274712.64367816</v>
      </c>
      <c r="Q281" s="10">
        <f t="shared" si="52"/>
        <v>1577000</v>
      </c>
      <c r="R281" s="11">
        <f t="shared" si="53"/>
        <v>0.10324253141696139</v>
      </c>
    </row>
    <row r="282" spans="1:18" x14ac:dyDescent="0.3">
      <c r="A282" s="7">
        <v>11800001</v>
      </c>
      <c r="B282" s="7">
        <v>11850000</v>
      </c>
      <c r="C282" s="7">
        <v>30000</v>
      </c>
      <c r="E282" s="7">
        <v>0</v>
      </c>
      <c r="F282" s="7">
        <f t="shared" ref="F282:F345" si="54">(B282+E282)*10%</f>
        <v>1185000</v>
      </c>
      <c r="G282" s="13">
        <f t="shared" si="44"/>
        <v>2.1097046413502102E-2</v>
      </c>
      <c r="H282" s="7">
        <f t="shared" si="45"/>
        <v>30000</v>
      </c>
      <c r="I282" s="5">
        <f t="shared" si="46"/>
        <v>279999.99999999988</v>
      </c>
      <c r="L282" s="5">
        <f t="shared" si="47"/>
        <v>13345000</v>
      </c>
      <c r="M282" s="5">
        <f t="shared" si="48"/>
        <v>14196808.510638298</v>
      </c>
      <c r="N282" s="10">
        <f t="shared" si="49"/>
        <v>1583500</v>
      </c>
      <c r="O282" s="11">
        <f t="shared" si="50"/>
        <v>0.11153915324091419</v>
      </c>
      <c r="P282" s="5">
        <f t="shared" si="51"/>
        <v>15339080.459770115</v>
      </c>
      <c r="Q282" s="10">
        <f t="shared" si="52"/>
        <v>1583500</v>
      </c>
      <c r="R282" s="11">
        <f t="shared" si="53"/>
        <v>0.10323304608467591</v>
      </c>
    </row>
    <row r="283" spans="1:18" x14ac:dyDescent="0.3">
      <c r="A283" s="7">
        <v>11850001</v>
      </c>
      <c r="B283" s="7">
        <v>11900000</v>
      </c>
      <c r="C283" s="7">
        <v>30000</v>
      </c>
      <c r="E283" s="7">
        <v>0</v>
      </c>
      <c r="F283" s="7">
        <f t="shared" si="54"/>
        <v>1190000</v>
      </c>
      <c r="G283" s="13">
        <f t="shared" si="44"/>
        <v>2.1092436974789908E-2</v>
      </c>
      <c r="H283" s="7">
        <f t="shared" si="45"/>
        <v>30000</v>
      </c>
      <c r="I283" s="5">
        <f t="shared" si="46"/>
        <v>280999.99999999988</v>
      </c>
      <c r="L283" s="5">
        <f t="shared" si="47"/>
        <v>13401000</v>
      </c>
      <c r="M283" s="5">
        <f t="shared" si="48"/>
        <v>14256382.978723405</v>
      </c>
      <c r="N283" s="10">
        <f t="shared" si="49"/>
        <v>1590000</v>
      </c>
      <c r="O283" s="11">
        <f t="shared" si="50"/>
        <v>0.11152899037385269</v>
      </c>
      <c r="P283" s="5">
        <f t="shared" si="51"/>
        <v>15403448.27586207</v>
      </c>
      <c r="Q283" s="10">
        <f t="shared" si="52"/>
        <v>1590000</v>
      </c>
      <c r="R283" s="11">
        <f t="shared" si="53"/>
        <v>0.10322364002686366</v>
      </c>
    </row>
    <row r="284" spans="1:18" x14ac:dyDescent="0.3">
      <c r="A284" s="7">
        <v>11900001</v>
      </c>
      <c r="B284" s="7">
        <v>11950000</v>
      </c>
      <c r="C284" s="7">
        <v>30000</v>
      </c>
      <c r="E284" s="7">
        <v>0</v>
      </c>
      <c r="F284" s="7">
        <f t="shared" si="54"/>
        <v>1195000</v>
      </c>
      <c r="G284" s="13">
        <f t="shared" si="44"/>
        <v>2.1087866108786602E-2</v>
      </c>
      <c r="H284" s="7">
        <f t="shared" si="45"/>
        <v>30000</v>
      </c>
      <c r="I284" s="5">
        <f t="shared" si="46"/>
        <v>281999.99999999988</v>
      </c>
      <c r="L284" s="5">
        <f t="shared" si="47"/>
        <v>13457000</v>
      </c>
      <c r="M284" s="5">
        <f t="shared" si="48"/>
        <v>14315957.446808511</v>
      </c>
      <c r="N284" s="10">
        <f t="shared" si="49"/>
        <v>1596500</v>
      </c>
      <c r="O284" s="11">
        <f t="shared" si="50"/>
        <v>0.11151891209036188</v>
      </c>
      <c r="P284" s="5">
        <f t="shared" si="51"/>
        <v>15467816.091954023</v>
      </c>
      <c r="Q284" s="10">
        <f t="shared" si="52"/>
        <v>1596500</v>
      </c>
      <c r="R284" s="11">
        <f t="shared" si="53"/>
        <v>0.10321431225384559</v>
      </c>
    </row>
    <row r="285" spans="1:18" x14ac:dyDescent="0.3">
      <c r="A285" s="7">
        <v>11950001</v>
      </c>
      <c r="B285" s="7">
        <v>12000000</v>
      </c>
      <c r="C285" s="7">
        <v>30000</v>
      </c>
      <c r="E285" s="7">
        <v>0</v>
      </c>
      <c r="F285" s="7">
        <f t="shared" si="54"/>
        <v>1200000</v>
      </c>
      <c r="G285" s="13">
        <f t="shared" si="44"/>
        <v>2.1083333333333329E-2</v>
      </c>
      <c r="H285" s="7">
        <f t="shared" si="45"/>
        <v>30000</v>
      </c>
      <c r="I285" s="5">
        <f t="shared" si="46"/>
        <v>282999.99999999994</v>
      </c>
      <c r="L285" s="5">
        <f t="shared" si="47"/>
        <v>13513000</v>
      </c>
      <c r="M285" s="5">
        <f t="shared" si="48"/>
        <v>14375531.914893618</v>
      </c>
      <c r="N285" s="10">
        <f t="shared" si="49"/>
        <v>1603000</v>
      </c>
      <c r="O285" s="11">
        <f t="shared" si="50"/>
        <v>0.11150891733885887</v>
      </c>
      <c r="P285" s="5">
        <f t="shared" si="51"/>
        <v>15532183.908045977</v>
      </c>
      <c r="Q285" s="10">
        <f t="shared" si="52"/>
        <v>1603000</v>
      </c>
      <c r="R285" s="11">
        <f t="shared" si="53"/>
        <v>0.1032050617923481</v>
      </c>
    </row>
    <row r="286" spans="1:18" x14ac:dyDescent="0.3">
      <c r="A286" s="7">
        <v>12000001</v>
      </c>
      <c r="B286" s="7">
        <v>12050000</v>
      </c>
      <c r="C286" s="7">
        <v>30000</v>
      </c>
      <c r="E286" s="7">
        <v>0</v>
      </c>
      <c r="F286" s="7">
        <f t="shared" si="54"/>
        <v>1205000</v>
      </c>
      <c r="G286" s="13">
        <f t="shared" si="44"/>
        <v>2.1078838174273848E-2</v>
      </c>
      <c r="H286" s="7">
        <f t="shared" si="45"/>
        <v>30000</v>
      </c>
      <c r="I286" s="5">
        <f t="shared" si="46"/>
        <v>283999.99999999988</v>
      </c>
      <c r="L286" s="5">
        <f t="shared" si="47"/>
        <v>13569000</v>
      </c>
      <c r="M286" s="5">
        <f t="shared" si="48"/>
        <v>14435106.382978724</v>
      </c>
      <c r="N286" s="10">
        <f t="shared" si="49"/>
        <v>1609500</v>
      </c>
      <c r="O286" s="11">
        <f t="shared" si="50"/>
        <v>0.11149900508512049</v>
      </c>
      <c r="P286" s="5">
        <f t="shared" si="51"/>
        <v>15596551.72413793</v>
      </c>
      <c r="Q286" s="10">
        <f t="shared" si="52"/>
        <v>1609500</v>
      </c>
      <c r="R286" s="11">
        <f t="shared" si="53"/>
        <v>0.10319588768516472</v>
      </c>
    </row>
    <row r="287" spans="1:18" x14ac:dyDescent="0.3">
      <c r="A287" s="7">
        <v>12050001</v>
      </c>
      <c r="B287" s="7">
        <v>12100000</v>
      </c>
      <c r="C287" s="7">
        <v>30000</v>
      </c>
      <c r="E287" s="7">
        <v>0</v>
      </c>
      <c r="F287" s="7">
        <f t="shared" si="54"/>
        <v>1210000</v>
      </c>
      <c r="G287" s="13">
        <f t="shared" si="44"/>
        <v>2.1074380165289244E-2</v>
      </c>
      <c r="H287" s="7">
        <f t="shared" si="45"/>
        <v>30000</v>
      </c>
      <c r="I287" s="5">
        <f t="shared" si="46"/>
        <v>284999.99999999988</v>
      </c>
      <c r="L287" s="5">
        <f t="shared" si="47"/>
        <v>13625000</v>
      </c>
      <c r="M287" s="5">
        <f t="shared" si="48"/>
        <v>14494680.851063831</v>
      </c>
      <c r="N287" s="10">
        <f t="shared" si="49"/>
        <v>1616000</v>
      </c>
      <c r="O287" s="11">
        <f t="shared" si="50"/>
        <v>0.11148917431192659</v>
      </c>
      <c r="P287" s="5">
        <f t="shared" si="51"/>
        <v>15660919.540229885</v>
      </c>
      <c r="Q287" s="10">
        <f t="shared" si="52"/>
        <v>1616000</v>
      </c>
      <c r="R287" s="11">
        <f t="shared" si="53"/>
        <v>0.10318678899082569</v>
      </c>
    </row>
    <row r="288" spans="1:18" x14ac:dyDescent="0.3">
      <c r="A288" s="7">
        <v>12100001</v>
      </c>
      <c r="B288" s="7">
        <v>12150000</v>
      </c>
      <c r="C288" s="7">
        <v>30000</v>
      </c>
      <c r="E288" s="7">
        <v>0</v>
      </c>
      <c r="F288" s="7">
        <f t="shared" si="54"/>
        <v>1215000</v>
      </c>
      <c r="G288" s="13">
        <f t="shared" si="44"/>
        <v>2.1069958847736617E-2</v>
      </c>
      <c r="H288" s="7">
        <f t="shared" si="45"/>
        <v>30000</v>
      </c>
      <c r="I288" s="5">
        <f t="shared" si="46"/>
        <v>285999.99999999988</v>
      </c>
      <c r="L288" s="5">
        <f t="shared" si="47"/>
        <v>13681000</v>
      </c>
      <c r="M288" s="5">
        <f t="shared" si="48"/>
        <v>14554255.319148937</v>
      </c>
      <c r="N288" s="10">
        <f t="shared" si="49"/>
        <v>1622500</v>
      </c>
      <c r="O288" s="11">
        <f t="shared" si="50"/>
        <v>0.11147942401871208</v>
      </c>
      <c r="P288" s="5">
        <f t="shared" si="51"/>
        <v>15725287.35632184</v>
      </c>
      <c r="Q288" s="10">
        <f t="shared" si="52"/>
        <v>1622500</v>
      </c>
      <c r="R288" s="11">
        <f t="shared" si="53"/>
        <v>0.10317776478327607</v>
      </c>
    </row>
    <row r="289" spans="1:18" x14ac:dyDescent="0.3">
      <c r="A289" s="7">
        <v>12150001</v>
      </c>
      <c r="B289" s="7">
        <v>12200000</v>
      </c>
      <c r="C289" s="7">
        <v>30000</v>
      </c>
      <c r="E289" s="7">
        <v>0</v>
      </c>
      <c r="F289" s="7">
        <f t="shared" si="54"/>
        <v>1220000</v>
      </c>
      <c r="G289" s="13">
        <f t="shared" si="44"/>
        <v>2.1065573770491799E-2</v>
      </c>
      <c r="H289" s="7">
        <f t="shared" si="45"/>
        <v>30000</v>
      </c>
      <c r="I289" s="5">
        <f t="shared" si="46"/>
        <v>286999.99999999994</v>
      </c>
      <c r="L289" s="5">
        <f t="shared" si="47"/>
        <v>13737000</v>
      </c>
      <c r="M289" s="5">
        <f t="shared" si="48"/>
        <v>14613829.787234044</v>
      </c>
      <c r="N289" s="10">
        <f t="shared" si="49"/>
        <v>1629000</v>
      </c>
      <c r="O289" s="11">
        <f t="shared" si="50"/>
        <v>0.11146975322122733</v>
      </c>
      <c r="P289" s="5">
        <f t="shared" si="51"/>
        <v>15789655.172413792</v>
      </c>
      <c r="Q289" s="10">
        <f t="shared" si="52"/>
        <v>1629000</v>
      </c>
      <c r="R289" s="11">
        <f t="shared" si="53"/>
        <v>0.10316881415156148</v>
      </c>
    </row>
    <row r="290" spans="1:18" x14ac:dyDescent="0.3">
      <c r="A290" s="7">
        <v>12200001</v>
      </c>
      <c r="B290" s="7">
        <v>12250000</v>
      </c>
      <c r="C290" s="7">
        <v>30000</v>
      </c>
      <c r="E290" s="7">
        <v>0</v>
      </c>
      <c r="F290" s="7">
        <f t="shared" si="54"/>
        <v>1225000</v>
      </c>
      <c r="G290" s="13">
        <f t="shared" si="44"/>
        <v>2.1061224489795902E-2</v>
      </c>
      <c r="H290" s="7">
        <f t="shared" si="45"/>
        <v>30000</v>
      </c>
      <c r="I290" s="5">
        <f t="shared" si="46"/>
        <v>287999.99999999977</v>
      </c>
      <c r="L290" s="5">
        <f t="shared" si="47"/>
        <v>13793000</v>
      </c>
      <c r="M290" s="5">
        <f t="shared" si="48"/>
        <v>14673404.25531915</v>
      </c>
      <c r="N290" s="10">
        <f t="shared" si="49"/>
        <v>1635500</v>
      </c>
      <c r="O290" s="11">
        <f t="shared" si="50"/>
        <v>0.11146016095120713</v>
      </c>
      <c r="P290" s="5">
        <f t="shared" si="51"/>
        <v>15854022.988505747</v>
      </c>
      <c r="Q290" s="10">
        <f t="shared" si="52"/>
        <v>1635500</v>
      </c>
      <c r="R290" s="11">
        <f t="shared" si="53"/>
        <v>0.10315993619952149</v>
      </c>
    </row>
    <row r="291" spans="1:18" x14ac:dyDescent="0.3">
      <c r="A291" s="7">
        <v>12250001</v>
      </c>
      <c r="B291" s="7">
        <v>12300000</v>
      </c>
      <c r="C291" s="7">
        <v>30000</v>
      </c>
      <c r="E291" s="7">
        <v>0</v>
      </c>
      <c r="F291" s="7">
        <f t="shared" si="54"/>
        <v>1230000</v>
      </c>
      <c r="G291" s="13">
        <f t="shared" si="44"/>
        <v>2.1056910569105677E-2</v>
      </c>
      <c r="H291" s="7">
        <f t="shared" si="45"/>
        <v>30000</v>
      </c>
      <c r="I291" s="5">
        <f t="shared" si="46"/>
        <v>288999.99999999983</v>
      </c>
      <c r="L291" s="5">
        <f t="shared" si="47"/>
        <v>13849000</v>
      </c>
      <c r="M291" s="5">
        <f t="shared" si="48"/>
        <v>14732978.723404257</v>
      </c>
      <c r="N291" s="10">
        <f t="shared" si="49"/>
        <v>1642000</v>
      </c>
      <c r="O291" s="11">
        <f t="shared" si="50"/>
        <v>0.11145064625604736</v>
      </c>
      <c r="P291" s="5">
        <f t="shared" si="51"/>
        <v>15918390.804597702</v>
      </c>
      <c r="Q291" s="10">
        <f t="shared" si="52"/>
        <v>1642000</v>
      </c>
      <c r="R291" s="11">
        <f t="shared" si="53"/>
        <v>0.10315113004549065</v>
      </c>
    </row>
    <row r="292" spans="1:18" x14ac:dyDescent="0.3">
      <c r="A292" s="7">
        <v>12300001</v>
      </c>
      <c r="B292" s="7">
        <v>12350000</v>
      </c>
      <c r="C292" s="7">
        <v>30000</v>
      </c>
      <c r="E292" s="7">
        <v>0</v>
      </c>
      <c r="F292" s="7">
        <f t="shared" si="54"/>
        <v>1235000</v>
      </c>
      <c r="G292" s="13">
        <f t="shared" si="44"/>
        <v>2.1052631578947364E-2</v>
      </c>
      <c r="H292" s="7">
        <f t="shared" si="45"/>
        <v>30000</v>
      </c>
      <c r="I292" s="5">
        <f t="shared" si="46"/>
        <v>289999.99999999994</v>
      </c>
      <c r="L292" s="5">
        <f t="shared" si="47"/>
        <v>13905000</v>
      </c>
      <c r="M292" s="5">
        <f t="shared" si="48"/>
        <v>14792553.191489363</v>
      </c>
      <c r="N292" s="10">
        <f t="shared" si="49"/>
        <v>1648500</v>
      </c>
      <c r="O292" s="11">
        <f t="shared" si="50"/>
        <v>0.11144120819848974</v>
      </c>
      <c r="P292" s="5">
        <f t="shared" si="51"/>
        <v>15982758.620689655</v>
      </c>
      <c r="Q292" s="10">
        <f t="shared" si="52"/>
        <v>1648500</v>
      </c>
      <c r="R292" s="11">
        <f t="shared" si="53"/>
        <v>0.10314239482200648</v>
      </c>
    </row>
    <row r="293" spans="1:18" x14ac:dyDescent="0.3">
      <c r="A293" s="7">
        <v>12350001</v>
      </c>
      <c r="B293" s="7">
        <v>12400000</v>
      </c>
      <c r="C293" s="7">
        <v>30000</v>
      </c>
      <c r="E293" s="7">
        <v>0</v>
      </c>
      <c r="F293" s="7">
        <f t="shared" si="54"/>
        <v>1240000</v>
      </c>
      <c r="G293" s="13">
        <f t="shared" si="44"/>
        <v>2.1048387096774188E-2</v>
      </c>
      <c r="H293" s="7">
        <f t="shared" si="45"/>
        <v>30000</v>
      </c>
      <c r="I293" s="5">
        <f t="shared" si="46"/>
        <v>290999.99999999988</v>
      </c>
      <c r="L293" s="5">
        <f t="shared" si="47"/>
        <v>13961000</v>
      </c>
      <c r="M293" s="5">
        <f t="shared" si="48"/>
        <v>14852127.65957447</v>
      </c>
      <c r="N293" s="10">
        <f t="shared" si="49"/>
        <v>1655000</v>
      </c>
      <c r="O293" s="11">
        <f t="shared" si="50"/>
        <v>0.11143184585631401</v>
      </c>
      <c r="P293" s="5">
        <f t="shared" si="51"/>
        <v>16047126.436781609</v>
      </c>
      <c r="Q293" s="10">
        <f t="shared" si="52"/>
        <v>1655000</v>
      </c>
      <c r="R293" s="11">
        <f t="shared" si="53"/>
        <v>0.10313372967552467</v>
      </c>
    </row>
    <row r="294" spans="1:18" x14ac:dyDescent="0.3">
      <c r="A294" s="7">
        <v>12400001</v>
      </c>
      <c r="B294" s="7">
        <v>12450000</v>
      </c>
      <c r="C294" s="7">
        <v>30000</v>
      </c>
      <c r="E294" s="7">
        <v>0</v>
      </c>
      <c r="F294" s="7">
        <f t="shared" si="54"/>
        <v>1245000</v>
      </c>
      <c r="G294" s="13">
        <f t="shared" si="44"/>
        <v>2.1044176706827303E-2</v>
      </c>
      <c r="H294" s="7">
        <f t="shared" si="45"/>
        <v>30000</v>
      </c>
      <c r="I294" s="5">
        <f t="shared" si="46"/>
        <v>291999.99999999988</v>
      </c>
      <c r="L294" s="5">
        <f t="shared" si="47"/>
        <v>14017000</v>
      </c>
      <c r="M294" s="5">
        <f t="shared" si="48"/>
        <v>14911702.127659576</v>
      </c>
      <c r="N294" s="10">
        <f t="shared" si="49"/>
        <v>1661500</v>
      </c>
      <c r="O294" s="11">
        <f t="shared" si="50"/>
        <v>0.11142255832203751</v>
      </c>
      <c r="P294" s="5">
        <f t="shared" si="51"/>
        <v>16111494.252873564</v>
      </c>
      <c r="Q294" s="10">
        <f t="shared" si="52"/>
        <v>1661500</v>
      </c>
      <c r="R294" s="11">
        <f t="shared" si="53"/>
        <v>0.1031251337661411</v>
      </c>
    </row>
    <row r="295" spans="1:18" x14ac:dyDescent="0.3">
      <c r="A295" s="7">
        <v>12450001</v>
      </c>
      <c r="B295" s="7">
        <v>12500000</v>
      </c>
      <c r="C295" s="7">
        <v>30000</v>
      </c>
      <c r="E295" s="7">
        <v>0</v>
      </c>
      <c r="F295" s="7">
        <f t="shared" si="54"/>
        <v>1250000</v>
      </c>
      <c r="G295" s="13">
        <f t="shared" si="44"/>
        <v>2.1039999999999989E-2</v>
      </c>
      <c r="H295" s="7">
        <f t="shared" si="45"/>
        <v>30000</v>
      </c>
      <c r="I295" s="5">
        <f t="shared" si="46"/>
        <v>292999.99999999988</v>
      </c>
      <c r="L295" s="5">
        <f t="shared" si="47"/>
        <v>14073000</v>
      </c>
      <c r="M295" s="5">
        <f t="shared" si="48"/>
        <v>14971276.595744682</v>
      </c>
      <c r="N295" s="10">
        <f t="shared" si="49"/>
        <v>1668000</v>
      </c>
      <c r="O295" s="11">
        <f t="shared" si="50"/>
        <v>0.11141334470262203</v>
      </c>
      <c r="P295" s="5">
        <f t="shared" si="51"/>
        <v>16175862.068965517</v>
      </c>
      <c r="Q295" s="10">
        <f t="shared" si="52"/>
        <v>1668000</v>
      </c>
      <c r="R295" s="11">
        <f t="shared" si="53"/>
        <v>0.1031166062673204</v>
      </c>
    </row>
    <row r="296" spans="1:18" x14ac:dyDescent="0.3">
      <c r="A296" s="7">
        <v>12500001</v>
      </c>
      <c r="B296" s="7">
        <v>12550000</v>
      </c>
      <c r="C296" s="7">
        <v>30000</v>
      </c>
      <c r="E296" s="7">
        <v>0</v>
      </c>
      <c r="F296" s="7">
        <f t="shared" si="54"/>
        <v>1255000</v>
      </c>
      <c r="G296" s="13">
        <f t="shared" si="44"/>
        <v>2.1035856573705172E-2</v>
      </c>
      <c r="H296" s="7">
        <f t="shared" si="45"/>
        <v>30000</v>
      </c>
      <c r="I296" s="5">
        <f t="shared" si="46"/>
        <v>293999.99999999988</v>
      </c>
      <c r="L296" s="5">
        <f t="shared" si="47"/>
        <v>14129000</v>
      </c>
      <c r="M296" s="5">
        <f t="shared" si="48"/>
        <v>15030851.063829789</v>
      </c>
      <c r="N296" s="10">
        <f t="shared" si="49"/>
        <v>1674500</v>
      </c>
      <c r="O296" s="11">
        <f t="shared" si="50"/>
        <v>0.11140420411918747</v>
      </c>
      <c r="P296" s="5">
        <f t="shared" si="51"/>
        <v>16240229.885057472</v>
      </c>
      <c r="Q296" s="10">
        <f t="shared" si="52"/>
        <v>1674500</v>
      </c>
      <c r="R296" s="11">
        <f t="shared" si="53"/>
        <v>0.10310814636563097</v>
      </c>
    </row>
    <row r="297" spans="1:18" x14ac:dyDescent="0.3">
      <c r="A297" s="7">
        <v>12550001</v>
      </c>
      <c r="B297" s="7">
        <v>12600000</v>
      </c>
      <c r="C297" s="7">
        <v>30000</v>
      </c>
      <c r="E297" s="7">
        <v>0</v>
      </c>
      <c r="F297" s="7">
        <f t="shared" si="54"/>
        <v>1260000</v>
      </c>
      <c r="G297" s="13">
        <f t="shared" si="44"/>
        <v>2.1031746031746026E-2</v>
      </c>
      <c r="H297" s="7">
        <f t="shared" si="45"/>
        <v>30000</v>
      </c>
      <c r="I297" s="5">
        <f t="shared" si="46"/>
        <v>294999.99999999994</v>
      </c>
      <c r="L297" s="5">
        <f t="shared" si="47"/>
        <v>14185000</v>
      </c>
      <c r="M297" s="5">
        <f t="shared" si="48"/>
        <v>15090425.531914895</v>
      </c>
      <c r="N297" s="10">
        <f t="shared" si="49"/>
        <v>1681000</v>
      </c>
      <c r="O297" s="11">
        <f t="shared" si="50"/>
        <v>0.11139513570673246</v>
      </c>
      <c r="P297" s="5">
        <f t="shared" si="51"/>
        <v>16304597.701149425</v>
      </c>
      <c r="Q297" s="10">
        <f t="shared" si="52"/>
        <v>1681000</v>
      </c>
      <c r="R297" s="11">
        <f t="shared" si="53"/>
        <v>0.10309975326048644</v>
      </c>
    </row>
    <row r="298" spans="1:18" x14ac:dyDescent="0.3">
      <c r="A298" s="7">
        <v>12600001</v>
      </c>
      <c r="B298" s="7">
        <v>12650000</v>
      </c>
      <c r="C298" s="7">
        <v>30000</v>
      </c>
      <c r="E298" s="7">
        <v>0</v>
      </c>
      <c r="F298" s="7">
        <f t="shared" si="54"/>
        <v>1265000</v>
      </c>
      <c r="G298" s="13">
        <f t="shared" si="44"/>
        <v>2.1027667984189716E-2</v>
      </c>
      <c r="H298" s="7">
        <f t="shared" si="45"/>
        <v>30000</v>
      </c>
      <c r="I298" s="5">
        <f t="shared" si="46"/>
        <v>295999.99999999988</v>
      </c>
      <c r="L298" s="5">
        <f t="shared" si="47"/>
        <v>14241000</v>
      </c>
      <c r="M298" s="5">
        <f t="shared" si="48"/>
        <v>15150000</v>
      </c>
      <c r="N298" s="10">
        <f t="shared" si="49"/>
        <v>1687500</v>
      </c>
      <c r="O298" s="11">
        <f t="shared" si="50"/>
        <v>0.11138613861386139</v>
      </c>
      <c r="P298" s="5">
        <f t="shared" si="51"/>
        <v>16368965.517241379</v>
      </c>
      <c r="Q298" s="10">
        <f t="shared" si="52"/>
        <v>1687500</v>
      </c>
      <c r="R298" s="11">
        <f t="shared" si="53"/>
        <v>0.10309142616389298</v>
      </c>
    </row>
    <row r="299" spans="1:18" x14ac:dyDescent="0.3">
      <c r="A299" s="7">
        <v>12650001</v>
      </c>
      <c r="B299" s="7">
        <v>12700000</v>
      </c>
      <c r="C299" s="7">
        <v>30000</v>
      </c>
      <c r="E299" s="7">
        <v>0</v>
      </c>
      <c r="F299" s="7">
        <f t="shared" si="54"/>
        <v>1270000</v>
      </c>
      <c r="G299" s="13">
        <f t="shared" si="44"/>
        <v>2.1023622047244089E-2</v>
      </c>
      <c r="H299" s="7">
        <f t="shared" si="45"/>
        <v>30000</v>
      </c>
      <c r="I299" s="5">
        <f t="shared" si="46"/>
        <v>296999.99999999994</v>
      </c>
      <c r="L299" s="5">
        <f t="shared" si="47"/>
        <v>14297000</v>
      </c>
      <c r="M299" s="5">
        <f t="shared" si="48"/>
        <v>15209574.468085106</v>
      </c>
      <c r="N299" s="10">
        <f t="shared" si="49"/>
        <v>1694000</v>
      </c>
      <c r="O299" s="11">
        <f t="shared" si="50"/>
        <v>0.11137721200251802</v>
      </c>
      <c r="P299" s="5">
        <f t="shared" si="51"/>
        <v>16433333.333333334</v>
      </c>
      <c r="Q299" s="10">
        <f t="shared" si="52"/>
        <v>1694000</v>
      </c>
      <c r="R299" s="11">
        <f t="shared" si="53"/>
        <v>0.10308316430020284</v>
      </c>
    </row>
    <row r="300" spans="1:18" x14ac:dyDescent="0.3">
      <c r="A300" s="7">
        <v>12700001</v>
      </c>
      <c r="B300" s="7">
        <v>12750000</v>
      </c>
      <c r="C300" s="7">
        <v>30000</v>
      </c>
      <c r="E300" s="7">
        <v>0</v>
      </c>
      <c r="F300" s="7">
        <f t="shared" si="54"/>
        <v>1275000</v>
      </c>
      <c r="G300" s="13">
        <f t="shared" si="44"/>
        <v>2.101960784313725E-2</v>
      </c>
      <c r="H300" s="7">
        <f t="shared" si="45"/>
        <v>30000</v>
      </c>
      <c r="I300" s="5">
        <f t="shared" si="46"/>
        <v>297999.99999999994</v>
      </c>
      <c r="L300" s="5">
        <f t="shared" si="47"/>
        <v>14353000</v>
      </c>
      <c r="M300" s="5">
        <f t="shared" si="48"/>
        <v>15269148.936170213</v>
      </c>
      <c r="N300" s="10">
        <f t="shared" si="49"/>
        <v>1700500</v>
      </c>
      <c r="O300" s="11">
        <f t="shared" si="50"/>
        <v>0.11136835504772521</v>
      </c>
      <c r="P300" s="5">
        <f t="shared" si="51"/>
        <v>16497701.149425287</v>
      </c>
      <c r="Q300" s="10">
        <f t="shared" si="52"/>
        <v>1700500</v>
      </c>
      <c r="R300" s="11">
        <f t="shared" si="53"/>
        <v>0.10307496690587334</v>
      </c>
    </row>
    <row r="301" spans="1:18" x14ac:dyDescent="0.3">
      <c r="A301" s="7">
        <v>12750001</v>
      </c>
      <c r="B301" s="7">
        <v>12800000</v>
      </c>
      <c r="C301" s="7">
        <v>30000</v>
      </c>
      <c r="E301" s="7">
        <v>0</v>
      </c>
      <c r="F301" s="7">
        <f t="shared" si="54"/>
        <v>1280000</v>
      </c>
      <c r="G301" s="13">
        <f t="shared" si="44"/>
        <v>2.1015624999999996E-2</v>
      </c>
      <c r="H301" s="7">
        <f t="shared" si="45"/>
        <v>30000</v>
      </c>
      <c r="I301" s="5">
        <f t="shared" si="46"/>
        <v>298999.99999999994</v>
      </c>
      <c r="L301" s="5">
        <f t="shared" si="47"/>
        <v>14409000</v>
      </c>
      <c r="M301" s="5">
        <f t="shared" si="48"/>
        <v>15328723.404255319</v>
      </c>
      <c r="N301" s="10">
        <f t="shared" si="49"/>
        <v>1707000</v>
      </c>
      <c r="O301" s="11">
        <f t="shared" si="50"/>
        <v>0.11135956693733083</v>
      </c>
      <c r="P301" s="5">
        <f t="shared" si="51"/>
        <v>16562068.965517242</v>
      </c>
      <c r="Q301" s="10">
        <f t="shared" si="52"/>
        <v>1707000</v>
      </c>
      <c r="R301" s="11">
        <f t="shared" si="53"/>
        <v>0.10306683322923173</v>
      </c>
    </row>
    <row r="302" spans="1:18" x14ac:dyDescent="0.3">
      <c r="A302" s="7">
        <v>12800001</v>
      </c>
      <c r="B302" s="7">
        <v>12850000</v>
      </c>
      <c r="C302" s="7">
        <v>30000</v>
      </c>
      <c r="E302" s="7">
        <v>0</v>
      </c>
      <c r="F302" s="7">
        <f t="shared" si="54"/>
        <v>1285000</v>
      </c>
      <c r="G302" s="13">
        <f t="shared" si="44"/>
        <v>2.1011673151750968E-2</v>
      </c>
      <c r="H302" s="7">
        <f t="shared" si="45"/>
        <v>30000</v>
      </c>
      <c r="I302" s="5">
        <f t="shared" si="46"/>
        <v>299999.99999999994</v>
      </c>
      <c r="L302" s="5">
        <f t="shared" si="47"/>
        <v>14465000</v>
      </c>
      <c r="M302" s="5">
        <f t="shared" si="48"/>
        <v>15388297.872340426</v>
      </c>
      <c r="N302" s="10">
        <f t="shared" si="49"/>
        <v>1713500</v>
      </c>
      <c r="O302" s="11">
        <f t="shared" si="50"/>
        <v>0.11135084687175942</v>
      </c>
      <c r="P302" s="5">
        <f t="shared" si="51"/>
        <v>16626436.781609196</v>
      </c>
      <c r="Q302" s="10">
        <f t="shared" si="52"/>
        <v>1713500</v>
      </c>
      <c r="R302" s="11">
        <f t="shared" si="53"/>
        <v>0.10305876253024542</v>
      </c>
    </row>
    <row r="303" spans="1:18" x14ac:dyDescent="0.3">
      <c r="A303" s="7">
        <v>12850001</v>
      </c>
      <c r="B303" s="7">
        <v>12900000</v>
      </c>
      <c r="C303" s="7">
        <v>30000</v>
      </c>
      <c r="E303" s="7">
        <v>0</v>
      </c>
      <c r="F303" s="7">
        <f t="shared" si="54"/>
        <v>1290000</v>
      </c>
      <c r="G303" s="13">
        <f t="shared" si="44"/>
        <v>2.1007751937984487E-2</v>
      </c>
      <c r="H303" s="7">
        <f t="shared" si="45"/>
        <v>30000</v>
      </c>
      <c r="I303" s="5">
        <f t="shared" si="46"/>
        <v>300999.99999999988</v>
      </c>
      <c r="L303" s="5">
        <f t="shared" si="47"/>
        <v>14521000</v>
      </c>
      <c r="M303" s="5">
        <f t="shared" si="48"/>
        <v>15447872.340425532</v>
      </c>
      <c r="N303" s="10">
        <f t="shared" si="49"/>
        <v>1720000</v>
      </c>
      <c r="O303" s="11">
        <f t="shared" si="50"/>
        <v>0.1113421940637697</v>
      </c>
      <c r="P303" s="5">
        <f t="shared" si="51"/>
        <v>16690804.597701149</v>
      </c>
      <c r="Q303" s="10">
        <f t="shared" si="52"/>
        <v>1720000</v>
      </c>
      <c r="R303" s="11">
        <f t="shared" si="53"/>
        <v>0.1030507540802975</v>
      </c>
    </row>
    <row r="304" spans="1:18" x14ac:dyDescent="0.3">
      <c r="A304" s="7">
        <v>12900001</v>
      </c>
      <c r="B304" s="7">
        <v>12950000</v>
      </c>
      <c r="C304" s="7">
        <v>30000</v>
      </c>
      <c r="E304" s="7">
        <v>0</v>
      </c>
      <c r="F304" s="7">
        <f t="shared" si="54"/>
        <v>1295000</v>
      </c>
      <c r="G304" s="13">
        <f t="shared" si="44"/>
        <v>2.1003861003860994E-2</v>
      </c>
      <c r="H304" s="7">
        <f t="shared" si="45"/>
        <v>30000</v>
      </c>
      <c r="I304" s="5">
        <f t="shared" si="46"/>
        <v>301999.99999999988</v>
      </c>
      <c r="L304" s="5">
        <f t="shared" si="47"/>
        <v>14577000</v>
      </c>
      <c r="M304" s="5">
        <f t="shared" si="48"/>
        <v>15507446.808510639</v>
      </c>
      <c r="N304" s="10">
        <f t="shared" si="49"/>
        <v>1726500</v>
      </c>
      <c r="O304" s="11">
        <f t="shared" si="50"/>
        <v>0.11133360773821774</v>
      </c>
      <c r="P304" s="5">
        <f t="shared" si="51"/>
        <v>16755172.413793104</v>
      </c>
      <c r="Q304" s="10">
        <f t="shared" si="52"/>
        <v>1726500</v>
      </c>
      <c r="R304" s="11">
        <f t="shared" si="53"/>
        <v>0.10304280716196748</v>
      </c>
    </row>
    <row r="305" spans="1:18" x14ac:dyDescent="0.3">
      <c r="A305" s="7">
        <v>12950001</v>
      </c>
      <c r="B305" s="7">
        <v>13000000</v>
      </c>
      <c r="C305" s="7">
        <v>30000</v>
      </c>
      <c r="E305" s="7">
        <v>0</v>
      </c>
      <c r="F305" s="7">
        <f t="shared" si="54"/>
        <v>1300000</v>
      </c>
      <c r="G305" s="13">
        <f t="shared" si="44"/>
        <v>2.0999999999999991E-2</v>
      </c>
      <c r="H305" s="7">
        <f t="shared" si="45"/>
        <v>30000</v>
      </c>
      <c r="I305" s="5">
        <f t="shared" si="46"/>
        <v>302999.99999999988</v>
      </c>
      <c r="L305" s="5">
        <f t="shared" si="47"/>
        <v>14633000</v>
      </c>
      <c r="M305" s="5">
        <f t="shared" si="48"/>
        <v>15567021.276595745</v>
      </c>
      <c r="N305" s="10">
        <f t="shared" si="49"/>
        <v>1733000</v>
      </c>
      <c r="O305" s="11">
        <f t="shared" si="50"/>
        <v>0.11132508713182532</v>
      </c>
      <c r="P305" s="5">
        <f t="shared" si="51"/>
        <v>16819540.229885057</v>
      </c>
      <c r="Q305" s="10">
        <f t="shared" si="52"/>
        <v>1733000</v>
      </c>
      <c r="R305" s="11">
        <f t="shared" si="53"/>
        <v>0.10303492106881706</v>
      </c>
    </row>
    <row r="306" spans="1:18" x14ac:dyDescent="0.3">
      <c r="A306" s="7">
        <v>13000001</v>
      </c>
      <c r="B306" s="7">
        <v>13050000</v>
      </c>
      <c r="C306" s="7">
        <v>30000</v>
      </c>
      <c r="E306" s="7">
        <v>0</v>
      </c>
      <c r="F306" s="7">
        <f t="shared" si="54"/>
        <v>1305000</v>
      </c>
      <c r="G306" s="13">
        <f t="shared" si="44"/>
        <v>2.0996168582375463E-2</v>
      </c>
      <c r="H306" s="7">
        <f t="shared" si="45"/>
        <v>30000</v>
      </c>
      <c r="I306" s="5">
        <f t="shared" si="46"/>
        <v>303999.99999999977</v>
      </c>
      <c r="L306" s="5">
        <f t="shared" si="47"/>
        <v>14689000</v>
      </c>
      <c r="M306" s="5">
        <f t="shared" si="48"/>
        <v>15626595.744680852</v>
      </c>
      <c r="N306" s="10">
        <f t="shared" si="49"/>
        <v>1739500</v>
      </c>
      <c r="O306" s="11">
        <f t="shared" si="50"/>
        <v>0.11131663149295391</v>
      </c>
      <c r="P306" s="5">
        <f t="shared" si="51"/>
        <v>16883908.045977011</v>
      </c>
      <c r="Q306" s="10">
        <f t="shared" si="52"/>
        <v>1739500</v>
      </c>
      <c r="R306" s="11">
        <f t="shared" si="53"/>
        <v>0.10302709510518075</v>
      </c>
    </row>
    <row r="307" spans="1:18" x14ac:dyDescent="0.3">
      <c r="A307" s="7">
        <v>13050001</v>
      </c>
      <c r="B307" s="7">
        <v>13100000</v>
      </c>
      <c r="C307" s="7">
        <v>30000</v>
      </c>
      <c r="E307" s="7">
        <v>0</v>
      </c>
      <c r="F307" s="7">
        <f t="shared" si="54"/>
        <v>1310000</v>
      </c>
      <c r="G307" s="13">
        <f t="shared" si="44"/>
        <v>2.0992366412213734E-2</v>
      </c>
      <c r="H307" s="7">
        <f t="shared" si="45"/>
        <v>30000</v>
      </c>
      <c r="I307" s="5">
        <f t="shared" si="46"/>
        <v>304999.99999999988</v>
      </c>
      <c r="L307" s="5">
        <f t="shared" si="47"/>
        <v>14745000</v>
      </c>
      <c r="M307" s="5">
        <f t="shared" si="48"/>
        <v>15686170.212765958</v>
      </c>
      <c r="N307" s="10">
        <f t="shared" si="49"/>
        <v>1746000</v>
      </c>
      <c r="O307" s="11">
        <f t="shared" si="50"/>
        <v>0.11130824008138351</v>
      </c>
      <c r="P307" s="5">
        <f t="shared" si="51"/>
        <v>16948275.862068966</v>
      </c>
      <c r="Q307" s="10">
        <f t="shared" si="52"/>
        <v>1746000</v>
      </c>
      <c r="R307" s="11">
        <f t="shared" si="53"/>
        <v>0.10301932858596134</v>
      </c>
    </row>
    <row r="308" spans="1:18" x14ac:dyDescent="0.3">
      <c r="A308" s="7">
        <v>13100001</v>
      </c>
      <c r="B308" s="7">
        <v>13150000</v>
      </c>
      <c r="C308" s="7">
        <v>30000</v>
      </c>
      <c r="E308" s="7">
        <v>0</v>
      </c>
      <c r="F308" s="7">
        <f t="shared" si="54"/>
        <v>1315000</v>
      </c>
      <c r="G308" s="13">
        <f t="shared" si="44"/>
        <v>2.098859315589352E-2</v>
      </c>
      <c r="H308" s="7">
        <f t="shared" si="45"/>
        <v>30000</v>
      </c>
      <c r="I308" s="5">
        <f t="shared" si="46"/>
        <v>305999.99999999977</v>
      </c>
      <c r="L308" s="5">
        <f t="shared" si="47"/>
        <v>14801000</v>
      </c>
      <c r="M308" s="5">
        <f t="shared" si="48"/>
        <v>15745744.680851065</v>
      </c>
      <c r="N308" s="10">
        <f t="shared" si="49"/>
        <v>1752500</v>
      </c>
      <c r="O308" s="11">
        <f t="shared" si="50"/>
        <v>0.11129991216809675</v>
      </c>
      <c r="P308" s="5">
        <f t="shared" si="51"/>
        <v>17012643.678160921</v>
      </c>
      <c r="Q308" s="10">
        <f t="shared" si="52"/>
        <v>1752500.0000000019</v>
      </c>
      <c r="R308" s="11">
        <f t="shared" si="53"/>
        <v>0.10301162083643008</v>
      </c>
    </row>
    <row r="309" spans="1:18" x14ac:dyDescent="0.3">
      <c r="A309" s="7">
        <v>13150001</v>
      </c>
      <c r="B309" s="7">
        <v>13200000</v>
      </c>
      <c r="C309" s="7">
        <v>30000</v>
      </c>
      <c r="E309" s="7">
        <v>0</v>
      </c>
      <c r="F309" s="7">
        <f t="shared" si="54"/>
        <v>1320000</v>
      </c>
      <c r="G309" s="13">
        <f t="shared" si="44"/>
        <v>2.0984848484848481E-2</v>
      </c>
      <c r="H309" s="7">
        <f t="shared" si="45"/>
        <v>30000</v>
      </c>
      <c r="I309" s="5">
        <f t="shared" si="46"/>
        <v>306999.99999999994</v>
      </c>
      <c r="L309" s="5">
        <f t="shared" si="47"/>
        <v>14857000</v>
      </c>
      <c r="M309" s="5">
        <f t="shared" si="48"/>
        <v>15805319.148936171</v>
      </c>
      <c r="N309" s="10">
        <f t="shared" si="49"/>
        <v>1759000</v>
      </c>
      <c r="O309" s="11">
        <f t="shared" si="50"/>
        <v>0.11129164703506764</v>
      </c>
      <c r="P309" s="5">
        <f t="shared" si="51"/>
        <v>17077011.494252875</v>
      </c>
      <c r="Q309" s="10">
        <f t="shared" si="52"/>
        <v>1759000.0000000019</v>
      </c>
      <c r="R309" s="11">
        <f t="shared" si="53"/>
        <v>0.10300397119203079</v>
      </c>
    </row>
    <row r="310" spans="1:18" x14ac:dyDescent="0.3">
      <c r="A310" s="7">
        <v>13200001</v>
      </c>
      <c r="B310" s="7">
        <v>13250000</v>
      </c>
      <c r="C310" s="7">
        <v>30000</v>
      </c>
      <c r="E310" s="7">
        <v>0</v>
      </c>
      <c r="F310" s="7">
        <f t="shared" si="54"/>
        <v>1325000</v>
      </c>
      <c r="G310" s="13">
        <f t="shared" si="44"/>
        <v>2.0981132075471684E-2</v>
      </c>
      <c r="H310" s="7">
        <f t="shared" si="45"/>
        <v>30000</v>
      </c>
      <c r="I310" s="5">
        <f t="shared" si="46"/>
        <v>307999.99999999983</v>
      </c>
      <c r="L310" s="5">
        <f t="shared" si="47"/>
        <v>14913000</v>
      </c>
      <c r="M310" s="5">
        <f t="shared" si="48"/>
        <v>15864893.617021278</v>
      </c>
      <c r="N310" s="10">
        <f t="shared" si="49"/>
        <v>1765500</v>
      </c>
      <c r="O310" s="11">
        <f t="shared" si="50"/>
        <v>0.11128344397505531</v>
      </c>
      <c r="P310" s="5">
        <f t="shared" si="51"/>
        <v>17141379.310344826</v>
      </c>
      <c r="Q310" s="10">
        <f t="shared" si="52"/>
        <v>1765499.9999999981</v>
      </c>
      <c r="R310" s="11">
        <f t="shared" si="53"/>
        <v>0.10299637899818939</v>
      </c>
    </row>
    <row r="311" spans="1:18" x14ac:dyDescent="0.3">
      <c r="A311" s="7">
        <v>13250001</v>
      </c>
      <c r="B311" s="7">
        <v>13300000</v>
      </c>
      <c r="C311" s="7">
        <v>30000</v>
      </c>
      <c r="E311" s="7">
        <v>0</v>
      </c>
      <c r="F311" s="7">
        <f t="shared" si="54"/>
        <v>1330000</v>
      </c>
      <c r="G311" s="13">
        <f t="shared" si="44"/>
        <v>2.0977443609022553E-2</v>
      </c>
      <c r="H311" s="7">
        <f t="shared" si="45"/>
        <v>30000</v>
      </c>
      <c r="I311" s="5">
        <f t="shared" si="46"/>
        <v>308999.99999999994</v>
      </c>
      <c r="L311" s="5">
        <f t="shared" si="47"/>
        <v>14969000</v>
      </c>
      <c r="M311" s="5">
        <f t="shared" si="48"/>
        <v>15924468.085106384</v>
      </c>
      <c r="N311" s="10">
        <f t="shared" si="49"/>
        <v>1772000</v>
      </c>
      <c r="O311" s="11">
        <f t="shared" si="50"/>
        <v>0.11127530229140223</v>
      </c>
      <c r="P311" s="5">
        <f t="shared" si="51"/>
        <v>17205747.126436781</v>
      </c>
      <c r="Q311" s="10">
        <f t="shared" si="52"/>
        <v>1772000</v>
      </c>
      <c r="R311" s="11">
        <f t="shared" si="53"/>
        <v>0.1029888436101276</v>
      </c>
    </row>
    <row r="312" spans="1:18" x14ac:dyDescent="0.3">
      <c r="A312" s="7">
        <v>13300001</v>
      </c>
      <c r="B312" s="7">
        <v>13350000</v>
      </c>
      <c r="C312" s="7">
        <v>30000</v>
      </c>
      <c r="E312" s="7">
        <v>0</v>
      </c>
      <c r="F312" s="7">
        <f t="shared" si="54"/>
        <v>1335000</v>
      </c>
      <c r="G312" s="13">
        <f t="shared" si="44"/>
        <v>2.0973782771535568E-2</v>
      </c>
      <c r="H312" s="7">
        <f t="shared" si="45"/>
        <v>30000</v>
      </c>
      <c r="I312" s="5">
        <f t="shared" si="46"/>
        <v>309999.99999999983</v>
      </c>
      <c r="L312" s="5">
        <f t="shared" si="47"/>
        <v>15025000</v>
      </c>
      <c r="M312" s="5">
        <f t="shared" si="48"/>
        <v>15984042.55319149</v>
      </c>
      <c r="N312" s="10">
        <f t="shared" si="49"/>
        <v>1778500</v>
      </c>
      <c r="O312" s="11">
        <f t="shared" si="50"/>
        <v>0.11126722129783694</v>
      </c>
      <c r="P312" s="5">
        <f t="shared" si="51"/>
        <v>17270114.942528736</v>
      </c>
      <c r="Q312" s="10">
        <f t="shared" si="52"/>
        <v>1778500</v>
      </c>
      <c r="R312" s="11">
        <f t="shared" si="53"/>
        <v>0.10298136439267887</v>
      </c>
    </row>
    <row r="313" spans="1:18" x14ac:dyDescent="0.3">
      <c r="A313" s="7">
        <v>13350001</v>
      </c>
      <c r="B313" s="7">
        <v>13400000</v>
      </c>
      <c r="C313" s="7">
        <v>30000</v>
      </c>
      <c r="E313" s="7">
        <v>0</v>
      </c>
      <c r="F313" s="7">
        <f t="shared" si="54"/>
        <v>1340000</v>
      </c>
      <c r="G313" s="13">
        <f t="shared" si="44"/>
        <v>2.0970149253731335E-2</v>
      </c>
      <c r="H313" s="7">
        <f t="shared" si="45"/>
        <v>30000</v>
      </c>
      <c r="I313" s="5">
        <f t="shared" si="46"/>
        <v>310999.99999999988</v>
      </c>
      <c r="L313" s="5">
        <f t="shared" si="47"/>
        <v>15081000</v>
      </c>
      <c r="M313" s="5">
        <f t="shared" si="48"/>
        <v>16043617.021276597</v>
      </c>
      <c r="N313" s="10">
        <f t="shared" si="49"/>
        <v>1785000</v>
      </c>
      <c r="O313" s="11">
        <f t="shared" si="50"/>
        <v>0.11125920031828128</v>
      </c>
      <c r="P313" s="5">
        <f t="shared" si="51"/>
        <v>17334482.758620691</v>
      </c>
      <c r="Q313" s="10">
        <f t="shared" si="52"/>
        <v>1785000</v>
      </c>
      <c r="R313" s="11">
        <f t="shared" si="53"/>
        <v>0.10297394072011139</v>
      </c>
    </row>
    <row r="314" spans="1:18" x14ac:dyDescent="0.3">
      <c r="A314" s="7">
        <v>13400001</v>
      </c>
      <c r="B314" s="7">
        <v>13450000</v>
      </c>
      <c r="C314" s="7">
        <v>30000</v>
      </c>
      <c r="E314" s="7">
        <v>0</v>
      </c>
      <c r="F314" s="7">
        <f t="shared" si="54"/>
        <v>1345000</v>
      </c>
      <c r="G314" s="13">
        <f t="shared" si="44"/>
        <v>2.0966542750929351E-2</v>
      </c>
      <c r="H314" s="7">
        <f t="shared" si="45"/>
        <v>30000</v>
      </c>
      <c r="I314" s="5">
        <f t="shared" si="46"/>
        <v>311999.99999999977</v>
      </c>
      <c r="L314" s="5">
        <f t="shared" si="47"/>
        <v>15137000</v>
      </c>
      <c r="M314" s="5">
        <f t="shared" si="48"/>
        <v>16103191.489361703</v>
      </c>
      <c r="N314" s="10">
        <f t="shared" si="49"/>
        <v>1791500</v>
      </c>
      <c r="O314" s="11">
        <f t="shared" si="50"/>
        <v>0.11125123868666181</v>
      </c>
      <c r="P314" s="5">
        <f t="shared" si="51"/>
        <v>17398850.574712645</v>
      </c>
      <c r="Q314" s="10">
        <f t="shared" si="52"/>
        <v>1791500.0000000019</v>
      </c>
      <c r="R314" s="11">
        <f t="shared" si="53"/>
        <v>0.10296657197595306</v>
      </c>
    </row>
    <row r="315" spans="1:18" x14ac:dyDescent="0.3">
      <c r="A315" s="7">
        <v>13450001</v>
      </c>
      <c r="B315" s="7">
        <v>13500000</v>
      </c>
      <c r="C315" s="7">
        <v>30000</v>
      </c>
      <c r="E315" s="7">
        <v>0</v>
      </c>
      <c r="F315" s="7">
        <f t="shared" si="54"/>
        <v>1350000</v>
      </c>
      <c r="G315" s="13">
        <f t="shared" si="44"/>
        <v>2.0962962962962947E-2</v>
      </c>
      <c r="H315" s="7">
        <f t="shared" si="45"/>
        <v>30000</v>
      </c>
      <c r="I315" s="5">
        <f t="shared" si="46"/>
        <v>312999.99999999977</v>
      </c>
      <c r="L315" s="5">
        <f t="shared" si="47"/>
        <v>15193000</v>
      </c>
      <c r="M315" s="5">
        <f t="shared" si="48"/>
        <v>16162765.95744681</v>
      </c>
      <c r="N315" s="10">
        <f t="shared" si="49"/>
        <v>1798000</v>
      </c>
      <c r="O315" s="11">
        <f t="shared" si="50"/>
        <v>0.11124333574672546</v>
      </c>
      <c r="P315" s="5">
        <f t="shared" si="51"/>
        <v>17463218.390804596</v>
      </c>
      <c r="Q315" s="10">
        <f t="shared" si="52"/>
        <v>1797999.9999999981</v>
      </c>
      <c r="R315" s="11">
        <f t="shared" si="53"/>
        <v>0.10295925755282027</v>
      </c>
    </row>
    <row r="316" spans="1:18" x14ac:dyDescent="0.3">
      <c r="A316" s="7">
        <v>13500001</v>
      </c>
      <c r="B316" s="7">
        <v>13550000</v>
      </c>
      <c r="C316" s="7">
        <v>30000</v>
      </c>
      <c r="E316" s="7">
        <v>0</v>
      </c>
      <c r="F316" s="7">
        <f t="shared" si="54"/>
        <v>1355000</v>
      </c>
      <c r="G316" s="13">
        <f t="shared" si="44"/>
        <v>2.0959409594095937E-2</v>
      </c>
      <c r="H316" s="7">
        <f t="shared" si="45"/>
        <v>30000</v>
      </c>
      <c r="I316" s="5">
        <f t="shared" si="46"/>
        <v>313999.99999999994</v>
      </c>
      <c r="L316" s="5">
        <f t="shared" si="47"/>
        <v>15249000</v>
      </c>
      <c r="M316" s="5">
        <f t="shared" si="48"/>
        <v>16222340.425531916</v>
      </c>
      <c r="N316" s="10">
        <f t="shared" si="49"/>
        <v>1804500</v>
      </c>
      <c r="O316" s="11">
        <f t="shared" si="50"/>
        <v>0.11123549085185913</v>
      </c>
      <c r="P316" s="5">
        <f t="shared" si="51"/>
        <v>17527586.206896551</v>
      </c>
      <c r="Q316" s="10">
        <f t="shared" si="52"/>
        <v>1804500</v>
      </c>
      <c r="R316" s="11">
        <f t="shared" si="53"/>
        <v>0.10295199685225261</v>
      </c>
    </row>
    <row r="317" spans="1:18" x14ac:dyDescent="0.3">
      <c r="A317" s="7">
        <v>13550001</v>
      </c>
      <c r="B317" s="7">
        <v>13600000</v>
      </c>
      <c r="C317" s="7">
        <v>30000</v>
      </c>
      <c r="E317" s="7">
        <v>0</v>
      </c>
      <c r="F317" s="7">
        <f t="shared" si="54"/>
        <v>1360000</v>
      </c>
      <c r="G317" s="13">
        <f t="shared" si="44"/>
        <v>2.0955882352941171E-2</v>
      </c>
      <c r="H317" s="7">
        <f t="shared" si="45"/>
        <v>30000</v>
      </c>
      <c r="I317" s="5">
        <f t="shared" si="46"/>
        <v>314999.99999999994</v>
      </c>
      <c r="L317" s="5">
        <f t="shared" si="47"/>
        <v>15305000</v>
      </c>
      <c r="M317" s="5">
        <f t="shared" si="48"/>
        <v>16281914.893617023</v>
      </c>
      <c r="N317" s="10">
        <f t="shared" si="49"/>
        <v>1811000</v>
      </c>
      <c r="O317" s="11">
        <f t="shared" si="50"/>
        <v>0.11122770336491342</v>
      </c>
      <c r="P317" s="5">
        <f t="shared" si="51"/>
        <v>17591954.022988506</v>
      </c>
      <c r="Q317" s="10">
        <f t="shared" si="52"/>
        <v>1811000</v>
      </c>
      <c r="R317" s="11">
        <f t="shared" si="53"/>
        <v>0.10294478928454753</v>
      </c>
    </row>
    <row r="318" spans="1:18" x14ac:dyDescent="0.3">
      <c r="A318" s="7">
        <v>13600001</v>
      </c>
      <c r="B318" s="7">
        <v>13650000</v>
      </c>
      <c r="C318" s="7">
        <v>30000</v>
      </c>
      <c r="E318" s="7">
        <v>0</v>
      </c>
      <c r="F318" s="7">
        <f t="shared" si="54"/>
        <v>1365000</v>
      </c>
      <c r="G318" s="13">
        <f t="shared" si="44"/>
        <v>2.0952380952380945E-2</v>
      </c>
      <c r="H318" s="7">
        <f t="shared" si="45"/>
        <v>30000</v>
      </c>
      <c r="I318" s="5">
        <f t="shared" si="46"/>
        <v>315999.99999999988</v>
      </c>
      <c r="L318" s="5">
        <f t="shared" si="47"/>
        <v>15361000</v>
      </c>
      <c r="M318" s="5">
        <f t="shared" si="48"/>
        <v>16341489.361702129</v>
      </c>
      <c r="N318" s="10">
        <f t="shared" si="49"/>
        <v>1817500</v>
      </c>
      <c r="O318" s="11">
        <f t="shared" si="50"/>
        <v>0.11121997265803006</v>
      </c>
      <c r="P318" s="5">
        <f t="shared" si="51"/>
        <v>17656321.83908046</v>
      </c>
      <c r="Q318" s="10">
        <f t="shared" si="52"/>
        <v>1817500</v>
      </c>
      <c r="R318" s="11">
        <f t="shared" si="53"/>
        <v>0.10293763426860231</v>
      </c>
    </row>
    <row r="319" spans="1:18" x14ac:dyDescent="0.3">
      <c r="A319" s="7">
        <v>13650001</v>
      </c>
      <c r="B319" s="7">
        <v>13700000</v>
      </c>
      <c r="C319" s="7">
        <v>30000</v>
      </c>
      <c r="E319" s="7">
        <v>0</v>
      </c>
      <c r="F319" s="7">
        <f t="shared" si="54"/>
        <v>1370000</v>
      </c>
      <c r="G319" s="13">
        <f t="shared" si="44"/>
        <v>2.0948905109489047E-2</v>
      </c>
      <c r="H319" s="7">
        <f t="shared" si="45"/>
        <v>30000</v>
      </c>
      <c r="I319" s="5">
        <f t="shared" si="46"/>
        <v>316999.99999999994</v>
      </c>
      <c r="L319" s="5">
        <f t="shared" si="47"/>
        <v>15417000</v>
      </c>
      <c r="M319" s="5">
        <f t="shared" si="48"/>
        <v>16401063.829787236</v>
      </c>
      <c r="N319" s="10">
        <f t="shared" si="49"/>
        <v>1824000</v>
      </c>
      <c r="O319" s="11">
        <f t="shared" si="50"/>
        <v>0.11121229811247323</v>
      </c>
      <c r="P319" s="5">
        <f t="shared" si="51"/>
        <v>17720689.655172415</v>
      </c>
      <c r="Q319" s="10">
        <f t="shared" si="52"/>
        <v>1824000.0000000019</v>
      </c>
      <c r="R319" s="11">
        <f t="shared" si="53"/>
        <v>0.10293053123175724</v>
      </c>
    </row>
    <row r="320" spans="1:18" x14ac:dyDescent="0.3">
      <c r="A320" s="7">
        <v>13700001</v>
      </c>
      <c r="B320" s="7">
        <v>13750000</v>
      </c>
      <c r="C320" s="7">
        <v>30000</v>
      </c>
      <c r="E320" s="7">
        <v>0</v>
      </c>
      <c r="F320" s="7">
        <f t="shared" si="54"/>
        <v>1375000</v>
      </c>
      <c r="G320" s="13">
        <f t="shared" si="44"/>
        <v>2.0945454545454531E-2</v>
      </c>
      <c r="H320" s="7">
        <f t="shared" si="45"/>
        <v>30000</v>
      </c>
      <c r="I320" s="5">
        <f t="shared" si="46"/>
        <v>317999.99999999983</v>
      </c>
      <c r="L320" s="5">
        <f t="shared" si="47"/>
        <v>15473000</v>
      </c>
      <c r="M320" s="5">
        <f t="shared" si="48"/>
        <v>16460638.297872342</v>
      </c>
      <c r="N320" s="10">
        <f t="shared" si="49"/>
        <v>1830500</v>
      </c>
      <c r="O320" s="11">
        <f t="shared" si="50"/>
        <v>0.11120467911846441</v>
      </c>
      <c r="P320" s="5">
        <f t="shared" si="51"/>
        <v>17785057.471264366</v>
      </c>
      <c r="Q320" s="10">
        <f t="shared" si="52"/>
        <v>1830499.9999999981</v>
      </c>
      <c r="R320" s="11">
        <f t="shared" si="53"/>
        <v>0.10292347960964252</v>
      </c>
    </row>
    <row r="321" spans="1:18" x14ac:dyDescent="0.3">
      <c r="A321" s="7">
        <v>13750001</v>
      </c>
      <c r="B321" s="7">
        <v>13800000</v>
      </c>
      <c r="C321" s="7">
        <v>30000</v>
      </c>
      <c r="E321" s="7">
        <v>0</v>
      </c>
      <c r="F321" s="7">
        <f t="shared" si="54"/>
        <v>1380000</v>
      </c>
      <c r="G321" s="13">
        <f t="shared" si="44"/>
        <v>2.0942028985507233E-2</v>
      </c>
      <c r="H321" s="7">
        <f t="shared" si="45"/>
        <v>30000</v>
      </c>
      <c r="I321" s="5">
        <f t="shared" si="46"/>
        <v>318999.99999999983</v>
      </c>
      <c r="L321" s="5">
        <f t="shared" si="47"/>
        <v>15529000</v>
      </c>
      <c r="M321" s="5">
        <f t="shared" si="48"/>
        <v>16520212.765957449</v>
      </c>
      <c r="N321" s="10">
        <f t="shared" si="49"/>
        <v>1837000</v>
      </c>
      <c r="O321" s="11">
        <f t="shared" si="50"/>
        <v>0.11119711507502092</v>
      </c>
      <c r="P321" s="5">
        <f t="shared" si="51"/>
        <v>17849425.287356321</v>
      </c>
      <c r="Q321" s="10">
        <f t="shared" si="52"/>
        <v>1836999.9999999981</v>
      </c>
      <c r="R321" s="11">
        <f t="shared" si="53"/>
        <v>0.1029164788460299</v>
      </c>
    </row>
    <row r="322" spans="1:18" x14ac:dyDescent="0.3">
      <c r="A322" s="7">
        <v>13800001</v>
      </c>
      <c r="B322" s="7">
        <v>13850000</v>
      </c>
      <c r="C322" s="7">
        <v>30000</v>
      </c>
      <c r="E322" s="7">
        <v>0</v>
      </c>
      <c r="F322" s="7">
        <f t="shared" si="54"/>
        <v>1385000</v>
      </c>
      <c r="G322" s="13">
        <f t="shared" si="44"/>
        <v>2.0938628158844758E-2</v>
      </c>
      <c r="H322" s="7">
        <f t="shared" si="45"/>
        <v>30000</v>
      </c>
      <c r="I322" s="5">
        <f t="shared" si="46"/>
        <v>319999.99999999988</v>
      </c>
      <c r="L322" s="5">
        <f t="shared" si="47"/>
        <v>15585000</v>
      </c>
      <c r="M322" s="5">
        <f t="shared" si="48"/>
        <v>16579787.234042553</v>
      </c>
      <c r="N322" s="10">
        <f t="shared" si="49"/>
        <v>1843500</v>
      </c>
      <c r="O322" s="11">
        <f t="shared" si="50"/>
        <v>0.11118960538979789</v>
      </c>
      <c r="P322" s="5">
        <f t="shared" si="51"/>
        <v>17913793.103448275</v>
      </c>
      <c r="Q322" s="10">
        <f t="shared" si="52"/>
        <v>1843500</v>
      </c>
      <c r="R322" s="11">
        <f t="shared" si="53"/>
        <v>0.10290952839268527</v>
      </c>
    </row>
    <row r="323" spans="1:18" x14ac:dyDescent="0.3">
      <c r="A323" s="7">
        <v>13850001</v>
      </c>
      <c r="B323" s="7">
        <v>13900000</v>
      </c>
      <c r="C323" s="7">
        <v>30000</v>
      </c>
      <c r="E323" s="7">
        <v>0</v>
      </c>
      <c r="F323" s="7">
        <f t="shared" si="54"/>
        <v>1390000</v>
      </c>
      <c r="G323" s="13">
        <f t="shared" ref="G323:G386" si="55">MIN($K$2,MAX($K$3,$K$4/B323+$K$3))-$K$17</f>
        <v>2.0935251798561136E-2</v>
      </c>
      <c r="H323" s="7">
        <f t="shared" ref="H323:H386" si="56">MIN($K$11,$K$9+$K$10*(B323-$B$2))</f>
        <v>30000</v>
      </c>
      <c r="I323" s="5">
        <f t="shared" ref="I323:I386" si="57">B323*G323+H323</f>
        <v>320999.99999999977</v>
      </c>
      <c r="L323" s="5">
        <f t="shared" ref="L323:L386" si="58">B323+C323+E323+F323+I323</f>
        <v>15641000</v>
      </c>
      <c r="M323" s="5">
        <f t="shared" ref="M323:M386" si="59">L323/(1-$K$14)</f>
        <v>16639361.70212766</v>
      </c>
      <c r="N323" s="10">
        <f t="shared" ref="N323:N386" si="60">M323*(1-$K$14)-(B323+E323+F323)*(1-$K$17)-C323</f>
        <v>1850000</v>
      </c>
      <c r="O323" s="11">
        <f t="shared" ref="O323:O386" si="61">N323/M323</f>
        <v>0.11118214947893357</v>
      </c>
      <c r="P323" s="5">
        <f t="shared" ref="P323:P386" si="62">L323/(1-$K$15)</f>
        <v>17978160.91954023</v>
      </c>
      <c r="Q323" s="10">
        <f t="shared" ref="Q323:Q386" si="63">P323*(1-$K$15)-(B323+E323+F323)*(1-$K$17)-C323</f>
        <v>1850000</v>
      </c>
      <c r="R323" s="11">
        <f t="shared" ref="R323:R386" si="64">Q323/P323</f>
        <v>0.10290262770922576</v>
      </c>
    </row>
    <row r="324" spans="1:18" x14ac:dyDescent="0.3">
      <c r="A324" s="7">
        <v>13900001</v>
      </c>
      <c r="B324" s="7">
        <v>13950000</v>
      </c>
      <c r="C324" s="7">
        <v>30000</v>
      </c>
      <c r="E324" s="7">
        <v>0</v>
      </c>
      <c r="F324" s="7">
        <f t="shared" si="54"/>
        <v>1395000</v>
      </c>
      <c r="G324" s="13">
        <f t="shared" si="55"/>
        <v>2.0931899641577045E-2</v>
      </c>
      <c r="H324" s="7">
        <f t="shared" si="56"/>
        <v>30000</v>
      </c>
      <c r="I324" s="5">
        <f t="shared" si="57"/>
        <v>321999.99999999977</v>
      </c>
      <c r="L324" s="5">
        <f t="shared" si="58"/>
        <v>15697000</v>
      </c>
      <c r="M324" s="5">
        <f t="shared" si="59"/>
        <v>16698936.170212766</v>
      </c>
      <c r="N324" s="10">
        <f t="shared" si="60"/>
        <v>1856500</v>
      </c>
      <c r="O324" s="11">
        <f t="shared" si="61"/>
        <v>0.11117474676689813</v>
      </c>
      <c r="P324" s="5">
        <f t="shared" si="62"/>
        <v>18042528.735632185</v>
      </c>
      <c r="Q324" s="10">
        <f t="shared" si="63"/>
        <v>1856500</v>
      </c>
      <c r="R324" s="11">
        <f t="shared" si="64"/>
        <v>0.10289577626298019</v>
      </c>
    </row>
    <row r="325" spans="1:18" x14ac:dyDescent="0.3">
      <c r="A325" s="7">
        <v>13950001</v>
      </c>
      <c r="B325" s="7">
        <v>14000000</v>
      </c>
      <c r="C325" s="7">
        <v>30000</v>
      </c>
      <c r="E325" s="7">
        <v>0</v>
      </c>
      <c r="F325" s="7">
        <f t="shared" si="54"/>
        <v>1400000</v>
      </c>
      <c r="G325" s="13">
        <f t="shared" si="55"/>
        <v>2.0928571428571421E-2</v>
      </c>
      <c r="H325" s="7">
        <f t="shared" si="56"/>
        <v>30000</v>
      </c>
      <c r="I325" s="5">
        <f t="shared" si="57"/>
        <v>322999.99999999988</v>
      </c>
      <c r="L325" s="5">
        <f t="shared" si="58"/>
        <v>15753000</v>
      </c>
      <c r="M325" s="5">
        <f t="shared" si="59"/>
        <v>16758510.638297873</v>
      </c>
      <c r="N325" s="10">
        <f t="shared" si="60"/>
        <v>1863000</v>
      </c>
      <c r="O325" s="11">
        <f t="shared" si="61"/>
        <v>0.11116739668634545</v>
      </c>
      <c r="P325" s="5">
        <f t="shared" si="62"/>
        <v>18106896.55172414</v>
      </c>
      <c r="Q325" s="10">
        <f t="shared" si="63"/>
        <v>1863000.0000000019</v>
      </c>
      <c r="R325" s="11">
        <f t="shared" si="64"/>
        <v>0.10288897352885173</v>
      </c>
    </row>
    <row r="326" spans="1:18" x14ac:dyDescent="0.3">
      <c r="A326" s="7">
        <v>14000001</v>
      </c>
      <c r="B326" s="7">
        <v>14050000</v>
      </c>
      <c r="C326" s="7">
        <v>30000</v>
      </c>
      <c r="E326" s="7">
        <v>0</v>
      </c>
      <c r="F326" s="7">
        <f t="shared" si="54"/>
        <v>1405000</v>
      </c>
      <c r="G326" s="13">
        <f t="shared" si="55"/>
        <v>2.092526690391458E-2</v>
      </c>
      <c r="H326" s="7">
        <f t="shared" si="56"/>
        <v>30000</v>
      </c>
      <c r="I326" s="5">
        <f t="shared" si="57"/>
        <v>323999.99999999983</v>
      </c>
      <c r="L326" s="5">
        <f t="shared" si="58"/>
        <v>15809000</v>
      </c>
      <c r="M326" s="5">
        <f t="shared" si="59"/>
        <v>16818085.106382981</v>
      </c>
      <c r="N326" s="10">
        <f t="shared" si="60"/>
        <v>1869500.0000000019</v>
      </c>
      <c r="O326" s="11">
        <f t="shared" si="61"/>
        <v>0.11116009867796835</v>
      </c>
      <c r="P326" s="5">
        <f t="shared" si="62"/>
        <v>18171264.367816091</v>
      </c>
      <c r="Q326" s="10">
        <f t="shared" si="63"/>
        <v>1869499.9999999981</v>
      </c>
      <c r="R326" s="11">
        <f t="shared" si="64"/>
        <v>0.10288221898918329</v>
      </c>
    </row>
    <row r="327" spans="1:18" x14ac:dyDescent="0.3">
      <c r="A327" s="7">
        <v>14050001</v>
      </c>
      <c r="B327" s="7">
        <v>14100000</v>
      </c>
      <c r="C327" s="7">
        <v>30000</v>
      </c>
      <c r="E327" s="7">
        <v>0</v>
      </c>
      <c r="F327" s="7">
        <f t="shared" si="54"/>
        <v>1410000</v>
      </c>
      <c r="G327" s="13">
        <f t="shared" si="55"/>
        <v>2.0921985815602825E-2</v>
      </c>
      <c r="H327" s="7">
        <f t="shared" si="56"/>
        <v>30000</v>
      </c>
      <c r="I327" s="5">
        <f t="shared" si="57"/>
        <v>324999.99999999983</v>
      </c>
      <c r="L327" s="5">
        <f t="shared" si="58"/>
        <v>15865000</v>
      </c>
      <c r="M327" s="5">
        <f t="shared" si="59"/>
        <v>16877659.574468087</v>
      </c>
      <c r="N327" s="10">
        <f t="shared" si="60"/>
        <v>1876000.0000000019</v>
      </c>
      <c r="O327" s="11">
        <f t="shared" si="61"/>
        <v>0.11115285219035623</v>
      </c>
      <c r="P327" s="5">
        <f t="shared" si="62"/>
        <v>18235632.183908045</v>
      </c>
      <c r="Q327" s="10">
        <f t="shared" si="63"/>
        <v>1876000</v>
      </c>
      <c r="R327" s="11">
        <f t="shared" si="64"/>
        <v>0.10287551213362749</v>
      </c>
    </row>
    <row r="328" spans="1:18" x14ac:dyDescent="0.3">
      <c r="A328" s="7">
        <v>14100001</v>
      </c>
      <c r="B328" s="7">
        <v>14150000</v>
      </c>
      <c r="C328" s="7">
        <v>30000</v>
      </c>
      <c r="E328" s="7">
        <v>0</v>
      </c>
      <c r="F328" s="7">
        <f t="shared" si="54"/>
        <v>1415000</v>
      </c>
      <c r="G328" s="13">
        <f t="shared" si="55"/>
        <v>2.0918727915194335E-2</v>
      </c>
      <c r="H328" s="7">
        <f t="shared" si="56"/>
        <v>30000</v>
      </c>
      <c r="I328" s="5">
        <f t="shared" si="57"/>
        <v>325999.99999999983</v>
      </c>
      <c r="L328" s="5">
        <f t="shared" si="58"/>
        <v>15921000</v>
      </c>
      <c r="M328" s="5">
        <f t="shared" si="59"/>
        <v>16937234.042553194</v>
      </c>
      <c r="N328" s="10">
        <f t="shared" si="60"/>
        <v>1882500.0000000019</v>
      </c>
      <c r="O328" s="11">
        <f t="shared" si="61"/>
        <v>0.11114565667985689</v>
      </c>
      <c r="P328" s="5">
        <f t="shared" si="62"/>
        <v>18300000</v>
      </c>
      <c r="Q328" s="10">
        <f t="shared" si="63"/>
        <v>1882500</v>
      </c>
      <c r="R328" s="11">
        <f t="shared" si="64"/>
        <v>0.10286885245901639</v>
      </c>
    </row>
    <row r="329" spans="1:18" x14ac:dyDescent="0.3">
      <c r="A329" s="7">
        <v>14150001</v>
      </c>
      <c r="B329" s="7">
        <v>14200000</v>
      </c>
      <c r="C329" s="7">
        <v>30000</v>
      </c>
      <c r="E329" s="7">
        <v>0</v>
      </c>
      <c r="F329" s="7">
        <f t="shared" si="54"/>
        <v>1420000</v>
      </c>
      <c r="G329" s="13">
        <f t="shared" si="55"/>
        <v>2.0915492957746473E-2</v>
      </c>
      <c r="H329" s="7">
        <f t="shared" si="56"/>
        <v>30000</v>
      </c>
      <c r="I329" s="5">
        <f t="shared" si="57"/>
        <v>326999.99999999994</v>
      </c>
      <c r="L329" s="5">
        <f t="shared" si="58"/>
        <v>15977000</v>
      </c>
      <c r="M329" s="5">
        <f t="shared" si="59"/>
        <v>16996808.5106383</v>
      </c>
      <c r="N329" s="10">
        <f t="shared" si="60"/>
        <v>1889000.0000000019</v>
      </c>
      <c r="O329" s="11">
        <f t="shared" si="61"/>
        <v>0.1111385116104401</v>
      </c>
      <c r="P329" s="5">
        <f t="shared" si="62"/>
        <v>18364367.816091955</v>
      </c>
      <c r="Q329" s="10">
        <f t="shared" si="63"/>
        <v>1889000</v>
      </c>
      <c r="R329" s="11">
        <f t="shared" si="64"/>
        <v>0.10286223946923702</v>
      </c>
    </row>
    <row r="330" spans="1:18" x14ac:dyDescent="0.3">
      <c r="A330" s="7">
        <v>14200001</v>
      </c>
      <c r="B330" s="7">
        <v>14250000</v>
      </c>
      <c r="C330" s="7">
        <v>30000</v>
      </c>
      <c r="E330" s="7">
        <v>0</v>
      </c>
      <c r="F330" s="7">
        <f t="shared" si="54"/>
        <v>1425000</v>
      </c>
      <c r="G330" s="13">
        <f t="shared" si="55"/>
        <v>2.0912280701754382E-2</v>
      </c>
      <c r="H330" s="7">
        <f t="shared" si="56"/>
        <v>30000</v>
      </c>
      <c r="I330" s="5">
        <f t="shared" si="57"/>
        <v>327999.99999999994</v>
      </c>
      <c r="L330" s="5">
        <f t="shared" si="58"/>
        <v>16033000</v>
      </c>
      <c r="M330" s="5">
        <f t="shared" si="59"/>
        <v>17056382.978723407</v>
      </c>
      <c r="N330" s="10">
        <f t="shared" si="60"/>
        <v>1895500.0000000019</v>
      </c>
      <c r="O330" s="11">
        <f t="shared" si="61"/>
        <v>0.11113141645356461</v>
      </c>
      <c r="P330" s="5">
        <f t="shared" si="62"/>
        <v>18428735.632183909</v>
      </c>
      <c r="Q330" s="10">
        <f t="shared" si="63"/>
        <v>1895500.0000000019</v>
      </c>
      <c r="R330" s="11">
        <f t="shared" si="64"/>
        <v>0.10285567267510769</v>
      </c>
    </row>
    <row r="331" spans="1:18" x14ac:dyDescent="0.3">
      <c r="A331" s="7">
        <v>14250001</v>
      </c>
      <c r="B331" s="7">
        <v>14300000</v>
      </c>
      <c r="C331" s="7">
        <v>30000</v>
      </c>
      <c r="E331" s="7">
        <v>0</v>
      </c>
      <c r="F331" s="7">
        <f t="shared" si="54"/>
        <v>1430000</v>
      </c>
      <c r="G331" s="13">
        <f t="shared" si="55"/>
        <v>2.0909090909090905E-2</v>
      </c>
      <c r="H331" s="7">
        <f t="shared" si="56"/>
        <v>30000</v>
      </c>
      <c r="I331" s="5">
        <f t="shared" si="57"/>
        <v>328999.99999999994</v>
      </c>
      <c r="L331" s="5">
        <f t="shared" si="58"/>
        <v>16089000</v>
      </c>
      <c r="M331" s="5">
        <f t="shared" si="59"/>
        <v>17115957.446808513</v>
      </c>
      <c r="N331" s="10">
        <f t="shared" si="60"/>
        <v>1902000.0000000019</v>
      </c>
      <c r="O331" s="11">
        <f t="shared" si="61"/>
        <v>0.11112437068804783</v>
      </c>
      <c r="P331" s="5">
        <f t="shared" si="62"/>
        <v>18493103.44827586</v>
      </c>
      <c r="Q331" s="10">
        <f t="shared" si="63"/>
        <v>1901999.9999999981</v>
      </c>
      <c r="R331" s="11">
        <f t="shared" si="64"/>
        <v>0.10284915159425685</v>
      </c>
    </row>
    <row r="332" spans="1:18" x14ac:dyDescent="0.3">
      <c r="A332" s="7">
        <v>14300001</v>
      </c>
      <c r="B332" s="7">
        <v>14350000</v>
      </c>
      <c r="C332" s="7">
        <v>30000</v>
      </c>
      <c r="E332" s="7">
        <v>0</v>
      </c>
      <c r="F332" s="7">
        <f t="shared" si="54"/>
        <v>1435000</v>
      </c>
      <c r="G332" s="13">
        <f t="shared" si="55"/>
        <v>2.090592334494773E-2</v>
      </c>
      <c r="H332" s="7">
        <f t="shared" si="56"/>
        <v>30000</v>
      </c>
      <c r="I332" s="5">
        <f t="shared" si="57"/>
        <v>329999.99999999994</v>
      </c>
      <c r="L332" s="5">
        <f t="shared" si="58"/>
        <v>16145000</v>
      </c>
      <c r="M332" s="5">
        <f t="shared" si="59"/>
        <v>17175531.91489362</v>
      </c>
      <c r="N332" s="10">
        <f t="shared" si="60"/>
        <v>1908500.0000000019</v>
      </c>
      <c r="O332" s="11">
        <f t="shared" si="61"/>
        <v>0.11111737379993815</v>
      </c>
      <c r="P332" s="5">
        <f t="shared" si="62"/>
        <v>18557471.264367815</v>
      </c>
      <c r="Q332" s="10">
        <f t="shared" si="63"/>
        <v>1908499.9999999981</v>
      </c>
      <c r="R332" s="11">
        <f t="shared" si="64"/>
        <v>0.1028426757510064</v>
      </c>
    </row>
    <row r="333" spans="1:18" x14ac:dyDescent="0.3">
      <c r="A333" s="7">
        <v>14350001</v>
      </c>
      <c r="B333" s="7">
        <v>14400000</v>
      </c>
      <c r="C333" s="7">
        <v>30000</v>
      </c>
      <c r="E333" s="7">
        <v>0</v>
      </c>
      <c r="F333" s="7">
        <f t="shared" si="54"/>
        <v>1440000</v>
      </c>
      <c r="G333" s="13">
        <f t="shared" si="55"/>
        <v>2.090277777777777E-2</v>
      </c>
      <c r="H333" s="7">
        <f t="shared" si="56"/>
        <v>30000</v>
      </c>
      <c r="I333" s="5">
        <f t="shared" si="57"/>
        <v>330999.99999999988</v>
      </c>
      <c r="L333" s="5">
        <f t="shared" si="58"/>
        <v>16201000</v>
      </c>
      <c r="M333" s="5">
        <f t="shared" si="59"/>
        <v>17235106.382978726</v>
      </c>
      <c r="N333" s="10">
        <f t="shared" si="60"/>
        <v>1915000.0000000019</v>
      </c>
      <c r="O333" s="11">
        <f t="shared" si="61"/>
        <v>0.11111042528239007</v>
      </c>
      <c r="P333" s="5">
        <f t="shared" si="62"/>
        <v>18621839.08045977</v>
      </c>
      <c r="Q333" s="10">
        <f t="shared" si="63"/>
        <v>1915000</v>
      </c>
      <c r="R333" s="11">
        <f t="shared" si="64"/>
        <v>0.10283624467625456</v>
      </c>
    </row>
    <row r="334" spans="1:18" x14ac:dyDescent="0.3">
      <c r="A334" s="7">
        <v>14400001</v>
      </c>
      <c r="B334" s="7">
        <v>14450000</v>
      </c>
      <c r="C334" s="7">
        <v>30000</v>
      </c>
      <c r="E334" s="7">
        <v>0</v>
      </c>
      <c r="F334" s="7">
        <f t="shared" si="54"/>
        <v>1445000</v>
      </c>
      <c r="G334" s="13">
        <f t="shared" si="55"/>
        <v>2.089965397923875E-2</v>
      </c>
      <c r="H334" s="7">
        <f t="shared" si="56"/>
        <v>30000</v>
      </c>
      <c r="I334" s="5">
        <f t="shared" si="57"/>
        <v>331999.99999999994</v>
      </c>
      <c r="L334" s="5">
        <f t="shared" si="58"/>
        <v>16257000</v>
      </c>
      <c r="M334" s="5">
        <f t="shared" si="59"/>
        <v>17294680.851063829</v>
      </c>
      <c r="N334" s="10">
        <f t="shared" si="60"/>
        <v>1921499.9999999981</v>
      </c>
      <c r="O334" s="11">
        <f t="shared" si="61"/>
        <v>0.11110352463554152</v>
      </c>
      <c r="P334" s="5">
        <f t="shared" si="62"/>
        <v>18686206.896551725</v>
      </c>
      <c r="Q334" s="10">
        <f t="shared" si="63"/>
        <v>1921500</v>
      </c>
      <c r="R334" s="11">
        <f t="shared" si="64"/>
        <v>0.10282985790736297</v>
      </c>
    </row>
    <row r="335" spans="1:18" x14ac:dyDescent="0.3">
      <c r="A335" s="7">
        <v>14450001</v>
      </c>
      <c r="B335" s="7">
        <v>14500000</v>
      </c>
      <c r="C335" s="7">
        <v>30000</v>
      </c>
      <c r="E335" s="7">
        <v>0</v>
      </c>
      <c r="F335" s="7">
        <f t="shared" si="54"/>
        <v>1450000</v>
      </c>
      <c r="G335" s="13">
        <f t="shared" si="55"/>
        <v>2.0896551724137916E-2</v>
      </c>
      <c r="H335" s="7">
        <f t="shared" si="56"/>
        <v>30000</v>
      </c>
      <c r="I335" s="5">
        <f t="shared" si="57"/>
        <v>332999.99999999977</v>
      </c>
      <c r="L335" s="5">
        <f t="shared" si="58"/>
        <v>16313000</v>
      </c>
      <c r="M335" s="5">
        <f t="shared" si="59"/>
        <v>17354255.319148935</v>
      </c>
      <c r="N335" s="10">
        <f t="shared" si="60"/>
        <v>1927999.9999999981</v>
      </c>
      <c r="O335" s="11">
        <f t="shared" si="61"/>
        <v>0.1110966713663948</v>
      </c>
      <c r="P335" s="5">
        <f t="shared" si="62"/>
        <v>18750574.712643679</v>
      </c>
      <c r="Q335" s="10">
        <f t="shared" si="63"/>
        <v>1928000</v>
      </c>
      <c r="R335" s="11">
        <f t="shared" si="64"/>
        <v>0.10282351498804634</v>
      </c>
    </row>
    <row r="336" spans="1:18" x14ac:dyDescent="0.3">
      <c r="A336" s="7">
        <v>14500001</v>
      </c>
      <c r="B336" s="7">
        <v>14550000</v>
      </c>
      <c r="C336" s="7">
        <v>30000</v>
      </c>
      <c r="E336" s="7">
        <v>0</v>
      </c>
      <c r="F336" s="7">
        <f t="shared" si="54"/>
        <v>1455000</v>
      </c>
      <c r="G336" s="13">
        <f t="shared" si="55"/>
        <v>2.0893470790377996E-2</v>
      </c>
      <c r="H336" s="7">
        <f t="shared" si="56"/>
        <v>30000</v>
      </c>
      <c r="I336" s="5">
        <f t="shared" si="57"/>
        <v>333999.99999999983</v>
      </c>
      <c r="L336" s="5">
        <f t="shared" si="58"/>
        <v>16369000</v>
      </c>
      <c r="M336" s="5">
        <f t="shared" si="59"/>
        <v>17413829.787234042</v>
      </c>
      <c r="N336" s="10">
        <f t="shared" si="60"/>
        <v>1934499.9999999981</v>
      </c>
      <c r="O336" s="11">
        <f t="shared" si="61"/>
        <v>0.11108986498869805</v>
      </c>
      <c r="P336" s="5">
        <f t="shared" si="62"/>
        <v>18814942.528735634</v>
      </c>
      <c r="Q336" s="10">
        <f t="shared" si="63"/>
        <v>1934500.0000000019</v>
      </c>
      <c r="R336" s="11">
        <f t="shared" si="64"/>
        <v>0.10281721546826326</v>
      </c>
    </row>
    <row r="337" spans="1:18" x14ac:dyDescent="0.3">
      <c r="A337" s="7">
        <v>14550001</v>
      </c>
      <c r="B337" s="7">
        <v>14600000</v>
      </c>
      <c r="C337" s="7">
        <v>30000</v>
      </c>
      <c r="E337" s="7">
        <v>0</v>
      </c>
      <c r="F337" s="7">
        <f t="shared" si="54"/>
        <v>1460000</v>
      </c>
      <c r="G337" s="13">
        <f t="shared" si="55"/>
        <v>2.0890410958904093E-2</v>
      </c>
      <c r="H337" s="7">
        <f t="shared" si="56"/>
        <v>30000</v>
      </c>
      <c r="I337" s="5">
        <f t="shared" si="57"/>
        <v>334999.99999999977</v>
      </c>
      <c r="L337" s="5">
        <f t="shared" si="58"/>
        <v>16425000</v>
      </c>
      <c r="M337" s="5">
        <f t="shared" si="59"/>
        <v>17473404.255319148</v>
      </c>
      <c r="N337" s="10">
        <f t="shared" si="60"/>
        <v>1940999.9999999981</v>
      </c>
      <c r="O337" s="11">
        <f t="shared" si="61"/>
        <v>0.11108310502283095</v>
      </c>
      <c r="P337" s="5">
        <f t="shared" si="62"/>
        <v>18879310.344827585</v>
      </c>
      <c r="Q337" s="10">
        <f t="shared" si="63"/>
        <v>1940999.9999999981</v>
      </c>
      <c r="R337" s="11">
        <f t="shared" si="64"/>
        <v>0.1028109589041095</v>
      </c>
    </row>
    <row r="338" spans="1:18" x14ac:dyDescent="0.3">
      <c r="A338" s="7">
        <v>14600001</v>
      </c>
      <c r="B338" s="7">
        <v>14650000</v>
      </c>
      <c r="C338" s="7">
        <v>30000</v>
      </c>
      <c r="E338" s="7">
        <v>0</v>
      </c>
      <c r="F338" s="7">
        <f t="shared" si="54"/>
        <v>1465000</v>
      </c>
      <c r="G338" s="13">
        <f t="shared" si="55"/>
        <v>2.0887372013651873E-2</v>
      </c>
      <c r="H338" s="7">
        <f t="shared" si="56"/>
        <v>30000</v>
      </c>
      <c r="I338" s="5">
        <f t="shared" si="57"/>
        <v>335999.99999999994</v>
      </c>
      <c r="L338" s="5">
        <f t="shared" si="58"/>
        <v>16481000</v>
      </c>
      <c r="M338" s="5">
        <f t="shared" si="59"/>
        <v>17532978.723404255</v>
      </c>
      <c r="N338" s="10">
        <f t="shared" si="60"/>
        <v>1947499.9999999981</v>
      </c>
      <c r="O338" s="11">
        <f t="shared" si="61"/>
        <v>0.1110763909956919</v>
      </c>
      <c r="P338" s="5">
        <f t="shared" si="62"/>
        <v>18943678.16091954</v>
      </c>
      <c r="Q338" s="10">
        <f t="shared" si="63"/>
        <v>1947500</v>
      </c>
      <c r="R338" s="11">
        <f t="shared" si="64"/>
        <v>0.10280474485771494</v>
      </c>
    </row>
    <row r="339" spans="1:18" x14ac:dyDescent="0.3">
      <c r="A339" s="7">
        <v>14650001</v>
      </c>
      <c r="B339" s="7">
        <v>14700000</v>
      </c>
      <c r="C339" s="7">
        <v>30000</v>
      </c>
      <c r="E339" s="7">
        <v>0</v>
      </c>
      <c r="F339" s="7">
        <f t="shared" si="54"/>
        <v>1470000</v>
      </c>
      <c r="G339" s="13">
        <f t="shared" si="55"/>
        <v>2.0884353741496595E-2</v>
      </c>
      <c r="H339" s="7">
        <f t="shared" si="56"/>
        <v>30000</v>
      </c>
      <c r="I339" s="5">
        <f t="shared" si="57"/>
        <v>336999.99999999994</v>
      </c>
      <c r="L339" s="5">
        <f t="shared" si="58"/>
        <v>16537000</v>
      </c>
      <c r="M339" s="5">
        <f t="shared" si="59"/>
        <v>17592553.191489361</v>
      </c>
      <c r="N339" s="10">
        <f t="shared" si="60"/>
        <v>1953999.9999999981</v>
      </c>
      <c r="O339" s="11">
        <f t="shared" si="61"/>
        <v>0.11106972244058767</v>
      </c>
      <c r="P339" s="5">
        <f t="shared" si="62"/>
        <v>19008045.977011494</v>
      </c>
      <c r="Q339" s="10">
        <f t="shared" si="63"/>
        <v>1954000</v>
      </c>
      <c r="R339" s="11">
        <f t="shared" si="64"/>
        <v>0.10279857289713974</v>
      </c>
    </row>
    <row r="340" spans="1:18" x14ac:dyDescent="0.3">
      <c r="A340" s="7">
        <v>14700001</v>
      </c>
      <c r="B340" s="7">
        <v>14750000</v>
      </c>
      <c r="C340" s="7">
        <v>30000</v>
      </c>
      <c r="E340" s="7">
        <v>0</v>
      </c>
      <c r="F340" s="7">
        <f t="shared" si="54"/>
        <v>1475000</v>
      </c>
      <c r="G340" s="13">
        <f t="shared" si="55"/>
        <v>2.0881355932203374E-2</v>
      </c>
      <c r="H340" s="7">
        <f t="shared" si="56"/>
        <v>30000</v>
      </c>
      <c r="I340" s="5">
        <f t="shared" si="57"/>
        <v>337999.99999999977</v>
      </c>
      <c r="L340" s="5">
        <f t="shared" si="58"/>
        <v>16593000</v>
      </c>
      <c r="M340" s="5">
        <f t="shared" si="59"/>
        <v>17652127.659574468</v>
      </c>
      <c r="N340" s="10">
        <f t="shared" si="60"/>
        <v>1960499.9999999981</v>
      </c>
      <c r="O340" s="11">
        <f t="shared" si="61"/>
        <v>0.11106309889712519</v>
      </c>
      <c r="P340" s="5">
        <f t="shared" si="62"/>
        <v>19072413.793103449</v>
      </c>
      <c r="Q340" s="10">
        <f t="shared" si="63"/>
        <v>1960500</v>
      </c>
      <c r="R340" s="11">
        <f t="shared" si="64"/>
        <v>0.10279244259627554</v>
      </c>
    </row>
    <row r="341" spans="1:18" x14ac:dyDescent="0.3">
      <c r="A341" s="7">
        <v>14750001</v>
      </c>
      <c r="B341" s="7">
        <v>14800000</v>
      </c>
      <c r="C341" s="7">
        <v>30000</v>
      </c>
      <c r="E341" s="7">
        <v>0</v>
      </c>
      <c r="F341" s="7">
        <f t="shared" si="54"/>
        <v>1480000</v>
      </c>
      <c r="G341" s="13">
        <f t="shared" si="55"/>
        <v>2.0878378378378373E-2</v>
      </c>
      <c r="H341" s="7">
        <f t="shared" si="56"/>
        <v>30000</v>
      </c>
      <c r="I341" s="5">
        <f t="shared" si="57"/>
        <v>338999.99999999994</v>
      </c>
      <c r="L341" s="5">
        <f t="shared" si="58"/>
        <v>16649000</v>
      </c>
      <c r="M341" s="5">
        <f t="shared" si="59"/>
        <v>17711702.127659574</v>
      </c>
      <c r="N341" s="10">
        <f t="shared" si="60"/>
        <v>1966999.9999999981</v>
      </c>
      <c r="O341" s="11">
        <f t="shared" si="61"/>
        <v>0.11105651991110567</v>
      </c>
      <c r="P341" s="5">
        <f t="shared" si="62"/>
        <v>19136781.609195404</v>
      </c>
      <c r="Q341" s="10">
        <f t="shared" si="63"/>
        <v>1967000.0000000019</v>
      </c>
      <c r="R341" s="11">
        <f t="shared" si="64"/>
        <v>0.10278635353474692</v>
      </c>
    </row>
    <row r="342" spans="1:18" x14ac:dyDescent="0.3">
      <c r="A342" s="7">
        <v>14800001</v>
      </c>
      <c r="B342" s="7">
        <v>14850000</v>
      </c>
      <c r="C342" s="7">
        <v>30000</v>
      </c>
      <c r="E342" s="7">
        <v>0</v>
      </c>
      <c r="F342" s="7">
        <f t="shared" si="54"/>
        <v>1485000</v>
      </c>
      <c r="G342" s="13">
        <f t="shared" si="55"/>
        <v>2.0875420875420866E-2</v>
      </c>
      <c r="H342" s="7">
        <f t="shared" si="56"/>
        <v>30000</v>
      </c>
      <c r="I342" s="5">
        <f t="shared" si="57"/>
        <v>339999.99999999988</v>
      </c>
      <c r="L342" s="5">
        <f t="shared" si="58"/>
        <v>16705000</v>
      </c>
      <c r="M342" s="5">
        <f t="shared" si="59"/>
        <v>17771276.595744681</v>
      </c>
      <c r="N342" s="10">
        <f t="shared" si="60"/>
        <v>1973499.9999999981</v>
      </c>
      <c r="O342" s="11">
        <f t="shared" si="61"/>
        <v>0.11104998503442073</v>
      </c>
      <c r="P342" s="5">
        <f t="shared" si="62"/>
        <v>19201149.425287355</v>
      </c>
      <c r="Q342" s="10">
        <f t="shared" si="63"/>
        <v>1973499.9999999981</v>
      </c>
      <c r="R342" s="11">
        <f t="shared" si="64"/>
        <v>0.10278030529781494</v>
      </c>
    </row>
    <row r="343" spans="1:18" x14ac:dyDescent="0.3">
      <c r="A343" s="7">
        <v>14850001</v>
      </c>
      <c r="B343" s="7">
        <v>14900000</v>
      </c>
      <c r="C343" s="7">
        <v>30000</v>
      </c>
      <c r="E343" s="7">
        <v>0</v>
      </c>
      <c r="F343" s="7">
        <f t="shared" si="54"/>
        <v>1490000</v>
      </c>
      <c r="G343" s="13">
        <f t="shared" si="55"/>
        <v>2.0872483221476501E-2</v>
      </c>
      <c r="H343" s="7">
        <f t="shared" si="56"/>
        <v>30000</v>
      </c>
      <c r="I343" s="5">
        <f t="shared" si="57"/>
        <v>340999.99999999988</v>
      </c>
      <c r="L343" s="5">
        <f t="shared" si="58"/>
        <v>16761000</v>
      </c>
      <c r="M343" s="5">
        <f t="shared" si="59"/>
        <v>17830851.063829787</v>
      </c>
      <c r="N343" s="10">
        <f t="shared" si="60"/>
        <v>1979999.9999999981</v>
      </c>
      <c r="O343" s="11">
        <f t="shared" si="61"/>
        <v>0.11104349382495067</v>
      </c>
      <c r="P343" s="5">
        <f t="shared" si="62"/>
        <v>19265517.241379309</v>
      </c>
      <c r="Q343" s="10">
        <f t="shared" si="63"/>
        <v>1980000</v>
      </c>
      <c r="R343" s="11">
        <f t="shared" si="64"/>
        <v>0.10277429747628423</v>
      </c>
    </row>
    <row r="344" spans="1:18" x14ac:dyDescent="0.3">
      <c r="A344" s="7">
        <v>14900001</v>
      </c>
      <c r="B344" s="7">
        <v>14950000</v>
      </c>
      <c r="C344" s="7">
        <v>30000</v>
      </c>
      <c r="E344" s="7">
        <v>0</v>
      </c>
      <c r="F344" s="7">
        <f t="shared" si="54"/>
        <v>1495000</v>
      </c>
      <c r="G344" s="13">
        <f t="shared" si="55"/>
        <v>2.0869565217391292E-2</v>
      </c>
      <c r="H344" s="7">
        <f t="shared" si="56"/>
        <v>30000</v>
      </c>
      <c r="I344" s="5">
        <f t="shared" si="57"/>
        <v>341999.99999999983</v>
      </c>
      <c r="L344" s="5">
        <f t="shared" si="58"/>
        <v>16817000</v>
      </c>
      <c r="M344" s="5">
        <f t="shared" si="59"/>
        <v>17890425.531914894</v>
      </c>
      <c r="N344" s="10">
        <f t="shared" si="60"/>
        <v>1986500</v>
      </c>
      <c r="O344" s="11">
        <f t="shared" si="61"/>
        <v>0.11103704584646489</v>
      </c>
      <c r="P344" s="5">
        <f t="shared" si="62"/>
        <v>19329885.057471264</v>
      </c>
      <c r="Q344" s="10">
        <f t="shared" si="63"/>
        <v>1986500</v>
      </c>
      <c r="R344" s="11">
        <f t="shared" si="64"/>
        <v>0.10276832966640899</v>
      </c>
    </row>
    <row r="345" spans="1:18" x14ac:dyDescent="0.3">
      <c r="A345" s="7">
        <v>14950001</v>
      </c>
      <c r="B345" s="7">
        <v>15000000</v>
      </c>
      <c r="C345" s="7">
        <v>30000</v>
      </c>
      <c r="E345" s="7">
        <v>0</v>
      </c>
      <c r="F345" s="7">
        <f t="shared" si="54"/>
        <v>1500000</v>
      </c>
      <c r="G345" s="13">
        <f t="shared" si="55"/>
        <v>2.0866666666666658E-2</v>
      </c>
      <c r="H345" s="7">
        <f t="shared" si="56"/>
        <v>30000</v>
      </c>
      <c r="I345" s="5">
        <f t="shared" si="57"/>
        <v>342999.99999999988</v>
      </c>
      <c r="L345" s="5">
        <f t="shared" si="58"/>
        <v>16873000</v>
      </c>
      <c r="M345" s="5">
        <f t="shared" si="59"/>
        <v>17950000</v>
      </c>
      <c r="N345" s="10">
        <f t="shared" si="60"/>
        <v>1993000</v>
      </c>
      <c r="O345" s="11">
        <f t="shared" si="61"/>
        <v>0.11103064066852368</v>
      </c>
      <c r="P345" s="5">
        <f t="shared" si="62"/>
        <v>19394252.873563219</v>
      </c>
      <c r="Q345" s="10">
        <f t="shared" si="63"/>
        <v>1993000</v>
      </c>
      <c r="R345" s="11">
        <f t="shared" si="64"/>
        <v>0.10276240146980382</v>
      </c>
    </row>
    <row r="346" spans="1:18" x14ac:dyDescent="0.3">
      <c r="A346" s="7">
        <v>15000001</v>
      </c>
      <c r="B346" s="7">
        <v>15050000</v>
      </c>
      <c r="C346" s="7">
        <v>30000</v>
      </c>
      <c r="E346" s="7">
        <v>0</v>
      </c>
      <c r="F346" s="7">
        <f t="shared" ref="F346:F409" si="65">(B346+E346)*10%</f>
        <v>1505000</v>
      </c>
      <c r="G346" s="13">
        <f t="shared" si="55"/>
        <v>2.0863787375415277E-2</v>
      </c>
      <c r="H346" s="7">
        <f t="shared" si="56"/>
        <v>30000</v>
      </c>
      <c r="I346" s="5">
        <f t="shared" si="57"/>
        <v>343999.99999999994</v>
      </c>
      <c r="L346" s="5">
        <f t="shared" si="58"/>
        <v>16929000</v>
      </c>
      <c r="M346" s="5">
        <f t="shared" si="59"/>
        <v>18009574.468085106</v>
      </c>
      <c r="N346" s="10">
        <f t="shared" si="60"/>
        <v>1999500</v>
      </c>
      <c r="O346" s="11">
        <f t="shared" si="61"/>
        <v>0.11102427786638312</v>
      </c>
      <c r="P346" s="5">
        <f t="shared" si="62"/>
        <v>19458620.689655174</v>
      </c>
      <c r="Q346" s="10">
        <f t="shared" si="63"/>
        <v>1999500</v>
      </c>
      <c r="R346" s="11">
        <f t="shared" si="64"/>
        <v>0.10275651249335459</v>
      </c>
    </row>
    <row r="347" spans="1:18" x14ac:dyDescent="0.3">
      <c r="A347" s="7">
        <v>15050001</v>
      </c>
      <c r="B347" s="7">
        <v>15100000</v>
      </c>
      <c r="C347" s="7">
        <v>30000</v>
      </c>
      <c r="E347" s="7">
        <v>0</v>
      </c>
      <c r="F347" s="7">
        <f t="shared" si="65"/>
        <v>1510000</v>
      </c>
      <c r="G347" s="13">
        <f t="shared" si="55"/>
        <v>2.0860927152317868E-2</v>
      </c>
      <c r="H347" s="7">
        <f t="shared" si="56"/>
        <v>30000</v>
      </c>
      <c r="I347" s="5">
        <f t="shared" si="57"/>
        <v>344999.99999999983</v>
      </c>
      <c r="L347" s="5">
        <f t="shared" si="58"/>
        <v>16985000</v>
      </c>
      <c r="M347" s="5">
        <f t="shared" si="59"/>
        <v>18069148.936170213</v>
      </c>
      <c r="N347" s="10">
        <f t="shared" si="60"/>
        <v>2006000</v>
      </c>
      <c r="O347" s="11">
        <f t="shared" si="61"/>
        <v>0.1110179570209008</v>
      </c>
      <c r="P347" s="5">
        <f t="shared" si="62"/>
        <v>19522988.505747128</v>
      </c>
      <c r="Q347" s="10">
        <f t="shared" si="63"/>
        <v>2006000</v>
      </c>
      <c r="R347" s="11">
        <f t="shared" si="64"/>
        <v>0.10275066234913158</v>
      </c>
    </row>
    <row r="348" spans="1:18" x14ac:dyDescent="0.3">
      <c r="A348" s="7">
        <v>15100001</v>
      </c>
      <c r="B348" s="7">
        <v>15150000</v>
      </c>
      <c r="C348" s="7">
        <v>30000</v>
      </c>
      <c r="E348" s="7">
        <v>0</v>
      </c>
      <c r="F348" s="7">
        <f t="shared" si="65"/>
        <v>1515000</v>
      </c>
      <c r="G348" s="13">
        <f t="shared" si="55"/>
        <v>2.0858085808580853E-2</v>
      </c>
      <c r="H348" s="7">
        <f t="shared" si="56"/>
        <v>30000</v>
      </c>
      <c r="I348" s="5">
        <f t="shared" si="57"/>
        <v>345999.99999999994</v>
      </c>
      <c r="L348" s="5">
        <f t="shared" si="58"/>
        <v>17041000</v>
      </c>
      <c r="M348" s="5">
        <f t="shared" si="59"/>
        <v>18128723.404255319</v>
      </c>
      <c r="N348" s="10">
        <f t="shared" si="60"/>
        <v>2012500</v>
      </c>
      <c r="O348" s="11">
        <f t="shared" si="61"/>
        <v>0.11101167771844375</v>
      </c>
      <c r="P348" s="5">
        <f t="shared" si="62"/>
        <v>19587356.321839079</v>
      </c>
      <c r="Q348" s="10">
        <f t="shared" si="63"/>
        <v>2012500</v>
      </c>
      <c r="R348" s="11">
        <f t="shared" si="64"/>
        <v>0.10274485065430433</v>
      </c>
    </row>
    <row r="349" spans="1:18" x14ac:dyDescent="0.3">
      <c r="A349" s="7">
        <v>15150001</v>
      </c>
      <c r="B349" s="7">
        <v>15200000</v>
      </c>
      <c r="C349" s="7">
        <v>30000</v>
      </c>
      <c r="E349" s="7">
        <v>0</v>
      </c>
      <c r="F349" s="7">
        <f t="shared" si="65"/>
        <v>1520000</v>
      </c>
      <c r="G349" s="13">
        <f t="shared" si="55"/>
        <v>2.0855263157894724E-2</v>
      </c>
      <c r="H349" s="7">
        <f t="shared" si="56"/>
        <v>30000</v>
      </c>
      <c r="I349" s="5">
        <f t="shared" si="57"/>
        <v>346999.99999999983</v>
      </c>
      <c r="L349" s="5">
        <f t="shared" si="58"/>
        <v>17097000</v>
      </c>
      <c r="M349" s="5">
        <f t="shared" si="59"/>
        <v>18188297.872340426</v>
      </c>
      <c r="N349" s="10">
        <f t="shared" si="60"/>
        <v>2019000</v>
      </c>
      <c r="O349" s="11">
        <f t="shared" si="61"/>
        <v>0.11100543955079839</v>
      </c>
      <c r="P349" s="5">
        <f t="shared" si="62"/>
        <v>19651724.137931034</v>
      </c>
      <c r="Q349" s="10">
        <f t="shared" si="63"/>
        <v>2019000</v>
      </c>
      <c r="R349" s="11">
        <f t="shared" si="64"/>
        <v>0.10273907703105808</v>
      </c>
    </row>
    <row r="350" spans="1:18" x14ac:dyDescent="0.3">
      <c r="A350" s="7">
        <v>15200001</v>
      </c>
      <c r="B350" s="7">
        <v>15250000</v>
      </c>
      <c r="C350" s="7">
        <v>30000</v>
      </c>
      <c r="E350" s="7">
        <v>0</v>
      </c>
      <c r="F350" s="7">
        <f t="shared" si="65"/>
        <v>1525000</v>
      </c>
      <c r="G350" s="13">
        <f t="shared" si="55"/>
        <v>2.0852459016393432E-2</v>
      </c>
      <c r="H350" s="7">
        <f t="shared" si="56"/>
        <v>30000</v>
      </c>
      <c r="I350" s="5">
        <f t="shared" si="57"/>
        <v>347999.99999999983</v>
      </c>
      <c r="L350" s="5">
        <f t="shared" si="58"/>
        <v>17153000</v>
      </c>
      <c r="M350" s="5">
        <f t="shared" si="59"/>
        <v>18247872.340425532</v>
      </c>
      <c r="N350" s="10">
        <f t="shared" si="60"/>
        <v>2025500</v>
      </c>
      <c r="O350" s="11">
        <f t="shared" si="61"/>
        <v>0.11099924211508191</v>
      </c>
      <c r="P350" s="5">
        <f t="shared" si="62"/>
        <v>19716091.954022989</v>
      </c>
      <c r="Q350" s="10">
        <f t="shared" si="63"/>
        <v>2025500</v>
      </c>
      <c r="R350" s="11">
        <f t="shared" si="64"/>
        <v>0.10273334110651199</v>
      </c>
    </row>
    <row r="351" spans="1:18" x14ac:dyDescent="0.3">
      <c r="A351" s="7">
        <v>15250001</v>
      </c>
      <c r="B351" s="7">
        <v>15300000</v>
      </c>
      <c r="C351" s="7">
        <v>30000</v>
      </c>
      <c r="E351" s="7">
        <v>0</v>
      </c>
      <c r="F351" s="7">
        <f t="shared" si="65"/>
        <v>1530000</v>
      </c>
      <c r="G351" s="13">
        <f t="shared" si="55"/>
        <v>2.0849673202614369E-2</v>
      </c>
      <c r="H351" s="7">
        <f t="shared" si="56"/>
        <v>30000</v>
      </c>
      <c r="I351" s="5">
        <f t="shared" si="57"/>
        <v>348999.99999999983</v>
      </c>
      <c r="L351" s="5">
        <f t="shared" si="58"/>
        <v>17209000</v>
      </c>
      <c r="M351" s="5">
        <f t="shared" si="59"/>
        <v>18307446.808510639</v>
      </c>
      <c r="N351" s="10">
        <f t="shared" si="60"/>
        <v>2032000</v>
      </c>
      <c r="O351" s="11">
        <f t="shared" si="61"/>
        <v>0.11099308501365564</v>
      </c>
      <c r="P351" s="5">
        <f t="shared" si="62"/>
        <v>19780459.770114943</v>
      </c>
      <c r="Q351" s="10">
        <f t="shared" si="63"/>
        <v>2032000</v>
      </c>
      <c r="R351" s="11">
        <f t="shared" si="64"/>
        <v>0.10272764251263873</v>
      </c>
    </row>
    <row r="352" spans="1:18" x14ac:dyDescent="0.3">
      <c r="A352" s="7">
        <v>15300001</v>
      </c>
      <c r="B352" s="7">
        <v>15350000</v>
      </c>
      <c r="C352" s="7">
        <v>30000</v>
      </c>
      <c r="E352" s="7">
        <v>0</v>
      </c>
      <c r="F352" s="7">
        <f t="shared" si="65"/>
        <v>1535000</v>
      </c>
      <c r="G352" s="13">
        <f t="shared" si="55"/>
        <v>2.084690553745927E-2</v>
      </c>
      <c r="H352" s="7">
        <f t="shared" si="56"/>
        <v>30000</v>
      </c>
      <c r="I352" s="5">
        <f t="shared" si="57"/>
        <v>349999.99999999983</v>
      </c>
      <c r="L352" s="5">
        <f t="shared" si="58"/>
        <v>17265000</v>
      </c>
      <c r="M352" s="5">
        <f t="shared" si="59"/>
        <v>18367021.276595745</v>
      </c>
      <c r="N352" s="10">
        <f t="shared" si="60"/>
        <v>2038500</v>
      </c>
      <c r="O352" s="11">
        <f t="shared" si="61"/>
        <v>0.11098696785403996</v>
      </c>
      <c r="P352" s="5">
        <f t="shared" si="62"/>
        <v>19844827.586206898</v>
      </c>
      <c r="Q352" s="10">
        <f t="shared" si="63"/>
        <v>2038500</v>
      </c>
      <c r="R352" s="11">
        <f t="shared" si="64"/>
        <v>0.10272198088618592</v>
      </c>
    </row>
    <row r="353" spans="1:18" x14ac:dyDescent="0.3">
      <c r="A353" s="7">
        <v>15350001</v>
      </c>
      <c r="B353" s="7">
        <v>15400000</v>
      </c>
      <c r="C353" s="7">
        <v>30000</v>
      </c>
      <c r="E353" s="7">
        <v>0</v>
      </c>
      <c r="F353" s="7">
        <f t="shared" si="65"/>
        <v>1540000</v>
      </c>
      <c r="G353" s="13">
        <f t="shared" si="55"/>
        <v>2.0844155844155832E-2</v>
      </c>
      <c r="H353" s="7">
        <f t="shared" si="56"/>
        <v>30000</v>
      </c>
      <c r="I353" s="5">
        <f t="shared" si="57"/>
        <v>350999.99999999983</v>
      </c>
      <c r="L353" s="5">
        <f t="shared" si="58"/>
        <v>17321000</v>
      </c>
      <c r="M353" s="5">
        <f t="shared" si="59"/>
        <v>18426595.744680852</v>
      </c>
      <c r="N353" s="10">
        <f t="shared" si="60"/>
        <v>2045000</v>
      </c>
      <c r="O353" s="11">
        <f t="shared" si="61"/>
        <v>0.1109808902488309</v>
      </c>
      <c r="P353" s="5">
        <f t="shared" si="62"/>
        <v>19909195.402298849</v>
      </c>
      <c r="Q353" s="10">
        <f t="shared" si="63"/>
        <v>2045000</v>
      </c>
      <c r="R353" s="11">
        <f t="shared" si="64"/>
        <v>0.10271635586859881</v>
      </c>
    </row>
    <row r="354" spans="1:18" x14ac:dyDescent="0.3">
      <c r="A354" s="7">
        <v>15400001</v>
      </c>
      <c r="B354" s="7">
        <v>15450000</v>
      </c>
      <c r="C354" s="7">
        <v>30000</v>
      </c>
      <c r="E354" s="7">
        <v>0</v>
      </c>
      <c r="F354" s="7">
        <f t="shared" si="65"/>
        <v>1545000</v>
      </c>
      <c r="G354" s="13">
        <f t="shared" si="55"/>
        <v>2.0841423948220056E-2</v>
      </c>
      <c r="H354" s="7">
        <f t="shared" si="56"/>
        <v>30000</v>
      </c>
      <c r="I354" s="5">
        <f t="shared" si="57"/>
        <v>351999.99999999988</v>
      </c>
      <c r="L354" s="5">
        <f t="shared" si="58"/>
        <v>17377000</v>
      </c>
      <c r="M354" s="5">
        <f t="shared" si="59"/>
        <v>18486170.212765958</v>
      </c>
      <c r="N354" s="10">
        <f t="shared" si="60"/>
        <v>2051500</v>
      </c>
      <c r="O354" s="11">
        <f t="shared" si="61"/>
        <v>0.11097485181561834</v>
      </c>
      <c r="P354" s="5">
        <f t="shared" si="62"/>
        <v>19973563.218390804</v>
      </c>
      <c r="Q354" s="10">
        <f t="shared" si="63"/>
        <v>2051500</v>
      </c>
      <c r="R354" s="11">
        <f t="shared" si="64"/>
        <v>0.10271076710594465</v>
      </c>
    </row>
    <row r="355" spans="1:18" x14ac:dyDescent="0.3">
      <c r="A355" s="7">
        <v>15450001</v>
      </c>
      <c r="B355" s="7">
        <v>15500000</v>
      </c>
      <c r="C355" s="7">
        <v>30000</v>
      </c>
      <c r="E355" s="7">
        <v>0</v>
      </c>
      <c r="F355" s="7">
        <f t="shared" si="65"/>
        <v>1550000</v>
      </c>
      <c r="G355" s="13">
        <f t="shared" si="55"/>
        <v>2.083870967741934E-2</v>
      </c>
      <c r="H355" s="7">
        <f t="shared" si="56"/>
        <v>30000</v>
      </c>
      <c r="I355" s="5">
        <f t="shared" si="57"/>
        <v>352999.99999999977</v>
      </c>
      <c r="L355" s="5">
        <f t="shared" si="58"/>
        <v>17433000</v>
      </c>
      <c r="M355" s="5">
        <f t="shared" si="59"/>
        <v>18545744.680851065</v>
      </c>
      <c r="N355" s="10">
        <f t="shared" si="60"/>
        <v>2058000</v>
      </c>
      <c r="O355" s="11">
        <f t="shared" si="61"/>
        <v>0.11096885217690586</v>
      </c>
      <c r="P355" s="5">
        <f t="shared" si="62"/>
        <v>20037931.034482758</v>
      </c>
      <c r="Q355" s="10">
        <f t="shared" si="63"/>
        <v>2058000</v>
      </c>
      <c r="R355" s="11">
        <f t="shared" si="64"/>
        <v>0.10270521424883841</v>
      </c>
    </row>
    <row r="356" spans="1:18" x14ac:dyDescent="0.3">
      <c r="A356" s="7">
        <v>15500001</v>
      </c>
      <c r="B356" s="7">
        <v>15550000</v>
      </c>
      <c r="C356" s="7">
        <v>30000</v>
      </c>
      <c r="E356" s="7">
        <v>0</v>
      </c>
      <c r="F356" s="7">
        <f t="shared" si="65"/>
        <v>1555000</v>
      </c>
      <c r="G356" s="13">
        <f t="shared" si="55"/>
        <v>2.0836012861736322E-2</v>
      </c>
      <c r="H356" s="7">
        <f t="shared" si="56"/>
        <v>30000</v>
      </c>
      <c r="I356" s="5">
        <f t="shared" si="57"/>
        <v>353999.99999999983</v>
      </c>
      <c r="L356" s="5">
        <f t="shared" si="58"/>
        <v>17489000</v>
      </c>
      <c r="M356" s="5">
        <f t="shared" si="59"/>
        <v>18605319.148936171</v>
      </c>
      <c r="N356" s="10">
        <f t="shared" si="60"/>
        <v>2064500</v>
      </c>
      <c r="O356" s="11">
        <f t="shared" si="61"/>
        <v>0.11096289096003202</v>
      </c>
      <c r="P356" s="5">
        <f t="shared" si="62"/>
        <v>20102298.850574713</v>
      </c>
      <c r="Q356" s="10">
        <f t="shared" si="63"/>
        <v>2064500</v>
      </c>
      <c r="R356" s="11">
        <f t="shared" si="64"/>
        <v>0.10269969695237006</v>
      </c>
    </row>
    <row r="357" spans="1:18" x14ac:dyDescent="0.3">
      <c r="A357" s="7">
        <v>15550001</v>
      </c>
      <c r="B357" s="7">
        <v>15600000</v>
      </c>
      <c r="C357" s="7">
        <v>30000</v>
      </c>
      <c r="E357" s="7">
        <v>0</v>
      </c>
      <c r="F357" s="7">
        <f t="shared" si="65"/>
        <v>1560000</v>
      </c>
      <c r="G357" s="13">
        <f t="shared" si="55"/>
        <v>2.0833333333333329E-2</v>
      </c>
      <c r="H357" s="7">
        <f t="shared" si="56"/>
        <v>30000</v>
      </c>
      <c r="I357" s="5">
        <f t="shared" si="57"/>
        <v>354999.99999999994</v>
      </c>
      <c r="L357" s="5">
        <f t="shared" si="58"/>
        <v>17545000</v>
      </c>
      <c r="M357" s="5">
        <f t="shared" si="59"/>
        <v>18664893.617021278</v>
      </c>
      <c r="N357" s="10">
        <f t="shared" si="60"/>
        <v>2071000</v>
      </c>
      <c r="O357" s="11">
        <f t="shared" si="61"/>
        <v>0.11095696779709319</v>
      </c>
      <c r="P357" s="5">
        <f t="shared" si="62"/>
        <v>20166666.666666668</v>
      </c>
      <c r="Q357" s="10">
        <f t="shared" si="63"/>
        <v>2071000</v>
      </c>
      <c r="R357" s="11">
        <f t="shared" si="64"/>
        <v>0.10269421487603306</v>
      </c>
    </row>
    <row r="358" spans="1:18" x14ac:dyDescent="0.3">
      <c r="A358" s="7">
        <v>15600001</v>
      </c>
      <c r="B358" s="7">
        <v>15650000</v>
      </c>
      <c r="C358" s="7">
        <v>30000</v>
      </c>
      <c r="E358" s="7">
        <v>0</v>
      </c>
      <c r="F358" s="7">
        <f t="shared" si="65"/>
        <v>1565000</v>
      </c>
      <c r="G358" s="13">
        <f t="shared" si="55"/>
        <v>2.0830670926517567E-2</v>
      </c>
      <c r="H358" s="7">
        <f t="shared" si="56"/>
        <v>30000</v>
      </c>
      <c r="I358" s="5">
        <f t="shared" si="57"/>
        <v>355999.99999999994</v>
      </c>
      <c r="L358" s="5">
        <f t="shared" si="58"/>
        <v>17601000</v>
      </c>
      <c r="M358" s="5">
        <f t="shared" si="59"/>
        <v>18724468.085106384</v>
      </c>
      <c r="N358" s="10">
        <f t="shared" si="60"/>
        <v>2077500</v>
      </c>
      <c r="O358" s="11">
        <f t="shared" si="61"/>
        <v>0.1109510823248679</v>
      </c>
      <c r="P358" s="5">
        <f t="shared" si="62"/>
        <v>20231034.482758623</v>
      </c>
      <c r="Q358" s="10">
        <f t="shared" si="63"/>
        <v>2077500</v>
      </c>
      <c r="R358" s="11">
        <f t="shared" si="64"/>
        <v>0.10268876768365433</v>
      </c>
    </row>
    <row r="359" spans="1:18" x14ac:dyDescent="0.3">
      <c r="A359" s="7">
        <v>15650001</v>
      </c>
      <c r="B359" s="7">
        <v>15700000</v>
      </c>
      <c r="C359" s="7">
        <v>30000</v>
      </c>
      <c r="E359" s="7">
        <v>0</v>
      </c>
      <c r="F359" s="7">
        <f t="shared" si="65"/>
        <v>1570000</v>
      </c>
      <c r="G359" s="13">
        <f t="shared" si="55"/>
        <v>2.0828025477706999E-2</v>
      </c>
      <c r="H359" s="7">
        <f t="shared" si="56"/>
        <v>30000</v>
      </c>
      <c r="I359" s="5">
        <f t="shared" si="57"/>
        <v>356999.99999999988</v>
      </c>
      <c r="L359" s="5">
        <f t="shared" si="58"/>
        <v>17657000</v>
      </c>
      <c r="M359" s="5">
        <f t="shared" si="59"/>
        <v>18784042.55319149</v>
      </c>
      <c r="N359" s="10">
        <f t="shared" si="60"/>
        <v>2084000</v>
      </c>
      <c r="O359" s="11">
        <f t="shared" si="61"/>
        <v>0.11094523418474259</v>
      </c>
      <c r="P359" s="5">
        <f t="shared" si="62"/>
        <v>20295402.298850574</v>
      </c>
      <c r="Q359" s="10">
        <f t="shared" si="63"/>
        <v>2084000</v>
      </c>
      <c r="R359" s="11">
        <f t="shared" si="64"/>
        <v>0.1026833550433256</v>
      </c>
    </row>
    <row r="360" spans="1:18" x14ac:dyDescent="0.3">
      <c r="A360" s="7">
        <v>15700001</v>
      </c>
      <c r="B360" s="7">
        <v>15750000</v>
      </c>
      <c r="C360" s="7">
        <v>30000</v>
      </c>
      <c r="E360" s="7">
        <v>0</v>
      </c>
      <c r="F360" s="7">
        <f t="shared" si="65"/>
        <v>1575000</v>
      </c>
      <c r="G360" s="13">
        <f t="shared" si="55"/>
        <v>2.0825396825396816E-2</v>
      </c>
      <c r="H360" s="7">
        <f t="shared" si="56"/>
        <v>30000</v>
      </c>
      <c r="I360" s="5">
        <f t="shared" si="57"/>
        <v>357999.99999999988</v>
      </c>
      <c r="L360" s="5">
        <f t="shared" si="58"/>
        <v>17713000</v>
      </c>
      <c r="M360" s="5">
        <f t="shared" si="59"/>
        <v>18843617.021276597</v>
      </c>
      <c r="N360" s="10">
        <f t="shared" si="60"/>
        <v>2090500</v>
      </c>
      <c r="O360" s="11">
        <f t="shared" si="61"/>
        <v>0.11093942302263873</v>
      </c>
      <c r="P360" s="5">
        <f t="shared" si="62"/>
        <v>20359770.114942528</v>
      </c>
      <c r="Q360" s="10">
        <f t="shared" si="63"/>
        <v>2090500</v>
      </c>
      <c r="R360" s="11">
        <f t="shared" si="64"/>
        <v>0.10267797662733585</v>
      </c>
    </row>
    <row r="361" spans="1:18" x14ac:dyDescent="0.3">
      <c r="A361" s="7">
        <v>15750001</v>
      </c>
      <c r="B361" s="7">
        <v>15800000</v>
      </c>
      <c r="C361" s="7">
        <v>30000</v>
      </c>
      <c r="E361" s="7">
        <v>0</v>
      </c>
      <c r="F361" s="7">
        <f t="shared" si="65"/>
        <v>1580000</v>
      </c>
      <c r="G361" s="13">
        <f t="shared" si="55"/>
        <v>2.0822784810126574E-2</v>
      </c>
      <c r="H361" s="7">
        <f t="shared" si="56"/>
        <v>30000</v>
      </c>
      <c r="I361" s="5">
        <f t="shared" si="57"/>
        <v>358999.99999999988</v>
      </c>
      <c r="L361" s="5">
        <f t="shared" si="58"/>
        <v>17769000</v>
      </c>
      <c r="M361" s="5">
        <f t="shared" si="59"/>
        <v>18903191.489361703</v>
      </c>
      <c r="N361" s="10">
        <f t="shared" si="60"/>
        <v>2097000</v>
      </c>
      <c r="O361" s="11">
        <f t="shared" si="61"/>
        <v>0.11093364848894141</v>
      </c>
      <c r="P361" s="5">
        <f t="shared" si="62"/>
        <v>20424137.931034483</v>
      </c>
      <c r="Q361" s="10">
        <f t="shared" si="63"/>
        <v>2097000</v>
      </c>
      <c r="R361" s="11">
        <f t="shared" si="64"/>
        <v>0.10267263211210535</v>
      </c>
    </row>
    <row r="362" spans="1:18" x14ac:dyDescent="0.3">
      <c r="A362" s="7">
        <v>15800001</v>
      </c>
      <c r="B362" s="7">
        <v>15850000</v>
      </c>
      <c r="C362" s="7">
        <v>30000</v>
      </c>
      <c r="E362" s="7">
        <v>0</v>
      </c>
      <c r="F362" s="7">
        <f t="shared" si="65"/>
        <v>1585000</v>
      </c>
      <c r="G362" s="13">
        <f t="shared" si="55"/>
        <v>2.0820189274447939E-2</v>
      </c>
      <c r="H362" s="7">
        <f t="shared" si="56"/>
        <v>30000</v>
      </c>
      <c r="I362" s="5">
        <f t="shared" si="57"/>
        <v>359999.99999999983</v>
      </c>
      <c r="L362" s="5">
        <f t="shared" si="58"/>
        <v>17825000</v>
      </c>
      <c r="M362" s="5">
        <f t="shared" si="59"/>
        <v>18962765.95744681</v>
      </c>
      <c r="N362" s="10">
        <f t="shared" si="60"/>
        <v>2103500</v>
      </c>
      <c r="O362" s="11">
        <f t="shared" si="61"/>
        <v>0.11092791023842917</v>
      </c>
      <c r="P362" s="5">
        <f t="shared" si="62"/>
        <v>20488505.747126438</v>
      </c>
      <c r="Q362" s="10">
        <f t="shared" si="63"/>
        <v>2103500</v>
      </c>
      <c r="R362" s="11">
        <f t="shared" si="64"/>
        <v>0.10266732117812061</v>
      </c>
    </row>
    <row r="363" spans="1:18" x14ac:dyDescent="0.3">
      <c r="A363" s="7">
        <v>15850001</v>
      </c>
      <c r="B363" s="7">
        <v>15900000</v>
      </c>
      <c r="C363" s="7">
        <v>30000</v>
      </c>
      <c r="E363" s="7">
        <v>0</v>
      </c>
      <c r="F363" s="7">
        <f t="shared" si="65"/>
        <v>1590000</v>
      </c>
      <c r="G363" s="13">
        <f t="shared" si="55"/>
        <v>2.0817610062893066E-2</v>
      </c>
      <c r="H363" s="7">
        <f t="shared" si="56"/>
        <v>30000</v>
      </c>
      <c r="I363" s="5">
        <f t="shared" si="57"/>
        <v>360999.99999999977</v>
      </c>
      <c r="L363" s="5">
        <f t="shared" si="58"/>
        <v>17881000</v>
      </c>
      <c r="M363" s="5">
        <f t="shared" si="59"/>
        <v>19022340.425531916</v>
      </c>
      <c r="N363" s="10">
        <f t="shared" si="60"/>
        <v>2110000</v>
      </c>
      <c r="O363" s="11">
        <f t="shared" si="61"/>
        <v>0.11092220793020524</v>
      </c>
      <c r="P363" s="5">
        <f t="shared" si="62"/>
        <v>20552873.563218392</v>
      </c>
      <c r="Q363" s="10">
        <f t="shared" si="63"/>
        <v>2110000</v>
      </c>
      <c r="R363" s="11">
        <f t="shared" si="64"/>
        <v>0.10266204350987081</v>
      </c>
    </row>
    <row r="364" spans="1:18" x14ac:dyDescent="0.3">
      <c r="A364" s="7">
        <v>15900001</v>
      </c>
      <c r="B364" s="7">
        <v>15950000</v>
      </c>
      <c r="C364" s="7">
        <v>30000</v>
      </c>
      <c r="E364" s="7">
        <v>0</v>
      </c>
      <c r="F364" s="7">
        <f t="shared" si="65"/>
        <v>1595000</v>
      </c>
      <c r="G364" s="13">
        <f t="shared" si="55"/>
        <v>2.0815047021943561E-2</v>
      </c>
      <c r="H364" s="7">
        <f t="shared" si="56"/>
        <v>30000</v>
      </c>
      <c r="I364" s="5">
        <f t="shared" si="57"/>
        <v>361999.99999999983</v>
      </c>
      <c r="L364" s="5">
        <f t="shared" si="58"/>
        <v>17937000</v>
      </c>
      <c r="M364" s="5">
        <f t="shared" si="59"/>
        <v>19081914.893617023</v>
      </c>
      <c r="N364" s="10">
        <f t="shared" si="60"/>
        <v>2116500</v>
      </c>
      <c r="O364" s="11">
        <f t="shared" si="61"/>
        <v>0.11091654122763003</v>
      </c>
      <c r="P364" s="5">
        <f t="shared" si="62"/>
        <v>20617241.379310343</v>
      </c>
      <c r="Q364" s="10">
        <f t="shared" si="63"/>
        <v>2116500</v>
      </c>
      <c r="R364" s="11">
        <f t="shared" si="64"/>
        <v>0.10265679879578525</v>
      </c>
    </row>
    <row r="365" spans="1:18" x14ac:dyDescent="0.3">
      <c r="A365" s="7">
        <v>15950001</v>
      </c>
      <c r="B365" s="7">
        <v>16000000</v>
      </c>
      <c r="C365" s="7">
        <v>30000</v>
      </c>
      <c r="E365" s="7">
        <v>0</v>
      </c>
      <c r="F365" s="7">
        <f t="shared" si="65"/>
        <v>1600000</v>
      </c>
      <c r="G365" s="13">
        <f t="shared" si="55"/>
        <v>2.0812499999999984E-2</v>
      </c>
      <c r="H365" s="7">
        <f t="shared" si="56"/>
        <v>30000</v>
      </c>
      <c r="I365" s="5">
        <f t="shared" si="57"/>
        <v>362999.99999999977</v>
      </c>
      <c r="L365" s="5">
        <f t="shared" si="58"/>
        <v>17993000</v>
      </c>
      <c r="M365" s="5">
        <f t="shared" si="59"/>
        <v>19141489.361702129</v>
      </c>
      <c r="N365" s="10">
        <f t="shared" si="60"/>
        <v>2123000</v>
      </c>
      <c r="O365" s="11">
        <f t="shared" si="61"/>
        <v>0.11091090979825487</v>
      </c>
      <c r="P365" s="5">
        <f t="shared" si="62"/>
        <v>20681609.195402298</v>
      </c>
      <c r="Q365" s="10">
        <f t="shared" si="63"/>
        <v>2123000</v>
      </c>
      <c r="R365" s="11">
        <f t="shared" si="64"/>
        <v>0.10265158672817207</v>
      </c>
    </row>
    <row r="366" spans="1:18" x14ac:dyDescent="0.3">
      <c r="A366" s="7">
        <v>16000001</v>
      </c>
      <c r="B366" s="7">
        <v>16050000</v>
      </c>
      <c r="C366" s="7">
        <v>30000</v>
      </c>
      <c r="E366" s="7">
        <v>0</v>
      </c>
      <c r="F366" s="7">
        <f t="shared" si="65"/>
        <v>1605000</v>
      </c>
      <c r="G366" s="13">
        <f t="shared" si="55"/>
        <v>2.080996884735202E-2</v>
      </c>
      <c r="H366" s="7">
        <f t="shared" si="56"/>
        <v>30000</v>
      </c>
      <c r="I366" s="5">
        <f t="shared" si="57"/>
        <v>363999.99999999994</v>
      </c>
      <c r="L366" s="5">
        <f t="shared" si="58"/>
        <v>18049000</v>
      </c>
      <c r="M366" s="5">
        <f t="shared" si="59"/>
        <v>19201063.829787236</v>
      </c>
      <c r="N366" s="10">
        <f t="shared" si="60"/>
        <v>2129500</v>
      </c>
      <c r="O366" s="11">
        <f t="shared" si="61"/>
        <v>0.11090531331375698</v>
      </c>
      <c r="P366" s="5">
        <f t="shared" si="62"/>
        <v>20745977.011494253</v>
      </c>
      <c r="Q366" s="10">
        <f t="shared" si="63"/>
        <v>2129500</v>
      </c>
      <c r="R366" s="11">
        <f t="shared" si="64"/>
        <v>0.10264640700315807</v>
      </c>
    </row>
    <row r="367" spans="1:18" x14ac:dyDescent="0.3">
      <c r="A367" s="7">
        <v>16050001</v>
      </c>
      <c r="B367" s="7">
        <v>16100000</v>
      </c>
      <c r="C367" s="7">
        <v>30000</v>
      </c>
      <c r="E367" s="7">
        <v>0</v>
      </c>
      <c r="F367" s="7">
        <f t="shared" si="65"/>
        <v>1610000</v>
      </c>
      <c r="G367" s="13">
        <f t="shared" si="55"/>
        <v>2.0807453416149063E-2</v>
      </c>
      <c r="H367" s="7">
        <f t="shared" si="56"/>
        <v>30000</v>
      </c>
      <c r="I367" s="5">
        <f t="shared" si="57"/>
        <v>364999.99999999994</v>
      </c>
      <c r="L367" s="5">
        <f t="shared" si="58"/>
        <v>18105000</v>
      </c>
      <c r="M367" s="5">
        <f t="shared" si="59"/>
        <v>19260638.297872342</v>
      </c>
      <c r="N367" s="10">
        <f t="shared" si="60"/>
        <v>2136000</v>
      </c>
      <c r="O367" s="11">
        <f t="shared" si="61"/>
        <v>0.11089975144987571</v>
      </c>
      <c r="P367" s="5">
        <f t="shared" si="62"/>
        <v>20810344.827586208</v>
      </c>
      <c r="Q367" s="10">
        <f t="shared" si="63"/>
        <v>2136000</v>
      </c>
      <c r="R367" s="11">
        <f t="shared" si="64"/>
        <v>0.10264125932062966</v>
      </c>
    </row>
    <row r="368" spans="1:18" x14ac:dyDescent="0.3">
      <c r="A368" s="7">
        <v>16100001</v>
      </c>
      <c r="B368" s="7">
        <v>16150000</v>
      </c>
      <c r="C368" s="7">
        <v>30000</v>
      </c>
      <c r="E368" s="7">
        <v>0</v>
      </c>
      <c r="F368" s="7">
        <f t="shared" si="65"/>
        <v>1615000</v>
      </c>
      <c r="G368" s="13">
        <f t="shared" si="55"/>
        <v>2.08049535603715E-2</v>
      </c>
      <c r="H368" s="7">
        <f t="shared" si="56"/>
        <v>30000</v>
      </c>
      <c r="I368" s="5">
        <f t="shared" si="57"/>
        <v>365999.99999999971</v>
      </c>
      <c r="L368" s="5">
        <f t="shared" si="58"/>
        <v>18161000</v>
      </c>
      <c r="M368" s="5">
        <f t="shared" si="59"/>
        <v>19320212.765957449</v>
      </c>
      <c r="N368" s="10">
        <f t="shared" si="60"/>
        <v>2142500</v>
      </c>
      <c r="O368" s="11">
        <f t="shared" si="61"/>
        <v>0.11089422388634985</v>
      </c>
      <c r="P368" s="5">
        <f t="shared" si="62"/>
        <v>20874712.643678162</v>
      </c>
      <c r="Q368" s="10">
        <f t="shared" si="63"/>
        <v>2142500</v>
      </c>
      <c r="R368" s="11">
        <f t="shared" si="64"/>
        <v>0.10263614338417487</v>
      </c>
    </row>
    <row r="369" spans="1:18" x14ac:dyDescent="0.3">
      <c r="A369" s="7">
        <v>16150001</v>
      </c>
      <c r="B369" s="7">
        <v>16200000</v>
      </c>
      <c r="C369" s="7">
        <v>30000</v>
      </c>
      <c r="E369" s="7">
        <v>0</v>
      </c>
      <c r="F369" s="7">
        <f t="shared" si="65"/>
        <v>1620000</v>
      </c>
      <c r="G369" s="13">
        <f t="shared" si="55"/>
        <v>2.0802469135802457E-2</v>
      </c>
      <c r="H369" s="7">
        <f t="shared" si="56"/>
        <v>30000</v>
      </c>
      <c r="I369" s="5">
        <f t="shared" si="57"/>
        <v>366999.99999999983</v>
      </c>
      <c r="L369" s="5">
        <f t="shared" si="58"/>
        <v>18217000</v>
      </c>
      <c r="M369" s="5">
        <f t="shared" si="59"/>
        <v>19379787.234042555</v>
      </c>
      <c r="N369" s="10">
        <f t="shared" si="60"/>
        <v>2149000</v>
      </c>
      <c r="O369" s="11">
        <f t="shared" si="61"/>
        <v>0.11088873030685623</v>
      </c>
      <c r="P369" s="5">
        <f t="shared" si="62"/>
        <v>20939080.459770113</v>
      </c>
      <c r="Q369" s="10">
        <f t="shared" si="63"/>
        <v>2149000</v>
      </c>
      <c r="R369" s="11">
        <f t="shared" si="64"/>
        <v>0.10263105890102653</v>
      </c>
    </row>
    <row r="370" spans="1:18" x14ac:dyDescent="0.3">
      <c r="A370" s="7">
        <v>16200001</v>
      </c>
      <c r="B370" s="7">
        <v>16250000</v>
      </c>
      <c r="C370" s="7">
        <v>30000</v>
      </c>
      <c r="E370" s="7">
        <v>0</v>
      </c>
      <c r="F370" s="7">
        <f t="shared" si="65"/>
        <v>1625000</v>
      </c>
      <c r="G370" s="13">
        <f t="shared" si="55"/>
        <v>2.0799999999999985E-2</v>
      </c>
      <c r="H370" s="7">
        <f t="shared" si="56"/>
        <v>30000</v>
      </c>
      <c r="I370" s="5">
        <f t="shared" si="57"/>
        <v>367999.99999999977</v>
      </c>
      <c r="L370" s="5">
        <f t="shared" si="58"/>
        <v>18273000</v>
      </c>
      <c r="M370" s="5">
        <f t="shared" si="59"/>
        <v>19439361.702127662</v>
      </c>
      <c r="N370" s="10">
        <f t="shared" si="60"/>
        <v>2155500</v>
      </c>
      <c r="O370" s="11">
        <f t="shared" si="61"/>
        <v>0.11088327039894925</v>
      </c>
      <c r="P370" s="5">
        <f t="shared" si="62"/>
        <v>21003448.275862068</v>
      </c>
      <c r="Q370" s="10">
        <f t="shared" si="63"/>
        <v>2155500</v>
      </c>
      <c r="R370" s="11">
        <f t="shared" si="64"/>
        <v>0.10262600558200624</v>
      </c>
    </row>
    <row r="371" spans="1:18" x14ac:dyDescent="0.3">
      <c r="A371" s="7">
        <v>16250001</v>
      </c>
      <c r="B371" s="7">
        <v>16300000</v>
      </c>
      <c r="C371" s="7">
        <v>30000</v>
      </c>
      <c r="E371" s="7">
        <v>0</v>
      </c>
      <c r="F371" s="7">
        <f t="shared" si="65"/>
        <v>1630000</v>
      </c>
      <c r="G371" s="13">
        <f t="shared" si="55"/>
        <v>2.0797546012269935E-2</v>
      </c>
      <c r="H371" s="7">
        <f t="shared" si="56"/>
        <v>30000</v>
      </c>
      <c r="I371" s="5">
        <f t="shared" si="57"/>
        <v>368999.99999999994</v>
      </c>
      <c r="L371" s="5">
        <f t="shared" si="58"/>
        <v>18329000</v>
      </c>
      <c r="M371" s="5">
        <f t="shared" si="59"/>
        <v>19498936.170212768</v>
      </c>
      <c r="N371" s="10">
        <f t="shared" si="60"/>
        <v>2162000</v>
      </c>
      <c r="O371" s="11">
        <f t="shared" si="61"/>
        <v>0.11087784385400185</v>
      </c>
      <c r="P371" s="5">
        <f t="shared" si="62"/>
        <v>21067816.091954023</v>
      </c>
      <c r="Q371" s="10">
        <f t="shared" si="63"/>
        <v>2162000</v>
      </c>
      <c r="R371" s="11">
        <f t="shared" si="64"/>
        <v>0.10262098314146981</v>
      </c>
    </row>
    <row r="372" spans="1:18" x14ac:dyDescent="0.3">
      <c r="A372" s="7">
        <v>16300001</v>
      </c>
      <c r="B372" s="7">
        <v>16350000</v>
      </c>
      <c r="C372" s="7">
        <v>30000</v>
      </c>
      <c r="E372" s="7">
        <v>0</v>
      </c>
      <c r="F372" s="7">
        <f t="shared" si="65"/>
        <v>1635000</v>
      </c>
      <c r="G372" s="13">
        <f t="shared" si="55"/>
        <v>2.079510703363914E-2</v>
      </c>
      <c r="H372" s="7">
        <f t="shared" si="56"/>
        <v>30000</v>
      </c>
      <c r="I372" s="5">
        <f t="shared" si="57"/>
        <v>369999.99999999994</v>
      </c>
      <c r="L372" s="5">
        <f t="shared" si="58"/>
        <v>18385000</v>
      </c>
      <c r="M372" s="5">
        <f t="shared" si="59"/>
        <v>19558510.638297874</v>
      </c>
      <c r="N372" s="10">
        <f t="shared" si="60"/>
        <v>2168500</v>
      </c>
      <c r="O372" s="11">
        <f t="shared" si="61"/>
        <v>0.11087245036714712</v>
      </c>
      <c r="P372" s="5">
        <f t="shared" si="62"/>
        <v>21132183.908045977</v>
      </c>
      <c r="Q372" s="10">
        <f t="shared" si="63"/>
        <v>2168500</v>
      </c>
      <c r="R372" s="11">
        <f t="shared" si="64"/>
        <v>0.1026159912972532</v>
      </c>
    </row>
    <row r="373" spans="1:18" x14ac:dyDescent="0.3">
      <c r="A373" s="7">
        <v>16350001</v>
      </c>
      <c r="B373" s="7">
        <v>16400000</v>
      </c>
      <c r="C373" s="7">
        <v>30000</v>
      </c>
      <c r="E373" s="7">
        <v>0</v>
      </c>
      <c r="F373" s="7">
        <f t="shared" si="65"/>
        <v>1640000</v>
      </c>
      <c r="G373" s="13">
        <f t="shared" si="55"/>
        <v>2.0792682926829259E-2</v>
      </c>
      <c r="H373" s="7">
        <f t="shared" si="56"/>
        <v>30000</v>
      </c>
      <c r="I373" s="5">
        <f t="shared" si="57"/>
        <v>370999.99999999983</v>
      </c>
      <c r="L373" s="5">
        <f t="shared" si="58"/>
        <v>18441000</v>
      </c>
      <c r="M373" s="5">
        <f t="shared" si="59"/>
        <v>19618085.106382981</v>
      </c>
      <c r="N373" s="10">
        <f t="shared" si="60"/>
        <v>2175000</v>
      </c>
      <c r="O373" s="11">
        <f t="shared" si="61"/>
        <v>0.1108670896372214</v>
      </c>
      <c r="P373" s="5">
        <f t="shared" si="62"/>
        <v>21196551.724137932</v>
      </c>
      <c r="Q373" s="10">
        <f t="shared" si="63"/>
        <v>2175000</v>
      </c>
      <c r="R373" s="11">
        <f t="shared" si="64"/>
        <v>0.10261102977061981</v>
      </c>
    </row>
    <row r="374" spans="1:18" x14ac:dyDescent="0.3">
      <c r="A374" s="7">
        <v>16400001</v>
      </c>
      <c r="B374" s="7">
        <v>16450000</v>
      </c>
      <c r="C374" s="7">
        <v>30000</v>
      </c>
      <c r="E374" s="7">
        <v>0</v>
      </c>
      <c r="F374" s="7">
        <f t="shared" si="65"/>
        <v>1645000</v>
      </c>
      <c r="G374" s="13">
        <f t="shared" si="55"/>
        <v>2.079027355623099E-2</v>
      </c>
      <c r="H374" s="7">
        <f t="shared" si="56"/>
        <v>30000</v>
      </c>
      <c r="I374" s="5">
        <f t="shared" si="57"/>
        <v>371999.99999999977</v>
      </c>
      <c r="L374" s="5">
        <f t="shared" si="58"/>
        <v>18497000</v>
      </c>
      <c r="M374" s="5">
        <f t="shared" si="59"/>
        <v>19677659.574468087</v>
      </c>
      <c r="N374" s="10">
        <f t="shared" si="60"/>
        <v>2181500</v>
      </c>
      <c r="O374" s="11">
        <f t="shared" si="61"/>
        <v>0.1108617613667081</v>
      </c>
      <c r="P374" s="5">
        <f t="shared" si="62"/>
        <v>21260919.540229887</v>
      </c>
      <c r="Q374" s="10">
        <f t="shared" si="63"/>
        <v>2181500</v>
      </c>
      <c r="R374" s="11">
        <f t="shared" si="64"/>
        <v>0.10260609828620856</v>
      </c>
    </row>
    <row r="375" spans="1:18" x14ac:dyDescent="0.3">
      <c r="A375" s="7">
        <v>16450001</v>
      </c>
      <c r="B375" s="7">
        <v>16500000</v>
      </c>
      <c r="C375" s="7">
        <v>30000</v>
      </c>
      <c r="E375" s="7">
        <v>0</v>
      </c>
      <c r="F375" s="7">
        <f t="shared" si="65"/>
        <v>1650000</v>
      </c>
      <c r="G375" s="13">
        <f t="shared" si="55"/>
        <v>2.0787878787878772E-2</v>
      </c>
      <c r="H375" s="7">
        <f t="shared" si="56"/>
        <v>30000</v>
      </c>
      <c r="I375" s="5">
        <f t="shared" si="57"/>
        <v>372999.99999999971</v>
      </c>
      <c r="L375" s="5">
        <f t="shared" si="58"/>
        <v>18553000</v>
      </c>
      <c r="M375" s="5">
        <f t="shared" si="59"/>
        <v>19737234.042553194</v>
      </c>
      <c r="N375" s="10">
        <f t="shared" si="60"/>
        <v>2188000</v>
      </c>
      <c r="O375" s="11">
        <f t="shared" si="61"/>
        <v>0.11085646526168273</v>
      </c>
      <c r="P375" s="5">
        <f t="shared" si="62"/>
        <v>21325287.356321838</v>
      </c>
      <c r="Q375" s="10">
        <f t="shared" si="63"/>
        <v>2188000</v>
      </c>
      <c r="R375" s="11">
        <f t="shared" si="64"/>
        <v>0.10260119657198298</v>
      </c>
    </row>
    <row r="376" spans="1:18" x14ac:dyDescent="0.3">
      <c r="A376" s="7">
        <v>16500001</v>
      </c>
      <c r="B376" s="7">
        <v>16550000</v>
      </c>
      <c r="C376" s="7">
        <v>30000</v>
      </c>
      <c r="E376" s="7">
        <v>0</v>
      </c>
      <c r="F376" s="7">
        <f t="shared" si="65"/>
        <v>1655000</v>
      </c>
      <c r="G376" s="13">
        <f t="shared" si="55"/>
        <v>2.0785498489425971E-2</v>
      </c>
      <c r="H376" s="7">
        <f t="shared" si="56"/>
        <v>30000</v>
      </c>
      <c r="I376" s="5">
        <f t="shared" si="57"/>
        <v>373999.99999999983</v>
      </c>
      <c r="L376" s="5">
        <f t="shared" si="58"/>
        <v>18609000</v>
      </c>
      <c r="M376" s="5">
        <f t="shared" si="59"/>
        <v>19796808.5106383</v>
      </c>
      <c r="N376" s="10">
        <f t="shared" si="60"/>
        <v>2194500</v>
      </c>
      <c r="O376" s="11">
        <f t="shared" si="61"/>
        <v>0.11085120103175881</v>
      </c>
      <c r="P376" s="5">
        <f t="shared" si="62"/>
        <v>21389655.172413792</v>
      </c>
      <c r="Q376" s="10">
        <f t="shared" si="63"/>
        <v>2194500</v>
      </c>
      <c r="R376" s="11">
        <f t="shared" si="64"/>
        <v>0.10259632435918105</v>
      </c>
    </row>
    <row r="377" spans="1:18" x14ac:dyDescent="0.3">
      <c r="A377" s="7">
        <v>16550001</v>
      </c>
      <c r="B377" s="7">
        <v>16600000</v>
      </c>
      <c r="C377" s="7">
        <v>30000</v>
      </c>
      <c r="E377" s="7">
        <v>0</v>
      </c>
      <c r="F377" s="7">
        <f t="shared" si="65"/>
        <v>1660000</v>
      </c>
      <c r="G377" s="13">
        <f t="shared" si="55"/>
        <v>2.0783132530120471E-2</v>
      </c>
      <c r="H377" s="7">
        <f t="shared" si="56"/>
        <v>30000</v>
      </c>
      <c r="I377" s="5">
        <f t="shared" si="57"/>
        <v>374999.99999999983</v>
      </c>
      <c r="L377" s="5">
        <f t="shared" si="58"/>
        <v>18665000</v>
      </c>
      <c r="M377" s="5">
        <f t="shared" si="59"/>
        <v>19856382.978723407</v>
      </c>
      <c r="N377" s="10">
        <f t="shared" si="60"/>
        <v>2201000</v>
      </c>
      <c r="O377" s="11">
        <f t="shared" si="61"/>
        <v>0.11084596839003481</v>
      </c>
      <c r="P377" s="5">
        <f t="shared" si="62"/>
        <v>21454022.988505747</v>
      </c>
      <c r="Q377" s="10">
        <f t="shared" si="63"/>
        <v>2201000</v>
      </c>
      <c r="R377" s="11">
        <f t="shared" si="64"/>
        <v>0.10259148138226627</v>
      </c>
    </row>
    <row r="378" spans="1:18" x14ac:dyDescent="0.3">
      <c r="A378" s="7">
        <v>16600001</v>
      </c>
      <c r="B378" s="7">
        <v>16650000</v>
      </c>
      <c r="C378" s="7">
        <v>30000</v>
      </c>
      <c r="E378" s="7">
        <v>0</v>
      </c>
      <c r="F378" s="7">
        <f t="shared" si="65"/>
        <v>1665000</v>
      </c>
      <c r="G378" s="13">
        <f t="shared" si="55"/>
        <v>2.0780780780780772E-2</v>
      </c>
      <c r="H378" s="7">
        <f t="shared" si="56"/>
        <v>30000</v>
      </c>
      <c r="I378" s="5">
        <f t="shared" si="57"/>
        <v>375999.99999999988</v>
      </c>
      <c r="L378" s="5">
        <f t="shared" si="58"/>
        <v>18721000</v>
      </c>
      <c r="M378" s="5">
        <f t="shared" si="59"/>
        <v>19915957.446808513</v>
      </c>
      <c r="N378" s="10">
        <f t="shared" si="60"/>
        <v>2207500</v>
      </c>
      <c r="O378" s="11">
        <f t="shared" si="61"/>
        <v>0.11084076705304202</v>
      </c>
      <c r="P378" s="5">
        <f t="shared" si="62"/>
        <v>21518390.804597702</v>
      </c>
      <c r="Q378" s="10">
        <f t="shared" si="63"/>
        <v>2207500</v>
      </c>
      <c r="R378" s="11">
        <f t="shared" si="64"/>
        <v>0.10258666737887932</v>
      </c>
    </row>
    <row r="379" spans="1:18" x14ac:dyDescent="0.3">
      <c r="A379" s="7">
        <v>16650001</v>
      </c>
      <c r="B379" s="7">
        <v>16700000</v>
      </c>
      <c r="C379" s="7">
        <v>30000</v>
      </c>
      <c r="E379" s="7">
        <v>0</v>
      </c>
      <c r="F379" s="7">
        <f t="shared" si="65"/>
        <v>1670000</v>
      </c>
      <c r="G379" s="13">
        <f t="shared" si="55"/>
        <v>2.0778443113772443E-2</v>
      </c>
      <c r="H379" s="7">
        <f t="shared" si="56"/>
        <v>30000</v>
      </c>
      <c r="I379" s="5">
        <f t="shared" si="57"/>
        <v>376999.99999999983</v>
      </c>
      <c r="L379" s="5">
        <f t="shared" si="58"/>
        <v>18777000</v>
      </c>
      <c r="M379" s="5">
        <f t="shared" si="59"/>
        <v>19975531.91489362</v>
      </c>
      <c r="N379" s="10">
        <f t="shared" si="60"/>
        <v>2214000</v>
      </c>
      <c r="O379" s="11">
        <f t="shared" si="61"/>
        <v>0.11083559674069339</v>
      </c>
      <c r="P379" s="5">
        <f t="shared" si="62"/>
        <v>21582758.620689657</v>
      </c>
      <c r="Q379" s="10">
        <f t="shared" si="63"/>
        <v>2214000</v>
      </c>
      <c r="R379" s="11">
        <f t="shared" si="64"/>
        <v>0.10258188208979069</v>
      </c>
    </row>
    <row r="380" spans="1:18" x14ac:dyDescent="0.3">
      <c r="A380" s="7">
        <v>16700001</v>
      </c>
      <c r="B380" s="7">
        <v>16750000</v>
      </c>
      <c r="C380" s="7">
        <v>30000</v>
      </c>
      <c r="E380" s="7">
        <v>0</v>
      </c>
      <c r="F380" s="7">
        <f t="shared" si="65"/>
        <v>1675000</v>
      </c>
      <c r="G380" s="13">
        <f t="shared" si="55"/>
        <v>2.0776119402985072E-2</v>
      </c>
      <c r="H380" s="7">
        <f t="shared" si="56"/>
        <v>30000</v>
      </c>
      <c r="I380" s="5">
        <f t="shared" si="57"/>
        <v>377999.99999999994</v>
      </c>
      <c r="L380" s="5">
        <f t="shared" si="58"/>
        <v>18833000</v>
      </c>
      <c r="M380" s="5">
        <f t="shared" si="59"/>
        <v>20035106.382978726</v>
      </c>
      <c r="N380" s="10">
        <f t="shared" si="60"/>
        <v>2220500</v>
      </c>
      <c r="O380" s="11">
        <f t="shared" si="61"/>
        <v>0.11083045717623319</v>
      </c>
      <c r="P380" s="5">
        <f t="shared" si="62"/>
        <v>21647126.436781608</v>
      </c>
      <c r="Q380" s="10">
        <f t="shared" si="63"/>
        <v>2220500</v>
      </c>
      <c r="R380" s="11">
        <f t="shared" si="64"/>
        <v>0.10257712525885415</v>
      </c>
    </row>
    <row r="381" spans="1:18" x14ac:dyDescent="0.3">
      <c r="A381" s="7">
        <v>16750001</v>
      </c>
      <c r="B381" s="7">
        <v>16800000</v>
      </c>
      <c r="C381" s="7">
        <v>30000</v>
      </c>
      <c r="E381" s="7">
        <v>0</v>
      </c>
      <c r="F381" s="7">
        <f t="shared" si="65"/>
        <v>1680000</v>
      </c>
      <c r="G381" s="13">
        <f t="shared" si="55"/>
        <v>2.0773809523809514E-2</v>
      </c>
      <c r="H381" s="7">
        <f t="shared" si="56"/>
        <v>30000</v>
      </c>
      <c r="I381" s="5">
        <f t="shared" si="57"/>
        <v>378999.99999999983</v>
      </c>
      <c r="L381" s="5">
        <f t="shared" si="58"/>
        <v>18889000</v>
      </c>
      <c r="M381" s="5">
        <f t="shared" si="59"/>
        <v>20094680.851063833</v>
      </c>
      <c r="N381" s="10">
        <f t="shared" si="60"/>
        <v>2227000</v>
      </c>
      <c r="O381" s="11">
        <f t="shared" si="61"/>
        <v>0.11082534808618771</v>
      </c>
      <c r="P381" s="5">
        <f t="shared" si="62"/>
        <v>21711494.252873562</v>
      </c>
      <c r="Q381" s="10">
        <f t="shared" si="63"/>
        <v>2227000</v>
      </c>
      <c r="R381" s="11">
        <f t="shared" si="64"/>
        <v>0.10257239663296099</v>
      </c>
    </row>
    <row r="382" spans="1:18" x14ac:dyDescent="0.3">
      <c r="A382" s="7">
        <v>16800001</v>
      </c>
      <c r="B382" s="7">
        <v>16850000</v>
      </c>
      <c r="C382" s="7">
        <v>30000</v>
      </c>
      <c r="E382" s="7">
        <v>0</v>
      </c>
      <c r="F382" s="7">
        <f t="shared" si="65"/>
        <v>1685000</v>
      </c>
      <c r="G382" s="13">
        <f t="shared" si="55"/>
        <v>2.0771513353115723E-2</v>
      </c>
      <c r="H382" s="7">
        <f t="shared" si="56"/>
        <v>30000</v>
      </c>
      <c r="I382" s="5">
        <f t="shared" si="57"/>
        <v>379999.99999999994</v>
      </c>
      <c r="L382" s="5">
        <f t="shared" si="58"/>
        <v>18945000</v>
      </c>
      <c r="M382" s="5">
        <f t="shared" si="59"/>
        <v>20154255.319148939</v>
      </c>
      <c r="N382" s="10">
        <f t="shared" si="60"/>
        <v>2233500</v>
      </c>
      <c r="O382" s="11">
        <f t="shared" si="61"/>
        <v>0.11082026920031669</v>
      </c>
      <c r="P382" s="5">
        <f t="shared" si="62"/>
        <v>21775862.068965517</v>
      </c>
      <c r="Q382" s="10">
        <f t="shared" si="63"/>
        <v>2233500</v>
      </c>
      <c r="R382" s="11">
        <f t="shared" si="64"/>
        <v>0.10256769596199525</v>
      </c>
    </row>
    <row r="383" spans="1:18" x14ac:dyDescent="0.3">
      <c r="A383" s="7">
        <v>16850001</v>
      </c>
      <c r="B383" s="7">
        <v>16900000</v>
      </c>
      <c r="C383" s="7">
        <v>30000</v>
      </c>
      <c r="E383" s="7">
        <v>0</v>
      </c>
      <c r="F383" s="7">
        <f t="shared" si="65"/>
        <v>1690000</v>
      </c>
      <c r="G383" s="13">
        <f t="shared" si="55"/>
        <v>2.0769230769230762E-2</v>
      </c>
      <c r="H383" s="7">
        <f t="shared" si="56"/>
        <v>30000</v>
      </c>
      <c r="I383" s="5">
        <f t="shared" si="57"/>
        <v>380999.99999999988</v>
      </c>
      <c r="L383" s="5">
        <f t="shared" si="58"/>
        <v>19001000</v>
      </c>
      <c r="M383" s="5">
        <f t="shared" si="59"/>
        <v>20213829.787234042</v>
      </c>
      <c r="N383" s="10">
        <f t="shared" si="60"/>
        <v>2240000</v>
      </c>
      <c r="O383" s="11">
        <f t="shared" si="61"/>
        <v>0.1108152202515657</v>
      </c>
      <c r="P383" s="5">
        <f t="shared" si="62"/>
        <v>21840229.885057472</v>
      </c>
      <c r="Q383" s="10">
        <f t="shared" si="63"/>
        <v>2240000</v>
      </c>
      <c r="R383" s="11">
        <f t="shared" si="64"/>
        <v>0.10256302299878954</v>
      </c>
    </row>
    <row r="384" spans="1:18" x14ac:dyDescent="0.3">
      <c r="A384" s="7">
        <v>16900001</v>
      </c>
      <c r="B384" s="7">
        <v>16950000</v>
      </c>
      <c r="C384" s="7">
        <v>30000</v>
      </c>
      <c r="E384" s="7">
        <v>0</v>
      </c>
      <c r="F384" s="7">
        <f t="shared" si="65"/>
        <v>1695000</v>
      </c>
      <c r="G384" s="13">
        <f t="shared" si="55"/>
        <v>2.0766961651917396E-2</v>
      </c>
      <c r="H384" s="7">
        <f t="shared" si="56"/>
        <v>30000</v>
      </c>
      <c r="I384" s="5">
        <f t="shared" si="57"/>
        <v>381999.99999999983</v>
      </c>
      <c r="L384" s="5">
        <f t="shared" si="58"/>
        <v>19057000</v>
      </c>
      <c r="M384" s="5">
        <f t="shared" si="59"/>
        <v>20273404.255319148</v>
      </c>
      <c r="N384" s="10">
        <f t="shared" si="60"/>
        <v>2246500</v>
      </c>
      <c r="O384" s="11">
        <f t="shared" si="61"/>
        <v>0.11081020097601932</v>
      </c>
      <c r="P384" s="5">
        <f t="shared" si="62"/>
        <v>21904597.701149426</v>
      </c>
      <c r="Q384" s="10">
        <f t="shared" si="63"/>
        <v>2246500</v>
      </c>
      <c r="R384" s="11">
        <f t="shared" si="64"/>
        <v>0.1025583774990817</v>
      </c>
    </row>
    <row r="385" spans="1:18" x14ac:dyDescent="0.3">
      <c r="A385" s="7">
        <v>16950001</v>
      </c>
      <c r="B385" s="7">
        <v>17000000</v>
      </c>
      <c r="C385" s="7">
        <v>30000</v>
      </c>
      <c r="E385" s="7">
        <v>0</v>
      </c>
      <c r="F385" s="7">
        <f t="shared" si="65"/>
        <v>1700000</v>
      </c>
      <c r="G385" s="13">
        <f t="shared" si="55"/>
        <v>2.0764705882352935E-2</v>
      </c>
      <c r="H385" s="7">
        <f t="shared" si="56"/>
        <v>30000</v>
      </c>
      <c r="I385" s="5">
        <f t="shared" si="57"/>
        <v>382999.99999999988</v>
      </c>
      <c r="L385" s="5">
        <f t="shared" si="58"/>
        <v>19113000</v>
      </c>
      <c r="M385" s="5">
        <f t="shared" si="59"/>
        <v>20332978.723404255</v>
      </c>
      <c r="N385" s="10">
        <f t="shared" si="60"/>
        <v>2253000</v>
      </c>
      <c r="O385" s="11">
        <f t="shared" si="61"/>
        <v>0.11080521111285513</v>
      </c>
      <c r="P385" s="5">
        <f t="shared" si="62"/>
        <v>21968965.517241381</v>
      </c>
      <c r="Q385" s="10">
        <f t="shared" si="63"/>
        <v>2253000</v>
      </c>
      <c r="R385" s="11">
        <f t="shared" si="64"/>
        <v>0.10255375922147229</v>
      </c>
    </row>
    <row r="386" spans="1:18" x14ac:dyDescent="0.3">
      <c r="A386" s="7">
        <v>17000001</v>
      </c>
      <c r="B386" s="7">
        <v>17050000</v>
      </c>
      <c r="C386" s="7">
        <v>30000</v>
      </c>
      <c r="E386" s="7">
        <v>0</v>
      </c>
      <c r="F386" s="7">
        <f t="shared" si="65"/>
        <v>1705000</v>
      </c>
      <c r="G386" s="13">
        <f t="shared" si="55"/>
        <v>2.0762463343108495E-2</v>
      </c>
      <c r="H386" s="7">
        <f t="shared" si="56"/>
        <v>30000</v>
      </c>
      <c r="I386" s="5">
        <f t="shared" si="57"/>
        <v>383999.99999999983</v>
      </c>
      <c r="L386" s="5">
        <f t="shared" si="58"/>
        <v>19169000</v>
      </c>
      <c r="M386" s="5">
        <f t="shared" si="59"/>
        <v>20392553.191489361</v>
      </c>
      <c r="N386" s="10">
        <f t="shared" si="60"/>
        <v>2259500</v>
      </c>
      <c r="O386" s="11">
        <f t="shared" si="61"/>
        <v>0.11080025040429861</v>
      </c>
      <c r="P386" s="5">
        <f t="shared" si="62"/>
        <v>22033333.333333332</v>
      </c>
      <c r="Q386" s="10">
        <f t="shared" si="63"/>
        <v>2259500</v>
      </c>
      <c r="R386" s="11">
        <f t="shared" si="64"/>
        <v>0.10254916792738276</v>
      </c>
    </row>
    <row r="387" spans="1:18" x14ac:dyDescent="0.3">
      <c r="A387" s="7">
        <v>17050001</v>
      </c>
      <c r="B387" s="7">
        <v>17100000</v>
      </c>
      <c r="C387" s="7">
        <v>30000</v>
      </c>
      <c r="E387" s="7">
        <v>0</v>
      </c>
      <c r="F387" s="7">
        <f t="shared" si="65"/>
        <v>1710000</v>
      </c>
      <c r="G387" s="13">
        <f t="shared" ref="G387:G446" si="66">MIN($K$2,MAX($K$3,$K$4/B387+$K$3))-$K$17</f>
        <v>2.0760233918128645E-2</v>
      </c>
      <c r="H387" s="7">
        <f t="shared" ref="H387:H446" si="67">MIN($K$11,$K$9+$K$10*(B387-$B$2))</f>
        <v>30000</v>
      </c>
      <c r="I387" s="5">
        <f t="shared" ref="I387:I446" si="68">B387*G387+H387</f>
        <v>384999.99999999983</v>
      </c>
      <c r="L387" s="5">
        <f t="shared" ref="L387:L446" si="69">B387+C387+E387+F387+I387</f>
        <v>19225000</v>
      </c>
      <c r="M387" s="5">
        <f t="shared" ref="M387:M446" si="70">L387/(1-$K$14)</f>
        <v>20452127.659574468</v>
      </c>
      <c r="N387" s="10">
        <f t="shared" ref="N387:N446" si="71">M387*(1-$K$14)-(B387+E387+F387)*(1-$K$17)-C387</f>
        <v>2266000</v>
      </c>
      <c r="O387" s="11">
        <f t="shared" ref="O387:O446" si="72">N387/M387</f>
        <v>0.11079531859557867</v>
      </c>
      <c r="P387" s="5">
        <f t="shared" ref="P387:P446" si="73">L387/(1-$K$15)</f>
        <v>22097701.149425287</v>
      </c>
      <c r="Q387" s="10">
        <f t="shared" ref="Q387:Q446" si="74">P387*(1-$K$15)-(B387+E387+F387)*(1-$K$17)-C387</f>
        <v>2266000</v>
      </c>
      <c r="R387" s="11">
        <f t="shared" ref="R387:R446" si="75">Q387/P387</f>
        <v>0.1025446033810143</v>
      </c>
    </row>
    <row r="388" spans="1:18" x14ac:dyDescent="0.3">
      <c r="A388" s="7">
        <v>17100001</v>
      </c>
      <c r="B388" s="7">
        <v>17150000</v>
      </c>
      <c r="C388" s="7">
        <v>30000</v>
      </c>
      <c r="E388" s="7">
        <v>0</v>
      </c>
      <c r="F388" s="7">
        <f t="shared" si="65"/>
        <v>1715000</v>
      </c>
      <c r="G388" s="13">
        <f t="shared" si="66"/>
        <v>2.0758017492711361E-2</v>
      </c>
      <c r="H388" s="7">
        <f t="shared" si="67"/>
        <v>30000</v>
      </c>
      <c r="I388" s="5">
        <f t="shared" si="68"/>
        <v>385999.99999999983</v>
      </c>
      <c r="L388" s="5">
        <f t="shared" si="69"/>
        <v>19281000</v>
      </c>
      <c r="M388" s="5">
        <f t="shared" si="70"/>
        <v>20511702.127659574</v>
      </c>
      <c r="N388" s="10">
        <f t="shared" si="71"/>
        <v>2272500</v>
      </c>
      <c r="O388" s="11">
        <f t="shared" si="72"/>
        <v>0.11079041543488409</v>
      </c>
      <c r="P388" s="5">
        <f t="shared" si="73"/>
        <v>22162068.965517242</v>
      </c>
      <c r="Q388" s="10">
        <f t="shared" si="74"/>
        <v>2272500</v>
      </c>
      <c r="R388" s="11">
        <f t="shared" si="75"/>
        <v>0.10254006534930761</v>
      </c>
    </row>
    <row r="389" spans="1:18" x14ac:dyDescent="0.3">
      <c r="A389" s="7">
        <v>17150001</v>
      </c>
      <c r="B389" s="7">
        <v>17200000</v>
      </c>
      <c r="C389" s="7">
        <v>30000</v>
      </c>
      <c r="E389" s="7">
        <v>0</v>
      </c>
      <c r="F389" s="7">
        <f t="shared" si="65"/>
        <v>1720000</v>
      </c>
      <c r="G389" s="13">
        <f t="shared" si="66"/>
        <v>2.0755813953488356E-2</v>
      </c>
      <c r="H389" s="7">
        <f t="shared" si="67"/>
        <v>30000</v>
      </c>
      <c r="I389" s="5">
        <f t="shared" si="68"/>
        <v>386999.99999999971</v>
      </c>
      <c r="L389" s="5">
        <f t="shared" si="69"/>
        <v>19337000</v>
      </c>
      <c r="M389" s="5">
        <f t="shared" si="70"/>
        <v>20571276.595744681</v>
      </c>
      <c r="N389" s="10">
        <f t="shared" si="71"/>
        <v>2279000</v>
      </c>
      <c r="O389" s="11">
        <f t="shared" si="72"/>
        <v>0.11078554067332058</v>
      </c>
      <c r="P389" s="5">
        <f t="shared" si="73"/>
        <v>22226436.781609196</v>
      </c>
      <c r="Q389" s="10">
        <f t="shared" si="74"/>
        <v>2279000</v>
      </c>
      <c r="R389" s="11">
        <f t="shared" si="75"/>
        <v>0.10253555360190308</v>
      </c>
    </row>
    <row r="390" spans="1:18" x14ac:dyDescent="0.3">
      <c r="A390" s="7">
        <v>17200001</v>
      </c>
      <c r="B390" s="7">
        <v>17250000</v>
      </c>
      <c r="C390" s="7">
        <v>30000</v>
      </c>
      <c r="E390" s="7">
        <v>0</v>
      </c>
      <c r="F390" s="7">
        <f t="shared" si="65"/>
        <v>1725000</v>
      </c>
      <c r="G390" s="13">
        <f t="shared" si="66"/>
        <v>2.075362318840579E-2</v>
      </c>
      <c r="H390" s="7">
        <f t="shared" si="67"/>
        <v>30000</v>
      </c>
      <c r="I390" s="5">
        <f t="shared" si="68"/>
        <v>387999.99999999988</v>
      </c>
      <c r="L390" s="5">
        <f t="shared" si="69"/>
        <v>19393000</v>
      </c>
      <c r="M390" s="5">
        <f t="shared" si="70"/>
        <v>20630851.063829787</v>
      </c>
      <c r="N390" s="10">
        <f t="shared" si="71"/>
        <v>2285500</v>
      </c>
      <c r="O390" s="11">
        <f t="shared" si="72"/>
        <v>0.11078069406486876</v>
      </c>
      <c r="P390" s="5">
        <f t="shared" si="73"/>
        <v>22290804.597701151</v>
      </c>
      <c r="Q390" s="10">
        <f t="shared" si="74"/>
        <v>2285500</v>
      </c>
      <c r="R390" s="11">
        <f t="shared" si="75"/>
        <v>0.10253106791110193</v>
      </c>
    </row>
    <row r="391" spans="1:18" x14ac:dyDescent="0.3">
      <c r="A391" s="7">
        <v>17250001</v>
      </c>
      <c r="B391" s="7">
        <v>17300000</v>
      </c>
      <c r="C391" s="7">
        <v>30000</v>
      </c>
      <c r="E391" s="7">
        <v>0</v>
      </c>
      <c r="F391" s="7">
        <f t="shared" si="65"/>
        <v>1730000</v>
      </c>
      <c r="G391" s="13">
        <f t="shared" si="66"/>
        <v>2.0751445086705192E-2</v>
      </c>
      <c r="H391" s="7">
        <f t="shared" si="67"/>
        <v>30000</v>
      </c>
      <c r="I391" s="5">
        <f t="shared" si="68"/>
        <v>388999.99999999983</v>
      </c>
      <c r="L391" s="5">
        <f t="shared" si="69"/>
        <v>19449000</v>
      </c>
      <c r="M391" s="5">
        <f t="shared" si="70"/>
        <v>20690425.531914894</v>
      </c>
      <c r="N391" s="10">
        <f t="shared" si="71"/>
        <v>2292000</v>
      </c>
      <c r="O391" s="11">
        <f t="shared" si="72"/>
        <v>0.11077587536634274</v>
      </c>
      <c r="P391" s="5">
        <f t="shared" si="73"/>
        <v>22355172.413793102</v>
      </c>
      <c r="Q391" s="10">
        <f t="shared" si="74"/>
        <v>2292000</v>
      </c>
      <c r="R391" s="11">
        <f t="shared" si="75"/>
        <v>0.10252660805182787</v>
      </c>
    </row>
    <row r="392" spans="1:18" x14ac:dyDescent="0.3">
      <c r="A392" s="7">
        <v>17300001</v>
      </c>
      <c r="B392" s="7">
        <v>17350000</v>
      </c>
      <c r="C392" s="7">
        <v>30000</v>
      </c>
      <c r="E392" s="7">
        <v>0</v>
      </c>
      <c r="F392" s="7">
        <f t="shared" si="65"/>
        <v>1735000</v>
      </c>
      <c r="G392" s="13">
        <f t="shared" si="66"/>
        <v>2.0749279538904888E-2</v>
      </c>
      <c r="H392" s="7">
        <f t="shared" si="67"/>
        <v>30000</v>
      </c>
      <c r="I392" s="5">
        <f t="shared" si="68"/>
        <v>389999.99999999983</v>
      </c>
      <c r="L392" s="5">
        <f t="shared" si="69"/>
        <v>19505000</v>
      </c>
      <c r="M392" s="5">
        <f t="shared" si="70"/>
        <v>20750000</v>
      </c>
      <c r="N392" s="10">
        <f t="shared" si="71"/>
        <v>2298500</v>
      </c>
      <c r="O392" s="11">
        <f t="shared" si="72"/>
        <v>0.1107710843373494</v>
      </c>
      <c r="P392" s="5">
        <f t="shared" si="73"/>
        <v>22419540.229885057</v>
      </c>
      <c r="Q392" s="10">
        <f t="shared" si="74"/>
        <v>2298500</v>
      </c>
      <c r="R392" s="11">
        <f t="shared" si="75"/>
        <v>0.10252217380158934</v>
      </c>
    </row>
    <row r="393" spans="1:18" x14ac:dyDescent="0.3">
      <c r="A393" s="7">
        <v>17350001</v>
      </c>
      <c r="B393" s="7">
        <v>17400000</v>
      </c>
      <c r="C393" s="7">
        <v>30000</v>
      </c>
      <c r="E393" s="7">
        <v>0</v>
      </c>
      <c r="F393" s="7">
        <f t="shared" si="65"/>
        <v>1740000</v>
      </c>
      <c r="G393" s="13">
        <f t="shared" si="66"/>
        <v>2.0747126436781602E-2</v>
      </c>
      <c r="H393" s="7">
        <f t="shared" si="67"/>
        <v>30000</v>
      </c>
      <c r="I393" s="5">
        <f t="shared" si="68"/>
        <v>390999.99999999988</v>
      </c>
      <c r="L393" s="5">
        <f t="shared" si="69"/>
        <v>19561000</v>
      </c>
      <c r="M393" s="5">
        <f t="shared" si="70"/>
        <v>20809574.468085106</v>
      </c>
      <c r="N393" s="10">
        <f t="shared" si="71"/>
        <v>2305000</v>
      </c>
      <c r="O393" s="11">
        <f t="shared" si="72"/>
        <v>0.11076632074024845</v>
      </c>
      <c r="P393" s="5">
        <f t="shared" si="73"/>
        <v>22483908.045977011</v>
      </c>
      <c r="Q393" s="10">
        <f t="shared" si="74"/>
        <v>2305000</v>
      </c>
      <c r="R393" s="11">
        <f t="shared" si="75"/>
        <v>0.10251776494044272</v>
      </c>
    </row>
    <row r="394" spans="1:18" x14ac:dyDescent="0.3">
      <c r="A394" s="7">
        <v>17400001</v>
      </c>
      <c r="B394" s="7">
        <v>17450000</v>
      </c>
      <c r="C394" s="7">
        <v>30000</v>
      </c>
      <c r="E394" s="7">
        <v>0</v>
      </c>
      <c r="F394" s="7">
        <f t="shared" si="65"/>
        <v>1745000</v>
      </c>
      <c r="G394" s="13">
        <f t="shared" si="66"/>
        <v>2.0744985673352423E-2</v>
      </c>
      <c r="H394" s="7">
        <f t="shared" si="67"/>
        <v>30000</v>
      </c>
      <c r="I394" s="5">
        <f t="shared" si="68"/>
        <v>391999.99999999977</v>
      </c>
      <c r="L394" s="5">
        <f t="shared" si="69"/>
        <v>19617000</v>
      </c>
      <c r="M394" s="5">
        <f t="shared" si="70"/>
        <v>20869148.936170213</v>
      </c>
      <c r="N394" s="10">
        <f t="shared" si="71"/>
        <v>2311500</v>
      </c>
      <c r="O394" s="11">
        <f t="shared" si="72"/>
        <v>0.11076158434011317</v>
      </c>
      <c r="P394" s="5">
        <f t="shared" si="73"/>
        <v>22548275.862068966</v>
      </c>
      <c r="Q394" s="10">
        <f t="shared" si="74"/>
        <v>2311500</v>
      </c>
      <c r="R394" s="11">
        <f t="shared" si="75"/>
        <v>0.1025133812509558</v>
      </c>
    </row>
    <row r="395" spans="1:18" x14ac:dyDescent="0.3">
      <c r="A395" s="7">
        <v>17450001</v>
      </c>
      <c r="B395" s="7">
        <v>17500000</v>
      </c>
      <c r="C395" s="7">
        <v>30000</v>
      </c>
      <c r="E395" s="7">
        <v>0</v>
      </c>
      <c r="F395" s="7">
        <f t="shared" si="65"/>
        <v>1750000</v>
      </c>
      <c r="G395" s="13">
        <f t="shared" si="66"/>
        <v>2.0742857142857132E-2</v>
      </c>
      <c r="H395" s="7">
        <f t="shared" si="67"/>
        <v>30000</v>
      </c>
      <c r="I395" s="5">
        <f t="shared" si="68"/>
        <v>392999.99999999983</v>
      </c>
      <c r="L395" s="5">
        <f t="shared" si="69"/>
        <v>19673000</v>
      </c>
      <c r="M395" s="5">
        <f t="shared" si="70"/>
        <v>20928723.404255319</v>
      </c>
      <c r="N395" s="10">
        <f t="shared" si="71"/>
        <v>2318000</v>
      </c>
      <c r="O395" s="11">
        <f t="shared" si="72"/>
        <v>0.1107568749046917</v>
      </c>
      <c r="P395" s="5">
        <f t="shared" si="73"/>
        <v>22612643.678160921</v>
      </c>
      <c r="Q395" s="10">
        <f t="shared" si="74"/>
        <v>2318000</v>
      </c>
      <c r="R395" s="11">
        <f t="shared" si="75"/>
        <v>0.10250902251817211</v>
      </c>
    </row>
    <row r="396" spans="1:18" x14ac:dyDescent="0.3">
      <c r="A396" s="7">
        <v>17500001</v>
      </c>
      <c r="B396" s="7">
        <v>17550000</v>
      </c>
      <c r="C396" s="7">
        <v>30000</v>
      </c>
      <c r="E396" s="7">
        <v>0</v>
      </c>
      <c r="F396" s="7">
        <f t="shared" si="65"/>
        <v>1755000</v>
      </c>
      <c r="G396" s="13">
        <f t="shared" si="66"/>
        <v>2.0740740740740726E-2</v>
      </c>
      <c r="H396" s="7">
        <f t="shared" si="67"/>
        <v>30000</v>
      </c>
      <c r="I396" s="5">
        <f t="shared" si="68"/>
        <v>393999.99999999977</v>
      </c>
      <c r="L396" s="5">
        <f t="shared" si="69"/>
        <v>19729000</v>
      </c>
      <c r="M396" s="5">
        <f t="shared" si="70"/>
        <v>20988297.872340426</v>
      </c>
      <c r="N396" s="10">
        <f t="shared" si="71"/>
        <v>2324500</v>
      </c>
      <c r="O396" s="11">
        <f t="shared" si="72"/>
        <v>0.1107521922043692</v>
      </c>
      <c r="P396" s="5">
        <f t="shared" si="73"/>
        <v>22677011.494252875</v>
      </c>
      <c r="Q396" s="10">
        <f t="shared" si="74"/>
        <v>2324500</v>
      </c>
      <c r="R396" s="11">
        <f t="shared" si="75"/>
        <v>0.10250468852957574</v>
      </c>
    </row>
    <row r="397" spans="1:18" x14ac:dyDescent="0.3">
      <c r="A397" s="7">
        <v>17550001</v>
      </c>
      <c r="B397" s="7">
        <v>17600000</v>
      </c>
      <c r="C397" s="7">
        <v>30000</v>
      </c>
      <c r="E397" s="7">
        <v>0</v>
      </c>
      <c r="F397" s="7">
        <f t="shared" si="65"/>
        <v>1760000</v>
      </c>
      <c r="G397" s="13">
        <f t="shared" si="66"/>
        <v>2.0738636363636348E-2</v>
      </c>
      <c r="H397" s="7">
        <f t="shared" si="67"/>
        <v>30000</v>
      </c>
      <c r="I397" s="5">
        <f t="shared" si="68"/>
        <v>394999.99999999971</v>
      </c>
      <c r="L397" s="5">
        <f t="shared" si="69"/>
        <v>19785000</v>
      </c>
      <c r="M397" s="5">
        <f t="shared" si="70"/>
        <v>21047872.340425532</v>
      </c>
      <c r="N397" s="10">
        <f t="shared" si="71"/>
        <v>2331000</v>
      </c>
      <c r="O397" s="11">
        <f t="shared" si="72"/>
        <v>0.1107475360121304</v>
      </c>
      <c r="P397" s="5">
        <f t="shared" si="73"/>
        <v>22741379.310344826</v>
      </c>
      <c r="Q397" s="10">
        <f t="shared" si="74"/>
        <v>2331000</v>
      </c>
      <c r="R397" s="11">
        <f t="shared" si="75"/>
        <v>0.10250037907505687</v>
      </c>
    </row>
    <row r="398" spans="1:18" x14ac:dyDescent="0.3">
      <c r="A398" s="7">
        <v>17600001</v>
      </c>
      <c r="B398" s="7">
        <v>17650000</v>
      </c>
      <c r="C398" s="7">
        <v>30000</v>
      </c>
      <c r="E398" s="7">
        <v>0</v>
      </c>
      <c r="F398" s="7">
        <f t="shared" si="65"/>
        <v>1765000</v>
      </c>
      <c r="G398" s="13">
        <f t="shared" si="66"/>
        <v>2.0736543909348426E-2</v>
      </c>
      <c r="H398" s="7">
        <f t="shared" si="67"/>
        <v>30000</v>
      </c>
      <c r="I398" s="5">
        <f t="shared" si="68"/>
        <v>395999.99999999971</v>
      </c>
      <c r="L398" s="5">
        <f t="shared" si="69"/>
        <v>19841000</v>
      </c>
      <c r="M398" s="5">
        <f t="shared" si="70"/>
        <v>21107446.808510639</v>
      </c>
      <c r="N398" s="10">
        <f t="shared" si="71"/>
        <v>2337500</v>
      </c>
      <c r="O398" s="11">
        <f t="shared" si="72"/>
        <v>0.11074290610352301</v>
      </c>
      <c r="P398" s="5">
        <f t="shared" si="73"/>
        <v>22805747.126436781</v>
      </c>
      <c r="Q398" s="10">
        <f t="shared" si="74"/>
        <v>2337500</v>
      </c>
      <c r="R398" s="11">
        <f t="shared" si="75"/>
        <v>0.10249609394687768</v>
      </c>
    </row>
    <row r="399" spans="1:18" x14ac:dyDescent="0.3">
      <c r="A399" s="7">
        <v>17650001</v>
      </c>
      <c r="B399" s="7">
        <v>17700000</v>
      </c>
      <c r="C399" s="7">
        <v>30000</v>
      </c>
      <c r="E399" s="7">
        <v>0</v>
      </c>
      <c r="F399" s="7">
        <f t="shared" si="65"/>
        <v>1770000</v>
      </c>
      <c r="G399" s="13">
        <f t="shared" si="66"/>
        <v>2.0734463276836146E-2</v>
      </c>
      <c r="H399" s="7">
        <f t="shared" si="67"/>
        <v>30000</v>
      </c>
      <c r="I399" s="5">
        <f t="shared" si="68"/>
        <v>396999.99999999977</v>
      </c>
      <c r="L399" s="5">
        <f t="shared" si="69"/>
        <v>19897000</v>
      </c>
      <c r="M399" s="5">
        <f t="shared" si="70"/>
        <v>21167021.276595745</v>
      </c>
      <c r="N399" s="10">
        <f t="shared" si="71"/>
        <v>2344000</v>
      </c>
      <c r="O399" s="11">
        <f t="shared" si="72"/>
        <v>0.1107383022566216</v>
      </c>
      <c r="P399" s="5">
        <f t="shared" si="73"/>
        <v>22870114.942528736</v>
      </c>
      <c r="Q399" s="10">
        <f t="shared" si="74"/>
        <v>2344000</v>
      </c>
      <c r="R399" s="11">
        <f t="shared" si="75"/>
        <v>0.10249183293963914</v>
      </c>
    </row>
    <row r="400" spans="1:18" x14ac:dyDescent="0.3">
      <c r="A400" s="7">
        <v>17700001</v>
      </c>
      <c r="B400" s="7">
        <v>17750000</v>
      </c>
      <c r="C400" s="7">
        <v>30000</v>
      </c>
      <c r="E400" s="7">
        <v>0</v>
      </c>
      <c r="F400" s="7">
        <f t="shared" si="65"/>
        <v>1775000</v>
      </c>
      <c r="G400" s="13">
        <f t="shared" si="66"/>
        <v>2.0732394366197171E-2</v>
      </c>
      <c r="H400" s="7">
        <f t="shared" si="67"/>
        <v>30000</v>
      </c>
      <c r="I400" s="5">
        <f t="shared" si="68"/>
        <v>397999.99999999977</v>
      </c>
      <c r="L400" s="5">
        <f t="shared" si="69"/>
        <v>19953000</v>
      </c>
      <c r="M400" s="5">
        <f t="shared" si="70"/>
        <v>21226595.744680852</v>
      </c>
      <c r="N400" s="10">
        <f t="shared" si="71"/>
        <v>2350500</v>
      </c>
      <c r="O400" s="11">
        <f t="shared" si="72"/>
        <v>0.11073372425199218</v>
      </c>
      <c r="P400" s="5">
        <f t="shared" si="73"/>
        <v>22934482.758620691</v>
      </c>
      <c r="Q400" s="10">
        <f t="shared" si="74"/>
        <v>2350500</v>
      </c>
      <c r="R400" s="11">
        <f t="shared" si="75"/>
        <v>0.10248759585024808</v>
      </c>
    </row>
    <row r="401" spans="1:18" x14ac:dyDescent="0.3">
      <c r="A401" s="7">
        <v>17750001</v>
      </c>
      <c r="B401" s="7">
        <v>17800000</v>
      </c>
      <c r="C401" s="7">
        <v>30000</v>
      </c>
      <c r="E401" s="7">
        <v>0</v>
      </c>
      <c r="F401" s="7">
        <f t="shared" si="65"/>
        <v>1780000</v>
      </c>
      <c r="G401" s="13">
        <f t="shared" si="66"/>
        <v>2.073033707865167E-2</v>
      </c>
      <c r="H401" s="7">
        <f t="shared" si="67"/>
        <v>30000</v>
      </c>
      <c r="I401" s="5">
        <f t="shared" si="68"/>
        <v>398999.99999999971</v>
      </c>
      <c r="L401" s="5">
        <f t="shared" si="69"/>
        <v>20009000</v>
      </c>
      <c r="M401" s="5">
        <f t="shared" si="70"/>
        <v>21286170.212765958</v>
      </c>
      <c r="N401" s="10">
        <f t="shared" si="71"/>
        <v>2357000</v>
      </c>
      <c r="O401" s="11">
        <f t="shared" si="72"/>
        <v>0.11072917187265729</v>
      </c>
      <c r="P401" s="5">
        <f t="shared" si="73"/>
        <v>22998850.574712645</v>
      </c>
      <c r="Q401" s="10">
        <f t="shared" si="74"/>
        <v>2357000</v>
      </c>
      <c r="R401" s="11">
        <f t="shared" si="75"/>
        <v>0.10248338247788494</v>
      </c>
    </row>
    <row r="402" spans="1:18" x14ac:dyDescent="0.3">
      <c r="A402" s="7">
        <v>17800001</v>
      </c>
      <c r="B402" s="7">
        <v>17850000</v>
      </c>
      <c r="C402" s="7">
        <v>30000</v>
      </c>
      <c r="E402" s="7">
        <v>0</v>
      </c>
      <c r="F402" s="7">
        <f t="shared" si="65"/>
        <v>1785000</v>
      </c>
      <c r="G402" s="13">
        <f t="shared" si="66"/>
        <v>2.0728291316526606E-2</v>
      </c>
      <c r="H402" s="7">
        <f t="shared" si="67"/>
        <v>30000</v>
      </c>
      <c r="I402" s="5">
        <f t="shared" si="68"/>
        <v>399999.99999999994</v>
      </c>
      <c r="L402" s="5">
        <f t="shared" si="69"/>
        <v>20065000</v>
      </c>
      <c r="M402" s="5">
        <f t="shared" si="70"/>
        <v>21345744.680851065</v>
      </c>
      <c r="N402" s="10">
        <f t="shared" si="71"/>
        <v>2363500</v>
      </c>
      <c r="O402" s="11">
        <f t="shared" si="72"/>
        <v>0.11072464490406179</v>
      </c>
      <c r="P402" s="5">
        <f t="shared" si="73"/>
        <v>23063218.390804596</v>
      </c>
      <c r="Q402" s="10">
        <f t="shared" si="74"/>
        <v>2363500</v>
      </c>
      <c r="R402" s="11">
        <f t="shared" si="75"/>
        <v>0.10247919262397209</v>
      </c>
    </row>
    <row r="403" spans="1:18" x14ac:dyDescent="0.3">
      <c r="A403" s="7">
        <v>17850001</v>
      </c>
      <c r="B403" s="7">
        <v>17900000</v>
      </c>
      <c r="C403" s="7">
        <v>30000</v>
      </c>
      <c r="E403" s="7">
        <v>0</v>
      </c>
      <c r="F403" s="7">
        <f t="shared" si="65"/>
        <v>1790000</v>
      </c>
      <c r="G403" s="13">
        <f t="shared" si="66"/>
        <v>2.072625698324021E-2</v>
      </c>
      <c r="H403" s="7">
        <f t="shared" si="67"/>
        <v>30000</v>
      </c>
      <c r="I403" s="5">
        <f t="shared" si="68"/>
        <v>400999.99999999977</v>
      </c>
      <c r="L403" s="5">
        <f t="shared" si="69"/>
        <v>20121000</v>
      </c>
      <c r="M403" s="5">
        <f t="shared" si="70"/>
        <v>21405319.148936171</v>
      </c>
      <c r="N403" s="10">
        <f t="shared" si="71"/>
        <v>2370000</v>
      </c>
      <c r="O403" s="11">
        <f t="shared" si="72"/>
        <v>0.11072014313403906</v>
      </c>
      <c r="P403" s="5">
        <f t="shared" si="73"/>
        <v>23127586.206896551</v>
      </c>
      <c r="Q403" s="10">
        <f t="shared" si="74"/>
        <v>2370000</v>
      </c>
      <c r="R403" s="11">
        <f t="shared" si="75"/>
        <v>0.10247502609214254</v>
      </c>
    </row>
    <row r="404" spans="1:18" x14ac:dyDescent="0.3">
      <c r="A404" s="7">
        <v>17900001</v>
      </c>
      <c r="B404" s="7">
        <v>17950000</v>
      </c>
      <c r="C404" s="7">
        <v>30000</v>
      </c>
      <c r="E404" s="7">
        <v>0</v>
      </c>
      <c r="F404" s="7">
        <f t="shared" si="65"/>
        <v>1795000</v>
      </c>
      <c r="G404" s="13">
        <f t="shared" si="66"/>
        <v>2.0724233983286905E-2</v>
      </c>
      <c r="H404" s="7">
        <f t="shared" si="67"/>
        <v>30000</v>
      </c>
      <c r="I404" s="5">
        <f t="shared" si="68"/>
        <v>401999.99999999994</v>
      </c>
      <c r="L404" s="5">
        <f t="shared" si="69"/>
        <v>20177000</v>
      </c>
      <c r="M404" s="5">
        <f t="shared" si="70"/>
        <v>21464893.617021278</v>
      </c>
      <c r="N404" s="10">
        <f t="shared" si="71"/>
        <v>2376500</v>
      </c>
      <c r="O404" s="11">
        <f t="shared" si="72"/>
        <v>0.11071566635277791</v>
      </c>
      <c r="P404" s="5">
        <f t="shared" si="73"/>
        <v>23191954.022988506</v>
      </c>
      <c r="Q404" s="10">
        <f t="shared" si="74"/>
        <v>2376500</v>
      </c>
      <c r="R404" s="11">
        <f t="shared" si="75"/>
        <v>0.10247088268820935</v>
      </c>
    </row>
    <row r="405" spans="1:18" x14ac:dyDescent="0.3">
      <c r="A405" s="7">
        <v>17950001</v>
      </c>
      <c r="B405" s="7">
        <v>18000000</v>
      </c>
      <c r="C405" s="7">
        <v>30000</v>
      </c>
      <c r="E405" s="7">
        <v>0</v>
      </c>
      <c r="F405" s="7">
        <f t="shared" si="65"/>
        <v>1800000</v>
      </c>
      <c r="G405" s="13">
        <f t="shared" si="66"/>
        <v>2.0722222222222211E-2</v>
      </c>
      <c r="H405" s="7">
        <f t="shared" si="67"/>
        <v>30000</v>
      </c>
      <c r="I405" s="5">
        <f t="shared" si="68"/>
        <v>402999.99999999983</v>
      </c>
      <c r="L405" s="5">
        <f t="shared" si="69"/>
        <v>20233000</v>
      </c>
      <c r="M405" s="5">
        <f t="shared" si="70"/>
        <v>21524468.085106384</v>
      </c>
      <c r="N405" s="10">
        <f t="shared" si="71"/>
        <v>2383000</v>
      </c>
      <c r="O405" s="11">
        <f t="shared" si="72"/>
        <v>0.11071121435278999</v>
      </c>
      <c r="P405" s="5">
        <f t="shared" si="73"/>
        <v>23256321.83908046</v>
      </c>
      <c r="Q405" s="10">
        <f t="shared" si="74"/>
        <v>2383000</v>
      </c>
      <c r="R405" s="11">
        <f t="shared" si="75"/>
        <v>0.10246676222013541</v>
      </c>
    </row>
    <row r="406" spans="1:18" x14ac:dyDescent="0.3">
      <c r="A406" s="7">
        <v>18000001</v>
      </c>
      <c r="B406" s="7">
        <v>18050000</v>
      </c>
      <c r="C406" s="7">
        <v>30000</v>
      </c>
      <c r="E406" s="7">
        <v>0</v>
      </c>
      <c r="F406" s="7">
        <f t="shared" si="65"/>
        <v>1805000</v>
      </c>
      <c r="G406" s="13">
        <f t="shared" si="66"/>
        <v>2.0720221606648187E-2</v>
      </c>
      <c r="H406" s="7">
        <f t="shared" si="67"/>
        <v>30000</v>
      </c>
      <c r="I406" s="5">
        <f t="shared" si="68"/>
        <v>403999.99999999977</v>
      </c>
      <c r="L406" s="5">
        <f t="shared" si="69"/>
        <v>20289000</v>
      </c>
      <c r="M406" s="5">
        <f t="shared" si="70"/>
        <v>21584042.55319149</v>
      </c>
      <c r="N406" s="10">
        <f t="shared" si="71"/>
        <v>2389500</v>
      </c>
      <c r="O406" s="11">
        <f t="shared" si="72"/>
        <v>0.11070678692887771</v>
      </c>
      <c r="P406" s="5">
        <f t="shared" si="73"/>
        <v>23320689.655172415</v>
      </c>
      <c r="Q406" s="10">
        <f t="shared" si="74"/>
        <v>2389500</v>
      </c>
      <c r="R406" s="11">
        <f t="shared" si="75"/>
        <v>0.10246266449800384</v>
      </c>
    </row>
    <row r="407" spans="1:18" x14ac:dyDescent="0.3">
      <c r="A407" s="7">
        <v>18050001</v>
      </c>
      <c r="B407" s="7">
        <v>18100000</v>
      </c>
      <c r="C407" s="7">
        <v>30000</v>
      </c>
      <c r="E407" s="7">
        <v>0</v>
      </c>
      <c r="F407" s="7">
        <f t="shared" si="65"/>
        <v>1810000</v>
      </c>
      <c r="G407" s="13">
        <f t="shared" si="66"/>
        <v>2.0718232044198884E-2</v>
      </c>
      <c r="H407" s="7">
        <f t="shared" si="67"/>
        <v>30000</v>
      </c>
      <c r="I407" s="5">
        <f t="shared" si="68"/>
        <v>404999.99999999977</v>
      </c>
      <c r="L407" s="5">
        <f t="shared" si="69"/>
        <v>20345000</v>
      </c>
      <c r="M407" s="5">
        <f t="shared" si="70"/>
        <v>21643617.021276597</v>
      </c>
      <c r="N407" s="10">
        <f t="shared" si="71"/>
        <v>2396000</v>
      </c>
      <c r="O407" s="11">
        <f t="shared" si="72"/>
        <v>0.11070238387810272</v>
      </c>
      <c r="P407" s="5">
        <f t="shared" si="73"/>
        <v>23385057.47126437</v>
      </c>
      <c r="Q407" s="10">
        <f t="shared" si="74"/>
        <v>2396000</v>
      </c>
      <c r="R407" s="11">
        <f t="shared" si="75"/>
        <v>0.10245858933398869</v>
      </c>
    </row>
    <row r="408" spans="1:18" x14ac:dyDescent="0.3">
      <c r="A408" s="7">
        <v>18100001</v>
      </c>
      <c r="B408" s="7">
        <v>18150000</v>
      </c>
      <c r="C408" s="7">
        <v>30000</v>
      </c>
      <c r="E408" s="7">
        <v>0</v>
      </c>
      <c r="F408" s="7">
        <f t="shared" si="65"/>
        <v>1815000</v>
      </c>
      <c r="G408" s="13">
        <f t="shared" si="66"/>
        <v>2.0716253443526164E-2</v>
      </c>
      <c r="H408" s="7">
        <f t="shared" si="67"/>
        <v>30000</v>
      </c>
      <c r="I408" s="5">
        <f t="shared" si="68"/>
        <v>405999.99999999988</v>
      </c>
      <c r="L408" s="5">
        <f t="shared" si="69"/>
        <v>20401000</v>
      </c>
      <c r="M408" s="5">
        <f t="shared" si="70"/>
        <v>21703191.489361703</v>
      </c>
      <c r="N408" s="10">
        <f t="shared" si="71"/>
        <v>2402500</v>
      </c>
      <c r="O408" s="11">
        <f t="shared" si="72"/>
        <v>0.11069800499975491</v>
      </c>
      <c r="P408" s="5">
        <f t="shared" si="73"/>
        <v>23449425.287356321</v>
      </c>
      <c r="Q408" s="10">
        <f t="shared" si="74"/>
        <v>2402500</v>
      </c>
      <c r="R408" s="11">
        <f t="shared" si="75"/>
        <v>0.10245453654232636</v>
      </c>
    </row>
    <row r="409" spans="1:18" x14ac:dyDescent="0.3">
      <c r="A409" s="7">
        <v>18150001</v>
      </c>
      <c r="B409" s="7">
        <v>18200000</v>
      </c>
      <c r="C409" s="7">
        <v>30000</v>
      </c>
      <c r="E409" s="7">
        <v>0</v>
      </c>
      <c r="F409" s="7">
        <f t="shared" si="65"/>
        <v>1820000</v>
      </c>
      <c r="G409" s="13">
        <f t="shared" si="66"/>
        <v>2.0714285714285699E-2</v>
      </c>
      <c r="H409" s="7">
        <f t="shared" si="67"/>
        <v>30000</v>
      </c>
      <c r="I409" s="5">
        <f t="shared" si="68"/>
        <v>406999.99999999971</v>
      </c>
      <c r="L409" s="5">
        <f t="shared" si="69"/>
        <v>20457000</v>
      </c>
      <c r="M409" s="5">
        <f t="shared" si="70"/>
        <v>21762765.95744681</v>
      </c>
      <c r="N409" s="10">
        <f t="shared" si="71"/>
        <v>2409000</v>
      </c>
      <c r="O409" s="11">
        <f t="shared" si="72"/>
        <v>0.11069365009532189</v>
      </c>
      <c r="P409" s="5">
        <f t="shared" si="73"/>
        <v>23513793.103448275</v>
      </c>
      <c r="Q409" s="10">
        <f t="shared" si="74"/>
        <v>2409000</v>
      </c>
      <c r="R409" s="11">
        <f t="shared" si="75"/>
        <v>0.10245050593928728</v>
      </c>
    </row>
    <row r="410" spans="1:18" x14ac:dyDescent="0.3">
      <c r="A410" s="7">
        <v>18200001</v>
      </c>
      <c r="B410" s="7">
        <v>18250000</v>
      </c>
      <c r="C410" s="7">
        <v>30000</v>
      </c>
      <c r="E410" s="7">
        <v>0</v>
      </c>
      <c r="F410" s="7">
        <f t="shared" ref="F410:F446" si="76">(B410+E410)*10%</f>
        <v>1825000</v>
      </c>
      <c r="G410" s="13">
        <f t="shared" si="66"/>
        <v>2.0712328767123284E-2</v>
      </c>
      <c r="H410" s="7">
        <f t="shared" si="67"/>
        <v>30000</v>
      </c>
      <c r="I410" s="5">
        <f t="shared" si="68"/>
        <v>407999.99999999994</v>
      </c>
      <c r="L410" s="5">
        <f t="shared" si="69"/>
        <v>20513000</v>
      </c>
      <c r="M410" s="5">
        <f t="shared" si="70"/>
        <v>21822340.425531916</v>
      </c>
      <c r="N410" s="10">
        <f t="shared" si="71"/>
        <v>2415500</v>
      </c>
      <c r="O410" s="11">
        <f t="shared" si="72"/>
        <v>0.11068931896845902</v>
      </c>
      <c r="P410" s="5">
        <f t="shared" si="73"/>
        <v>23578160.91954023</v>
      </c>
      <c r="Q410" s="10">
        <f t="shared" si="74"/>
        <v>2415500</v>
      </c>
      <c r="R410" s="11">
        <f t="shared" si="75"/>
        <v>0.10244649734314824</v>
      </c>
    </row>
    <row r="411" spans="1:18" x14ac:dyDescent="0.3">
      <c r="A411" s="7">
        <v>18250001</v>
      </c>
      <c r="B411" s="7">
        <v>18300000</v>
      </c>
      <c r="C411" s="7">
        <v>30000</v>
      </c>
      <c r="E411" s="7">
        <v>0</v>
      </c>
      <c r="F411" s="7">
        <f t="shared" si="76"/>
        <v>1830000</v>
      </c>
      <c r="G411" s="13">
        <f t="shared" si="66"/>
        <v>2.0710382513661196E-2</v>
      </c>
      <c r="H411" s="7">
        <f t="shared" si="67"/>
        <v>30000</v>
      </c>
      <c r="I411" s="5">
        <f t="shared" si="68"/>
        <v>408999.99999999988</v>
      </c>
      <c r="L411" s="5">
        <f t="shared" si="69"/>
        <v>20569000</v>
      </c>
      <c r="M411" s="5">
        <f t="shared" si="70"/>
        <v>21881914.893617023</v>
      </c>
      <c r="N411" s="10">
        <f t="shared" si="71"/>
        <v>2422000</v>
      </c>
      <c r="O411" s="11">
        <f t="shared" si="72"/>
        <v>0.11068501142495989</v>
      </c>
      <c r="P411" s="5">
        <f t="shared" si="73"/>
        <v>23642528.735632185</v>
      </c>
      <c r="Q411" s="10">
        <f t="shared" si="74"/>
        <v>2422000</v>
      </c>
      <c r="R411" s="11">
        <f t="shared" si="75"/>
        <v>0.10244251057416501</v>
      </c>
    </row>
    <row r="412" spans="1:18" x14ac:dyDescent="0.3">
      <c r="A412" s="7">
        <v>18300001</v>
      </c>
      <c r="B412" s="7">
        <v>18350000</v>
      </c>
      <c r="C412" s="7">
        <v>30000</v>
      </c>
      <c r="E412" s="7">
        <v>0</v>
      </c>
      <c r="F412" s="7">
        <f t="shared" si="76"/>
        <v>1835000</v>
      </c>
      <c r="G412" s="13">
        <f t="shared" si="66"/>
        <v>2.0708446866485E-2</v>
      </c>
      <c r="H412" s="7">
        <f t="shared" si="67"/>
        <v>30000</v>
      </c>
      <c r="I412" s="5">
        <f t="shared" si="68"/>
        <v>409999.99999999977</v>
      </c>
      <c r="L412" s="5">
        <f t="shared" si="69"/>
        <v>20625000</v>
      </c>
      <c r="M412" s="5">
        <f t="shared" si="70"/>
        <v>21941489.361702129</v>
      </c>
      <c r="N412" s="10">
        <f t="shared" si="71"/>
        <v>2428500</v>
      </c>
      <c r="O412" s="11">
        <f t="shared" si="72"/>
        <v>0.11068072727272726</v>
      </c>
      <c r="P412" s="5">
        <f t="shared" si="73"/>
        <v>23706896.55172414</v>
      </c>
      <c r="Q412" s="10">
        <f t="shared" si="74"/>
        <v>2428500</v>
      </c>
      <c r="R412" s="11">
        <f t="shared" si="75"/>
        <v>0.10243854545454545</v>
      </c>
    </row>
    <row r="413" spans="1:18" x14ac:dyDescent="0.3">
      <c r="A413" s="7">
        <v>18350001</v>
      </c>
      <c r="B413" s="7">
        <v>18400000</v>
      </c>
      <c r="C413" s="7">
        <v>30000</v>
      </c>
      <c r="E413" s="7">
        <v>0</v>
      </c>
      <c r="F413" s="7">
        <f t="shared" si="76"/>
        <v>1840000</v>
      </c>
      <c r="G413" s="13">
        <f t="shared" si="66"/>
        <v>2.0706521739130429E-2</v>
      </c>
      <c r="H413" s="7">
        <f t="shared" si="67"/>
        <v>30000</v>
      </c>
      <c r="I413" s="5">
        <f t="shared" si="68"/>
        <v>410999.99999999988</v>
      </c>
      <c r="L413" s="5">
        <f t="shared" si="69"/>
        <v>20681000</v>
      </c>
      <c r="M413" s="5">
        <f t="shared" si="70"/>
        <v>22001063.829787236</v>
      </c>
      <c r="N413" s="10">
        <f t="shared" si="71"/>
        <v>2435000</v>
      </c>
      <c r="O413" s="11">
        <f t="shared" si="72"/>
        <v>0.11067646632174459</v>
      </c>
      <c r="P413" s="5">
        <f t="shared" si="73"/>
        <v>23771264.367816091</v>
      </c>
      <c r="Q413" s="10">
        <f t="shared" si="74"/>
        <v>2435000</v>
      </c>
      <c r="R413" s="11">
        <f t="shared" si="75"/>
        <v>0.10243460180842319</v>
      </c>
    </row>
    <row r="414" spans="1:18" x14ac:dyDescent="0.3">
      <c r="A414" s="7">
        <v>18400001</v>
      </c>
      <c r="B414" s="7">
        <v>18450000</v>
      </c>
      <c r="C414" s="7">
        <v>30000</v>
      </c>
      <c r="E414" s="7">
        <v>0</v>
      </c>
      <c r="F414" s="7">
        <f t="shared" si="76"/>
        <v>1845000</v>
      </c>
      <c r="G414" s="13">
        <f t="shared" si="66"/>
        <v>2.0704607046070453E-2</v>
      </c>
      <c r="H414" s="7">
        <f t="shared" si="67"/>
        <v>30000</v>
      </c>
      <c r="I414" s="5">
        <f t="shared" si="68"/>
        <v>411999.99999999988</v>
      </c>
      <c r="L414" s="5">
        <f t="shared" si="69"/>
        <v>20737000</v>
      </c>
      <c r="M414" s="5">
        <f t="shared" si="70"/>
        <v>22060638.297872342</v>
      </c>
      <c r="N414" s="10">
        <f t="shared" si="71"/>
        <v>2441500</v>
      </c>
      <c r="O414" s="11">
        <f t="shared" si="72"/>
        <v>0.11067222838404783</v>
      </c>
      <c r="P414" s="5">
        <f t="shared" si="73"/>
        <v>23835632.183908045</v>
      </c>
      <c r="Q414" s="10">
        <f t="shared" si="74"/>
        <v>2441500</v>
      </c>
      <c r="R414" s="11">
        <f t="shared" si="75"/>
        <v>0.10243067946183151</v>
      </c>
    </row>
    <row r="415" spans="1:18" x14ac:dyDescent="0.3">
      <c r="A415" s="7">
        <v>18450001</v>
      </c>
      <c r="B415" s="7">
        <v>18500000</v>
      </c>
      <c r="C415" s="7">
        <v>30000</v>
      </c>
      <c r="E415" s="7">
        <v>0</v>
      </c>
      <c r="F415" s="7">
        <f t="shared" si="76"/>
        <v>1850000</v>
      </c>
      <c r="G415" s="13">
        <f t="shared" si="66"/>
        <v>2.0702702702702691E-2</v>
      </c>
      <c r="H415" s="7">
        <f t="shared" si="67"/>
        <v>30000</v>
      </c>
      <c r="I415" s="5">
        <f t="shared" si="68"/>
        <v>412999.99999999977</v>
      </c>
      <c r="L415" s="5">
        <f t="shared" si="69"/>
        <v>20793000</v>
      </c>
      <c r="M415" s="5">
        <f t="shared" si="70"/>
        <v>22120212.765957449</v>
      </c>
      <c r="N415" s="10">
        <f t="shared" si="71"/>
        <v>2448000</v>
      </c>
      <c r="O415" s="11">
        <f t="shared" si="72"/>
        <v>0.11066801327369787</v>
      </c>
      <c r="P415" s="5">
        <f t="shared" si="73"/>
        <v>23900000</v>
      </c>
      <c r="Q415" s="10">
        <f t="shared" si="74"/>
        <v>2448000</v>
      </c>
      <c r="R415" s="11">
        <f t="shared" si="75"/>
        <v>0.10242677824267782</v>
      </c>
    </row>
    <row r="416" spans="1:18" x14ac:dyDescent="0.3">
      <c r="A416" s="7">
        <v>18500001</v>
      </c>
      <c r="B416" s="7">
        <v>18550000</v>
      </c>
      <c r="C416" s="7">
        <v>30000</v>
      </c>
      <c r="E416" s="7">
        <v>0</v>
      </c>
      <c r="F416" s="7">
        <f t="shared" si="76"/>
        <v>1855000</v>
      </c>
      <c r="G416" s="13">
        <f t="shared" si="66"/>
        <v>2.0700808625336922E-2</v>
      </c>
      <c r="H416" s="7">
        <f t="shared" si="67"/>
        <v>30000</v>
      </c>
      <c r="I416" s="5">
        <f t="shared" si="68"/>
        <v>413999.99999999988</v>
      </c>
      <c r="L416" s="5">
        <f t="shared" si="69"/>
        <v>20849000</v>
      </c>
      <c r="M416" s="5">
        <f t="shared" si="70"/>
        <v>22179787.234042555</v>
      </c>
      <c r="N416" s="10">
        <f t="shared" si="71"/>
        <v>2454500</v>
      </c>
      <c r="O416" s="11">
        <f t="shared" si="72"/>
        <v>0.11066382080675331</v>
      </c>
      <c r="P416" s="5">
        <f t="shared" si="73"/>
        <v>23964367.816091955</v>
      </c>
      <c r="Q416" s="10">
        <f t="shared" si="74"/>
        <v>2454500</v>
      </c>
      <c r="R416" s="11">
        <f t="shared" si="75"/>
        <v>0.10242289798071849</v>
      </c>
    </row>
    <row r="417" spans="1:18" x14ac:dyDescent="0.3">
      <c r="A417" s="7">
        <v>18550001</v>
      </c>
      <c r="B417" s="7">
        <v>18600000</v>
      </c>
      <c r="C417" s="7">
        <v>30000</v>
      </c>
      <c r="E417" s="7">
        <v>0</v>
      </c>
      <c r="F417" s="7">
        <f t="shared" si="76"/>
        <v>1860000</v>
      </c>
      <c r="G417" s="13">
        <f t="shared" si="66"/>
        <v>2.0698924731182788E-2</v>
      </c>
      <c r="H417" s="7">
        <f t="shared" si="67"/>
        <v>30000</v>
      </c>
      <c r="I417" s="5">
        <f t="shared" si="68"/>
        <v>414999.99999999988</v>
      </c>
      <c r="L417" s="5">
        <f t="shared" si="69"/>
        <v>20905000</v>
      </c>
      <c r="M417" s="5">
        <f t="shared" si="70"/>
        <v>22239361.702127662</v>
      </c>
      <c r="N417" s="10">
        <f t="shared" si="71"/>
        <v>2461000</v>
      </c>
      <c r="O417" s="11">
        <f t="shared" si="72"/>
        <v>0.11065965080124371</v>
      </c>
      <c r="P417" s="5">
        <f t="shared" si="73"/>
        <v>24028735.632183909</v>
      </c>
      <c r="Q417" s="10">
        <f t="shared" si="74"/>
        <v>2461000</v>
      </c>
      <c r="R417" s="11">
        <f t="shared" si="75"/>
        <v>0.10241903850753407</v>
      </c>
    </row>
    <row r="418" spans="1:18" x14ac:dyDescent="0.3">
      <c r="A418" s="7">
        <v>18600001</v>
      </c>
      <c r="B418" s="7">
        <v>18650000</v>
      </c>
      <c r="C418" s="7">
        <v>30000</v>
      </c>
      <c r="E418" s="7">
        <v>0</v>
      </c>
      <c r="F418" s="7">
        <f t="shared" si="76"/>
        <v>1865000</v>
      </c>
      <c r="G418" s="13">
        <f t="shared" si="66"/>
        <v>2.0697050938337791E-2</v>
      </c>
      <c r="H418" s="7">
        <f t="shared" si="67"/>
        <v>30000</v>
      </c>
      <c r="I418" s="5">
        <f t="shared" si="68"/>
        <v>415999.99999999983</v>
      </c>
      <c r="L418" s="5">
        <f t="shared" si="69"/>
        <v>20961000</v>
      </c>
      <c r="M418" s="5">
        <f t="shared" si="70"/>
        <v>22298936.170212768</v>
      </c>
      <c r="N418" s="10">
        <f t="shared" si="71"/>
        <v>2467500</v>
      </c>
      <c r="O418" s="11">
        <f t="shared" si="72"/>
        <v>0.11065550307714325</v>
      </c>
      <c r="P418" s="5">
        <f t="shared" si="73"/>
        <v>24093103.44827586</v>
      </c>
      <c r="Q418" s="10">
        <f t="shared" si="74"/>
        <v>2467500</v>
      </c>
      <c r="R418" s="11">
        <f t="shared" si="75"/>
        <v>0.10241519965650495</v>
      </c>
    </row>
    <row r="419" spans="1:18" x14ac:dyDescent="0.3">
      <c r="A419" s="7">
        <v>18650001</v>
      </c>
      <c r="B419" s="7">
        <v>18700000</v>
      </c>
      <c r="C419" s="7">
        <v>30000</v>
      </c>
      <c r="E419" s="7">
        <v>0</v>
      </c>
      <c r="F419" s="7">
        <f t="shared" si="76"/>
        <v>1870000</v>
      </c>
      <c r="G419" s="13">
        <f t="shared" si="66"/>
        <v>2.0695187165775397E-2</v>
      </c>
      <c r="H419" s="7">
        <f t="shared" si="67"/>
        <v>30000</v>
      </c>
      <c r="I419" s="5">
        <f t="shared" si="68"/>
        <v>416999.99999999994</v>
      </c>
      <c r="L419" s="5">
        <f t="shared" si="69"/>
        <v>21017000</v>
      </c>
      <c r="M419" s="5">
        <f t="shared" si="70"/>
        <v>22358510.638297874</v>
      </c>
      <c r="N419" s="10">
        <f t="shared" si="71"/>
        <v>2474000</v>
      </c>
      <c r="O419" s="11">
        <f t="shared" si="72"/>
        <v>0.11065137745634486</v>
      </c>
      <c r="P419" s="5">
        <f t="shared" si="73"/>
        <v>24157471.264367815</v>
      </c>
      <c r="Q419" s="10">
        <f t="shared" si="74"/>
        <v>2474000</v>
      </c>
      <c r="R419" s="11">
        <f t="shared" si="75"/>
        <v>0.10241138126278727</v>
      </c>
    </row>
    <row r="420" spans="1:18" x14ac:dyDescent="0.3">
      <c r="A420" s="7">
        <v>18700001</v>
      </c>
      <c r="B420" s="7">
        <v>18750000</v>
      </c>
      <c r="C420" s="7">
        <v>30000</v>
      </c>
      <c r="E420" s="7">
        <v>0</v>
      </c>
      <c r="F420" s="7">
        <f t="shared" si="76"/>
        <v>1875000</v>
      </c>
      <c r="G420" s="13">
        <f t="shared" si="66"/>
        <v>2.0693333333333327E-2</v>
      </c>
      <c r="H420" s="7">
        <f t="shared" si="67"/>
        <v>30000</v>
      </c>
      <c r="I420" s="5">
        <f t="shared" si="68"/>
        <v>417999.99999999988</v>
      </c>
      <c r="L420" s="5">
        <f t="shared" si="69"/>
        <v>21073000</v>
      </c>
      <c r="M420" s="5">
        <f t="shared" si="70"/>
        <v>22418085.106382981</v>
      </c>
      <c r="N420" s="10">
        <f t="shared" si="71"/>
        <v>2480500</v>
      </c>
      <c r="O420" s="11">
        <f t="shared" si="72"/>
        <v>0.11064727376263464</v>
      </c>
      <c r="P420" s="5">
        <f t="shared" si="73"/>
        <v>24221839.08045977</v>
      </c>
      <c r="Q420" s="10">
        <f t="shared" si="74"/>
        <v>2480500</v>
      </c>
      <c r="R420" s="11">
        <f t="shared" si="75"/>
        <v>0.10240758316328952</v>
      </c>
    </row>
    <row r="421" spans="1:18" x14ac:dyDescent="0.3">
      <c r="A421" s="7">
        <v>18750001</v>
      </c>
      <c r="B421" s="7">
        <v>18800000</v>
      </c>
      <c r="C421" s="7">
        <v>30000</v>
      </c>
      <c r="E421" s="7">
        <v>0</v>
      </c>
      <c r="F421" s="7">
        <f t="shared" si="76"/>
        <v>1880000</v>
      </c>
      <c r="G421" s="13">
        <f t="shared" si="66"/>
        <v>2.069148936170212E-2</v>
      </c>
      <c r="H421" s="7">
        <f t="shared" si="67"/>
        <v>30000</v>
      </c>
      <c r="I421" s="5">
        <f t="shared" si="68"/>
        <v>418999.99999999988</v>
      </c>
      <c r="L421" s="5">
        <f t="shared" si="69"/>
        <v>21129000</v>
      </c>
      <c r="M421" s="5">
        <f t="shared" si="70"/>
        <v>22477659.574468087</v>
      </c>
      <c r="N421" s="10">
        <f t="shared" si="71"/>
        <v>2487000</v>
      </c>
      <c r="O421" s="11">
        <f t="shared" si="72"/>
        <v>0.11064319182166689</v>
      </c>
      <c r="P421" s="5">
        <f t="shared" si="73"/>
        <v>24286206.896551725</v>
      </c>
      <c r="Q421" s="10">
        <f t="shared" si="74"/>
        <v>2487000</v>
      </c>
      <c r="R421" s="11">
        <f t="shared" si="75"/>
        <v>0.10240380519664916</v>
      </c>
    </row>
    <row r="422" spans="1:18" x14ac:dyDescent="0.3">
      <c r="A422" s="7">
        <v>18800001</v>
      </c>
      <c r="B422" s="7">
        <v>18850000</v>
      </c>
      <c r="C422" s="7">
        <v>30000</v>
      </c>
      <c r="E422" s="7">
        <v>0</v>
      </c>
      <c r="F422" s="7">
        <f t="shared" si="76"/>
        <v>1885000</v>
      </c>
      <c r="G422" s="13">
        <f t="shared" si="66"/>
        <v>2.0689655172413779E-2</v>
      </c>
      <c r="H422" s="7">
        <f t="shared" si="67"/>
        <v>30000</v>
      </c>
      <c r="I422" s="5">
        <f t="shared" si="68"/>
        <v>419999.99999999971</v>
      </c>
      <c r="L422" s="5">
        <f t="shared" si="69"/>
        <v>21185000</v>
      </c>
      <c r="M422" s="5">
        <f t="shared" si="70"/>
        <v>22537234.042553194</v>
      </c>
      <c r="N422" s="10">
        <f t="shared" si="71"/>
        <v>2493500</v>
      </c>
      <c r="O422" s="11">
        <f t="shared" si="72"/>
        <v>0.11063913146093933</v>
      </c>
      <c r="P422" s="5">
        <f t="shared" si="73"/>
        <v>24350574.712643679</v>
      </c>
      <c r="Q422" s="10">
        <f t="shared" si="74"/>
        <v>2493500</v>
      </c>
      <c r="R422" s="11">
        <f t="shared" si="75"/>
        <v>0.10240004720320982</v>
      </c>
    </row>
    <row r="423" spans="1:18" x14ac:dyDescent="0.3">
      <c r="A423" s="7">
        <v>18850001</v>
      </c>
      <c r="B423" s="7">
        <v>18900000</v>
      </c>
      <c r="C423" s="7">
        <v>30000</v>
      </c>
      <c r="E423" s="7">
        <v>0</v>
      </c>
      <c r="F423" s="7">
        <f t="shared" si="76"/>
        <v>1890000</v>
      </c>
      <c r="G423" s="13">
        <f t="shared" si="66"/>
        <v>2.0687830687830672E-2</v>
      </c>
      <c r="H423" s="7">
        <f t="shared" si="67"/>
        <v>30000</v>
      </c>
      <c r="I423" s="5">
        <f t="shared" si="68"/>
        <v>420999.99999999971</v>
      </c>
      <c r="L423" s="5">
        <f t="shared" si="69"/>
        <v>21241000</v>
      </c>
      <c r="M423" s="5">
        <f t="shared" si="70"/>
        <v>22596808.5106383</v>
      </c>
      <c r="N423" s="10">
        <f t="shared" si="71"/>
        <v>2500000</v>
      </c>
      <c r="O423" s="11">
        <f t="shared" si="72"/>
        <v>0.11063509250976883</v>
      </c>
      <c r="P423" s="5">
        <f t="shared" si="73"/>
        <v>24414942.528735634</v>
      </c>
      <c r="Q423" s="10">
        <f t="shared" si="74"/>
        <v>2500000</v>
      </c>
      <c r="R423" s="11">
        <f t="shared" si="75"/>
        <v>0.10239630902499881</v>
      </c>
    </row>
    <row r="424" spans="1:18" x14ac:dyDescent="0.3">
      <c r="A424" s="7">
        <v>18900001</v>
      </c>
      <c r="B424" s="7">
        <v>18950000</v>
      </c>
      <c r="C424" s="7">
        <v>30000</v>
      </c>
      <c r="E424" s="7">
        <v>0</v>
      </c>
      <c r="F424" s="7">
        <f t="shared" si="76"/>
        <v>1895000</v>
      </c>
      <c r="G424" s="13">
        <f t="shared" si="66"/>
        <v>2.0686015831134552E-2</v>
      </c>
      <c r="H424" s="7">
        <f t="shared" si="67"/>
        <v>30000</v>
      </c>
      <c r="I424" s="5">
        <f t="shared" si="68"/>
        <v>421999.99999999977</v>
      </c>
      <c r="L424" s="5">
        <f t="shared" si="69"/>
        <v>21297000</v>
      </c>
      <c r="M424" s="5">
        <f t="shared" si="70"/>
        <v>22656382.978723407</v>
      </c>
      <c r="N424" s="10">
        <f t="shared" si="71"/>
        <v>2506500</v>
      </c>
      <c r="O424" s="11">
        <f t="shared" si="72"/>
        <v>0.1106310747992675</v>
      </c>
      <c r="P424" s="5">
        <f t="shared" si="73"/>
        <v>24479310.344827585</v>
      </c>
      <c r="Q424" s="10">
        <f t="shared" si="74"/>
        <v>2506500</v>
      </c>
      <c r="R424" s="11">
        <f t="shared" si="75"/>
        <v>0.10239259050570504</v>
      </c>
    </row>
    <row r="425" spans="1:18" x14ac:dyDescent="0.3">
      <c r="A425" s="7">
        <v>18950001</v>
      </c>
      <c r="B425" s="7">
        <v>19000000</v>
      </c>
      <c r="C425" s="7">
        <v>30000</v>
      </c>
      <c r="E425" s="7">
        <v>0</v>
      </c>
      <c r="F425" s="7">
        <f t="shared" si="76"/>
        <v>1900000</v>
      </c>
      <c r="G425" s="13">
        <f t="shared" si="66"/>
        <v>2.0684210526315777E-2</v>
      </c>
      <c r="H425" s="7">
        <f t="shared" si="67"/>
        <v>30000</v>
      </c>
      <c r="I425" s="5">
        <f t="shared" si="68"/>
        <v>422999.99999999977</v>
      </c>
      <c r="L425" s="5">
        <f t="shared" si="69"/>
        <v>21353000</v>
      </c>
      <c r="M425" s="5">
        <f t="shared" si="70"/>
        <v>22715957.446808513</v>
      </c>
      <c r="N425" s="10">
        <f t="shared" si="71"/>
        <v>2513000</v>
      </c>
      <c r="O425" s="11">
        <f t="shared" si="72"/>
        <v>0.11062707816231909</v>
      </c>
      <c r="P425" s="5">
        <f t="shared" si="73"/>
        <v>24543678.16091954</v>
      </c>
      <c r="Q425" s="10">
        <f t="shared" si="74"/>
        <v>2513000</v>
      </c>
      <c r="R425" s="11">
        <f t="shared" si="75"/>
        <v>0.10238889149065705</v>
      </c>
    </row>
    <row r="426" spans="1:18" x14ac:dyDescent="0.3">
      <c r="A426" s="7">
        <v>19000001</v>
      </c>
      <c r="B426" s="7">
        <v>19050000</v>
      </c>
      <c r="C426" s="7">
        <v>30000</v>
      </c>
      <c r="E426" s="7">
        <v>0</v>
      </c>
      <c r="F426" s="7">
        <f t="shared" si="76"/>
        <v>1905000</v>
      </c>
      <c r="G426" s="13">
        <f t="shared" si="66"/>
        <v>2.0682414698162718E-2</v>
      </c>
      <c r="H426" s="7">
        <f t="shared" si="67"/>
        <v>30000</v>
      </c>
      <c r="I426" s="5">
        <f t="shared" si="68"/>
        <v>423999.99999999977</v>
      </c>
      <c r="L426" s="5">
        <f t="shared" si="69"/>
        <v>21409000</v>
      </c>
      <c r="M426" s="5">
        <f t="shared" si="70"/>
        <v>22775531.91489362</v>
      </c>
      <c r="N426" s="10">
        <f t="shared" si="71"/>
        <v>2519500</v>
      </c>
      <c r="O426" s="11">
        <f t="shared" si="72"/>
        <v>0.11062310243355597</v>
      </c>
      <c r="P426" s="5">
        <f t="shared" si="73"/>
        <v>24608045.977011494</v>
      </c>
      <c r="Q426" s="10">
        <f t="shared" si="74"/>
        <v>2519500</v>
      </c>
      <c r="R426" s="11">
        <f t="shared" si="75"/>
        <v>0.10238521182680181</v>
      </c>
    </row>
    <row r="427" spans="1:18" x14ac:dyDescent="0.3">
      <c r="A427" s="7">
        <v>19050001</v>
      </c>
      <c r="B427" s="7">
        <v>19100000</v>
      </c>
      <c r="C427" s="7">
        <v>30000</v>
      </c>
      <c r="E427" s="7">
        <v>0</v>
      </c>
      <c r="F427" s="7">
        <f t="shared" si="76"/>
        <v>1910000</v>
      </c>
      <c r="G427" s="13">
        <f t="shared" si="66"/>
        <v>2.0680628272251297E-2</v>
      </c>
      <c r="H427" s="7">
        <f t="shared" si="67"/>
        <v>30000</v>
      </c>
      <c r="I427" s="5">
        <f t="shared" si="68"/>
        <v>424999.99999999977</v>
      </c>
      <c r="L427" s="5">
        <f t="shared" si="69"/>
        <v>21465000</v>
      </c>
      <c r="M427" s="5">
        <f t="shared" si="70"/>
        <v>22835106.382978726</v>
      </c>
      <c r="N427" s="10">
        <f t="shared" si="71"/>
        <v>2526000</v>
      </c>
      <c r="O427" s="11">
        <f t="shared" si="72"/>
        <v>0.11061914744933611</v>
      </c>
      <c r="P427" s="5">
        <f t="shared" si="73"/>
        <v>24672413.793103449</v>
      </c>
      <c r="Q427" s="10">
        <f t="shared" si="74"/>
        <v>2526000</v>
      </c>
      <c r="R427" s="11">
        <f t="shared" si="75"/>
        <v>0.10238155136268344</v>
      </c>
    </row>
    <row r="428" spans="1:18" x14ac:dyDescent="0.3">
      <c r="A428" s="7">
        <v>19100001</v>
      </c>
      <c r="B428" s="7">
        <v>19150000</v>
      </c>
      <c r="C428" s="7">
        <v>30000</v>
      </c>
      <c r="E428" s="7">
        <v>0</v>
      </c>
      <c r="F428" s="7">
        <f t="shared" si="76"/>
        <v>1915000</v>
      </c>
      <c r="G428" s="13">
        <f t="shared" si="66"/>
        <v>2.0678851174934718E-2</v>
      </c>
      <c r="H428" s="7">
        <f t="shared" si="67"/>
        <v>30000</v>
      </c>
      <c r="I428" s="5">
        <f t="shared" si="68"/>
        <v>425999.99999999983</v>
      </c>
      <c r="L428" s="5">
        <f t="shared" si="69"/>
        <v>21521000</v>
      </c>
      <c r="M428" s="5">
        <f t="shared" si="70"/>
        <v>22894680.851063833</v>
      </c>
      <c r="N428" s="10">
        <f t="shared" si="71"/>
        <v>2532500</v>
      </c>
      <c r="O428" s="11">
        <f t="shared" si="72"/>
        <v>0.11061521304772082</v>
      </c>
      <c r="P428" s="5">
        <f t="shared" si="73"/>
        <v>24736781.609195404</v>
      </c>
      <c r="Q428" s="10">
        <f t="shared" si="74"/>
        <v>2532500</v>
      </c>
      <c r="R428" s="11">
        <f t="shared" si="75"/>
        <v>0.10237790994842247</v>
      </c>
    </row>
    <row r="429" spans="1:18" x14ac:dyDescent="0.3">
      <c r="A429" s="7">
        <v>19150001</v>
      </c>
      <c r="B429" s="7">
        <v>19200000</v>
      </c>
      <c r="C429" s="7">
        <v>30000</v>
      </c>
      <c r="E429" s="7">
        <v>0</v>
      </c>
      <c r="F429" s="7">
        <f t="shared" si="76"/>
        <v>1920000</v>
      </c>
      <c r="G429" s="13">
        <f t="shared" si="66"/>
        <v>2.0677083333333318E-2</v>
      </c>
      <c r="H429" s="7">
        <f t="shared" si="67"/>
        <v>30000</v>
      </c>
      <c r="I429" s="5">
        <f t="shared" si="68"/>
        <v>426999.99999999971</v>
      </c>
      <c r="L429" s="5">
        <f t="shared" si="69"/>
        <v>21577000</v>
      </c>
      <c r="M429" s="5">
        <f t="shared" si="70"/>
        <v>22954255.319148939</v>
      </c>
      <c r="N429" s="10">
        <f t="shared" si="71"/>
        <v>2539000</v>
      </c>
      <c r="O429" s="11">
        <f t="shared" si="72"/>
        <v>0.1106112990684525</v>
      </c>
      <c r="P429" s="5">
        <f t="shared" si="73"/>
        <v>24801149.425287355</v>
      </c>
      <c r="Q429" s="10">
        <f t="shared" si="74"/>
        <v>2539000</v>
      </c>
      <c r="R429" s="11">
        <f t="shared" si="75"/>
        <v>0.10237428743569542</v>
      </c>
    </row>
    <row r="430" spans="1:18" x14ac:dyDescent="0.3">
      <c r="A430" s="7">
        <v>19200001</v>
      </c>
      <c r="B430" s="7">
        <v>19250000</v>
      </c>
      <c r="C430" s="7">
        <v>30000</v>
      </c>
      <c r="E430" s="7">
        <v>0</v>
      </c>
      <c r="F430" s="7">
        <f t="shared" si="76"/>
        <v>1925000</v>
      </c>
      <c r="G430" s="13">
        <f t="shared" si="66"/>
        <v>2.0675324675324666E-2</v>
      </c>
      <c r="H430" s="7">
        <f t="shared" si="67"/>
        <v>30000</v>
      </c>
      <c r="I430" s="5">
        <f t="shared" si="68"/>
        <v>427999.99999999983</v>
      </c>
      <c r="L430" s="5">
        <f t="shared" si="69"/>
        <v>21633000</v>
      </c>
      <c r="M430" s="5">
        <f t="shared" si="70"/>
        <v>23013829.787234046</v>
      </c>
      <c r="N430" s="10">
        <f t="shared" si="71"/>
        <v>2545500</v>
      </c>
      <c r="O430" s="11">
        <f t="shared" si="72"/>
        <v>0.11060740535293301</v>
      </c>
      <c r="P430" s="5">
        <f t="shared" si="73"/>
        <v>24865517.241379309</v>
      </c>
      <c r="Q430" s="10">
        <f t="shared" si="74"/>
        <v>2545500</v>
      </c>
      <c r="R430" s="11">
        <f t="shared" si="75"/>
        <v>0.10237068367771461</v>
      </c>
    </row>
    <row r="431" spans="1:18" x14ac:dyDescent="0.3">
      <c r="A431" s="7">
        <v>19250001</v>
      </c>
      <c r="B431" s="7">
        <v>19300000</v>
      </c>
      <c r="C431" s="7">
        <v>30000</v>
      </c>
      <c r="E431" s="7">
        <v>0</v>
      </c>
      <c r="F431" s="7">
        <f t="shared" si="76"/>
        <v>1930000</v>
      </c>
      <c r="G431" s="13">
        <f t="shared" si="66"/>
        <v>2.0673575129533675E-2</v>
      </c>
      <c r="H431" s="7">
        <f t="shared" si="67"/>
        <v>30000</v>
      </c>
      <c r="I431" s="5">
        <f t="shared" si="68"/>
        <v>428999.99999999994</v>
      </c>
      <c r="L431" s="5">
        <f t="shared" si="69"/>
        <v>21689000</v>
      </c>
      <c r="M431" s="5">
        <f t="shared" si="70"/>
        <v>23073404.255319152</v>
      </c>
      <c r="N431" s="10">
        <f t="shared" si="71"/>
        <v>2552000</v>
      </c>
      <c r="O431" s="11">
        <f t="shared" si="72"/>
        <v>0.11060353174420212</v>
      </c>
      <c r="P431" s="5">
        <f t="shared" si="73"/>
        <v>24929885.057471264</v>
      </c>
      <c r="Q431" s="10">
        <f t="shared" si="74"/>
        <v>2552000</v>
      </c>
      <c r="R431" s="11">
        <f t="shared" si="75"/>
        <v>0.10236709852920836</v>
      </c>
    </row>
    <row r="432" spans="1:18" x14ac:dyDescent="0.3">
      <c r="A432" s="7">
        <v>19300001</v>
      </c>
      <c r="B432" s="7">
        <v>19350000</v>
      </c>
      <c r="C432" s="7">
        <v>30000</v>
      </c>
      <c r="E432" s="7">
        <v>0</v>
      </c>
      <c r="F432" s="7">
        <f t="shared" si="76"/>
        <v>1935000</v>
      </c>
      <c r="G432" s="13">
        <f t="shared" si="66"/>
        <v>2.0671834625322988E-2</v>
      </c>
      <c r="H432" s="7">
        <f t="shared" si="67"/>
        <v>30000</v>
      </c>
      <c r="I432" s="5">
        <f t="shared" si="68"/>
        <v>429999.99999999983</v>
      </c>
      <c r="L432" s="5">
        <f t="shared" si="69"/>
        <v>21745000</v>
      </c>
      <c r="M432" s="5">
        <f t="shared" si="70"/>
        <v>23132978.723404258</v>
      </c>
      <c r="N432" s="10">
        <f t="shared" si="71"/>
        <v>2558500</v>
      </c>
      <c r="O432" s="11">
        <f t="shared" si="72"/>
        <v>0.11059967808691652</v>
      </c>
      <c r="P432" s="5">
        <f t="shared" si="73"/>
        <v>24994252.873563219</v>
      </c>
      <c r="Q432" s="10">
        <f t="shared" si="74"/>
        <v>2558500</v>
      </c>
      <c r="R432" s="11">
        <f t="shared" si="75"/>
        <v>0.10236353184640147</v>
      </c>
    </row>
    <row r="433" spans="1:18" x14ac:dyDescent="0.3">
      <c r="A433" s="7">
        <v>19350001</v>
      </c>
      <c r="B433" s="7">
        <v>19400000</v>
      </c>
      <c r="C433" s="7">
        <v>30000</v>
      </c>
      <c r="E433" s="7">
        <v>0</v>
      </c>
      <c r="F433" s="7">
        <f t="shared" si="76"/>
        <v>1940000</v>
      </c>
      <c r="G433" s="13">
        <f t="shared" si="66"/>
        <v>2.0670103092783498E-2</v>
      </c>
      <c r="H433" s="7">
        <f t="shared" si="67"/>
        <v>30000</v>
      </c>
      <c r="I433" s="5">
        <f t="shared" si="68"/>
        <v>430999.99999999988</v>
      </c>
      <c r="L433" s="5">
        <f t="shared" si="69"/>
        <v>21801000</v>
      </c>
      <c r="M433" s="5">
        <f t="shared" si="70"/>
        <v>23192553.191489361</v>
      </c>
      <c r="N433" s="10">
        <f t="shared" si="71"/>
        <v>2565000</v>
      </c>
      <c r="O433" s="11">
        <f t="shared" si="72"/>
        <v>0.11059584422732903</v>
      </c>
      <c r="P433" s="5">
        <f t="shared" si="73"/>
        <v>25058620.689655174</v>
      </c>
      <c r="Q433" s="10">
        <f t="shared" si="74"/>
        <v>2565000</v>
      </c>
      <c r="R433" s="11">
        <f t="shared" si="75"/>
        <v>0.102359983486996</v>
      </c>
    </row>
    <row r="434" spans="1:18" x14ac:dyDescent="0.3">
      <c r="A434" s="7">
        <v>19400001</v>
      </c>
      <c r="B434" s="7">
        <v>19450000</v>
      </c>
      <c r="C434" s="7">
        <v>30000</v>
      </c>
      <c r="E434" s="7">
        <v>0</v>
      </c>
      <c r="F434" s="7">
        <f t="shared" si="76"/>
        <v>1945000</v>
      </c>
      <c r="G434" s="13">
        <f t="shared" si="66"/>
        <v>2.0668380462724928E-2</v>
      </c>
      <c r="H434" s="7">
        <f t="shared" si="67"/>
        <v>30000</v>
      </c>
      <c r="I434" s="5">
        <f t="shared" si="68"/>
        <v>431999.99999999983</v>
      </c>
      <c r="L434" s="5">
        <f t="shared" si="69"/>
        <v>21857000</v>
      </c>
      <c r="M434" s="5">
        <f t="shared" si="70"/>
        <v>23252127.659574468</v>
      </c>
      <c r="N434" s="10">
        <f t="shared" si="71"/>
        <v>2571500</v>
      </c>
      <c r="O434" s="11">
        <f t="shared" si="72"/>
        <v>0.11059203001326806</v>
      </c>
      <c r="P434" s="5">
        <f t="shared" si="73"/>
        <v>25122988.505747128</v>
      </c>
      <c r="Q434" s="10">
        <f t="shared" si="74"/>
        <v>2571500</v>
      </c>
      <c r="R434" s="11">
        <f t="shared" si="75"/>
        <v>0.10235645331015235</v>
      </c>
    </row>
    <row r="435" spans="1:18" x14ac:dyDescent="0.3">
      <c r="A435" s="7">
        <v>19450001</v>
      </c>
      <c r="B435" s="7">
        <v>19500000</v>
      </c>
      <c r="C435" s="7">
        <v>30000</v>
      </c>
      <c r="E435" s="7">
        <v>0</v>
      </c>
      <c r="F435" s="7">
        <f t="shared" si="76"/>
        <v>1950000</v>
      </c>
      <c r="G435" s="13">
        <f t="shared" si="66"/>
        <v>2.0666666666666653E-2</v>
      </c>
      <c r="H435" s="7">
        <f t="shared" si="67"/>
        <v>30000</v>
      </c>
      <c r="I435" s="5">
        <f t="shared" si="68"/>
        <v>432999.99999999971</v>
      </c>
      <c r="L435" s="5">
        <f t="shared" si="69"/>
        <v>21913000</v>
      </c>
      <c r="M435" s="5">
        <f t="shared" si="70"/>
        <v>23311702.127659574</v>
      </c>
      <c r="N435" s="10">
        <f t="shared" si="71"/>
        <v>2578000</v>
      </c>
      <c r="O435" s="11">
        <f t="shared" si="72"/>
        <v>0.11058823529411765</v>
      </c>
      <c r="P435" s="5">
        <f t="shared" si="73"/>
        <v>25187356.321839079</v>
      </c>
      <c r="Q435" s="10">
        <f t="shared" si="74"/>
        <v>2578000</v>
      </c>
      <c r="R435" s="11">
        <f t="shared" si="75"/>
        <v>0.10235294117647059</v>
      </c>
    </row>
    <row r="436" spans="1:18" x14ac:dyDescent="0.3">
      <c r="A436" s="7">
        <v>19500001</v>
      </c>
      <c r="B436" s="7">
        <v>19550000</v>
      </c>
      <c r="C436" s="7">
        <v>30000</v>
      </c>
      <c r="E436" s="7">
        <v>0</v>
      </c>
      <c r="F436" s="7">
        <f t="shared" si="76"/>
        <v>1955000</v>
      </c>
      <c r="G436" s="13">
        <f t="shared" si="66"/>
        <v>2.0664961636828641E-2</v>
      </c>
      <c r="H436" s="7">
        <f t="shared" si="67"/>
        <v>30000</v>
      </c>
      <c r="I436" s="5">
        <f t="shared" si="68"/>
        <v>433999.99999999994</v>
      </c>
      <c r="L436" s="5">
        <f t="shared" si="69"/>
        <v>21969000</v>
      </c>
      <c r="M436" s="5">
        <f t="shared" si="70"/>
        <v>23371276.595744681</v>
      </c>
      <c r="N436" s="10">
        <f t="shared" si="71"/>
        <v>2584500</v>
      </c>
      <c r="O436" s="11">
        <f t="shared" si="72"/>
        <v>0.11058445992079749</v>
      </c>
      <c r="P436" s="5">
        <f t="shared" si="73"/>
        <v>25251724.137931034</v>
      </c>
      <c r="Q436" s="10">
        <f t="shared" si="74"/>
        <v>2584500</v>
      </c>
      <c r="R436" s="11">
        <f t="shared" si="75"/>
        <v>0.10234944694797214</v>
      </c>
    </row>
    <row r="437" spans="1:18" x14ac:dyDescent="0.3">
      <c r="A437" s="7">
        <v>19550001</v>
      </c>
      <c r="B437" s="7">
        <v>19600000</v>
      </c>
      <c r="C437" s="7">
        <v>30000</v>
      </c>
      <c r="E437" s="7">
        <v>0</v>
      </c>
      <c r="F437" s="7">
        <f t="shared" si="76"/>
        <v>1960000</v>
      </c>
      <c r="G437" s="13">
        <f t="shared" si="66"/>
        <v>2.0663265306122433E-2</v>
      </c>
      <c r="H437" s="7">
        <f t="shared" si="67"/>
        <v>30000</v>
      </c>
      <c r="I437" s="5">
        <f t="shared" si="68"/>
        <v>434999.99999999971</v>
      </c>
      <c r="L437" s="5">
        <f t="shared" si="69"/>
        <v>22025000</v>
      </c>
      <c r="M437" s="5">
        <f t="shared" si="70"/>
        <v>23430851.063829787</v>
      </c>
      <c r="N437" s="10">
        <f t="shared" si="71"/>
        <v>2591000</v>
      </c>
      <c r="O437" s="11">
        <f t="shared" si="72"/>
        <v>0.11058070374574347</v>
      </c>
      <c r="P437" s="5">
        <f t="shared" si="73"/>
        <v>25316091.954022989</v>
      </c>
      <c r="Q437" s="10">
        <f t="shared" si="74"/>
        <v>2591000</v>
      </c>
      <c r="R437" s="11">
        <f t="shared" si="75"/>
        <v>0.10234597048808172</v>
      </c>
    </row>
    <row r="438" spans="1:18" x14ac:dyDescent="0.3">
      <c r="A438" s="7">
        <v>19600001</v>
      </c>
      <c r="B438" s="7">
        <v>19650000</v>
      </c>
      <c r="C438" s="7">
        <v>30000</v>
      </c>
      <c r="E438" s="7">
        <v>0</v>
      </c>
      <c r="F438" s="7">
        <f t="shared" si="76"/>
        <v>1965000</v>
      </c>
      <c r="G438" s="13">
        <f t="shared" si="66"/>
        <v>2.0661577608142481E-2</v>
      </c>
      <c r="H438" s="7">
        <f t="shared" si="67"/>
        <v>30000</v>
      </c>
      <c r="I438" s="5">
        <f t="shared" si="68"/>
        <v>435999.99999999977</v>
      </c>
      <c r="L438" s="5">
        <f t="shared" si="69"/>
        <v>22081000</v>
      </c>
      <c r="M438" s="5">
        <f t="shared" si="70"/>
        <v>23490425.531914894</v>
      </c>
      <c r="N438" s="10">
        <f t="shared" si="71"/>
        <v>2597500</v>
      </c>
      <c r="O438" s="11">
        <f t="shared" si="72"/>
        <v>0.11057696662288846</v>
      </c>
      <c r="P438" s="5">
        <f t="shared" si="73"/>
        <v>25380459.770114943</v>
      </c>
      <c r="Q438" s="10">
        <f t="shared" si="74"/>
        <v>2597500</v>
      </c>
      <c r="R438" s="11">
        <f t="shared" si="75"/>
        <v>0.10234251166160953</v>
      </c>
    </row>
    <row r="439" spans="1:18" x14ac:dyDescent="0.3">
      <c r="A439" s="7">
        <v>19650001</v>
      </c>
      <c r="B439" s="7">
        <v>19700000</v>
      </c>
      <c r="C439" s="7">
        <v>30000</v>
      </c>
      <c r="E439" s="7">
        <v>0</v>
      </c>
      <c r="F439" s="7">
        <f t="shared" si="76"/>
        <v>1970000</v>
      </c>
      <c r="G439" s="13">
        <f t="shared" si="66"/>
        <v>2.0659898477157351E-2</v>
      </c>
      <c r="H439" s="7">
        <f t="shared" si="67"/>
        <v>30000</v>
      </c>
      <c r="I439" s="5">
        <f t="shared" si="68"/>
        <v>436999.99999999983</v>
      </c>
      <c r="L439" s="5">
        <f t="shared" si="69"/>
        <v>22137000</v>
      </c>
      <c r="M439" s="5">
        <f t="shared" si="70"/>
        <v>23550000</v>
      </c>
      <c r="N439" s="10">
        <f t="shared" si="71"/>
        <v>2604000</v>
      </c>
      <c r="O439" s="11">
        <f t="shared" si="72"/>
        <v>0.11057324840764331</v>
      </c>
      <c r="P439" s="5">
        <f t="shared" si="73"/>
        <v>25444827.586206898</v>
      </c>
      <c r="Q439" s="10">
        <f t="shared" si="74"/>
        <v>2604000</v>
      </c>
      <c r="R439" s="11">
        <f t="shared" si="75"/>
        <v>0.1023390703347337</v>
      </c>
    </row>
    <row r="440" spans="1:18" x14ac:dyDescent="0.3">
      <c r="A440" s="7">
        <v>19700001</v>
      </c>
      <c r="B440" s="7">
        <v>19750000</v>
      </c>
      <c r="C440" s="7">
        <v>30000</v>
      </c>
      <c r="E440" s="7">
        <v>0</v>
      </c>
      <c r="F440" s="7">
        <f t="shared" si="76"/>
        <v>1975000</v>
      </c>
      <c r="G440" s="13">
        <f t="shared" si="66"/>
        <v>2.0658227848101257E-2</v>
      </c>
      <c r="H440" s="7">
        <f t="shared" si="67"/>
        <v>30000</v>
      </c>
      <c r="I440" s="5">
        <f t="shared" si="68"/>
        <v>437999.99999999983</v>
      </c>
      <c r="L440" s="5">
        <f t="shared" si="69"/>
        <v>22193000</v>
      </c>
      <c r="M440" s="5">
        <f t="shared" si="70"/>
        <v>23609574.468085106</v>
      </c>
      <c r="N440" s="10">
        <f t="shared" si="71"/>
        <v>2610500</v>
      </c>
      <c r="O440" s="11">
        <f t="shared" si="72"/>
        <v>0.11056954895687829</v>
      </c>
      <c r="P440" s="5">
        <f t="shared" si="73"/>
        <v>25509195.402298849</v>
      </c>
      <c r="Q440" s="10">
        <f t="shared" si="74"/>
        <v>2610500</v>
      </c>
      <c r="R440" s="11">
        <f t="shared" si="75"/>
        <v>0.1023356463749831</v>
      </c>
    </row>
    <row r="441" spans="1:18" x14ac:dyDescent="0.3">
      <c r="A441" s="7">
        <v>19750001</v>
      </c>
      <c r="B441" s="7">
        <v>19800000</v>
      </c>
      <c r="C441" s="7">
        <v>30000</v>
      </c>
      <c r="E441" s="7">
        <v>0</v>
      </c>
      <c r="F441" s="7">
        <f t="shared" si="76"/>
        <v>1980000</v>
      </c>
      <c r="G441" s="13">
        <f t="shared" si="66"/>
        <v>2.0656565656565651E-2</v>
      </c>
      <c r="H441" s="7">
        <f t="shared" si="67"/>
        <v>30000</v>
      </c>
      <c r="I441" s="5">
        <f t="shared" si="68"/>
        <v>438999.99999999988</v>
      </c>
      <c r="L441" s="5">
        <f t="shared" si="69"/>
        <v>22249000</v>
      </c>
      <c r="M441" s="5">
        <f t="shared" si="70"/>
        <v>23669148.936170213</v>
      </c>
      <c r="N441" s="10">
        <f t="shared" si="71"/>
        <v>2617000</v>
      </c>
      <c r="O441" s="11">
        <f t="shared" si="72"/>
        <v>0.11056586812890466</v>
      </c>
      <c r="P441" s="5">
        <f t="shared" si="73"/>
        <v>25573563.218390804</v>
      </c>
      <c r="Q441" s="10">
        <f t="shared" si="74"/>
        <v>2617000</v>
      </c>
      <c r="R441" s="11">
        <f t="shared" si="75"/>
        <v>0.10233223965122028</v>
      </c>
    </row>
    <row r="442" spans="1:18" x14ac:dyDescent="0.3">
      <c r="A442" s="7">
        <v>19800001</v>
      </c>
      <c r="B442" s="7">
        <v>19850000</v>
      </c>
      <c r="C442" s="7">
        <v>30000</v>
      </c>
      <c r="E442" s="7">
        <v>0</v>
      </c>
      <c r="F442" s="7">
        <f t="shared" si="76"/>
        <v>1985000</v>
      </c>
      <c r="G442" s="13">
        <f t="shared" si="66"/>
        <v>2.0654911838790924E-2</v>
      </c>
      <c r="H442" s="7">
        <f t="shared" si="67"/>
        <v>30000</v>
      </c>
      <c r="I442" s="5">
        <f t="shared" si="68"/>
        <v>439999.99999999983</v>
      </c>
      <c r="L442" s="5">
        <f t="shared" si="69"/>
        <v>22305000</v>
      </c>
      <c r="M442" s="5">
        <f t="shared" si="70"/>
        <v>23728723.404255319</v>
      </c>
      <c r="N442" s="10">
        <f t="shared" si="71"/>
        <v>2623500</v>
      </c>
      <c r="O442" s="11">
        <f t="shared" si="72"/>
        <v>0.11056220578345663</v>
      </c>
      <c r="P442" s="5">
        <f t="shared" si="73"/>
        <v>25637931.034482758</v>
      </c>
      <c r="Q442" s="10">
        <f t="shared" si="74"/>
        <v>2623500</v>
      </c>
      <c r="R442" s="11">
        <f t="shared" si="75"/>
        <v>0.10232885003362475</v>
      </c>
    </row>
    <row r="443" spans="1:18" x14ac:dyDescent="0.3">
      <c r="A443" s="7">
        <v>19850001</v>
      </c>
      <c r="B443" s="7">
        <v>19900000</v>
      </c>
      <c r="C443" s="7">
        <v>30000</v>
      </c>
      <c r="E443" s="7">
        <v>0</v>
      </c>
      <c r="F443" s="7">
        <f t="shared" si="76"/>
        <v>1990000</v>
      </c>
      <c r="G443" s="13">
        <f t="shared" si="66"/>
        <v>2.0653266331658288E-2</v>
      </c>
      <c r="H443" s="7">
        <f t="shared" si="67"/>
        <v>30000</v>
      </c>
      <c r="I443" s="5">
        <f t="shared" si="68"/>
        <v>440999.99999999994</v>
      </c>
      <c r="L443" s="5">
        <f t="shared" si="69"/>
        <v>22361000</v>
      </c>
      <c r="M443" s="5">
        <f t="shared" si="70"/>
        <v>23788297.872340426</v>
      </c>
      <c r="N443" s="10">
        <f t="shared" si="71"/>
        <v>2630000</v>
      </c>
      <c r="O443" s="11">
        <f t="shared" si="72"/>
        <v>0.11055856178167345</v>
      </c>
      <c r="P443" s="5">
        <f t="shared" si="73"/>
        <v>25702298.850574713</v>
      </c>
      <c r="Q443" s="10">
        <f t="shared" si="74"/>
        <v>2630000</v>
      </c>
      <c r="R443" s="11">
        <f t="shared" si="75"/>
        <v>0.10232547739367649</v>
      </c>
    </row>
    <row r="444" spans="1:18" x14ac:dyDescent="0.3">
      <c r="A444" s="7">
        <v>19900001</v>
      </c>
      <c r="B444" s="7">
        <v>19950000</v>
      </c>
      <c r="C444" s="7">
        <v>30000</v>
      </c>
      <c r="E444" s="7">
        <v>0</v>
      </c>
      <c r="F444" s="7">
        <f t="shared" si="76"/>
        <v>1995000</v>
      </c>
      <c r="G444" s="13">
        <f t="shared" si="66"/>
        <v>2.0651629072681699E-2</v>
      </c>
      <c r="H444" s="7">
        <f t="shared" si="67"/>
        <v>30000</v>
      </c>
      <c r="I444" s="5">
        <f t="shared" si="68"/>
        <v>441999.99999999988</v>
      </c>
      <c r="L444" s="5">
        <f t="shared" si="69"/>
        <v>22417000</v>
      </c>
      <c r="M444" s="5">
        <f t="shared" si="70"/>
        <v>23847872.340425532</v>
      </c>
      <c r="N444" s="10">
        <f t="shared" si="71"/>
        <v>2636500</v>
      </c>
      <c r="O444" s="11">
        <f t="shared" si="72"/>
        <v>0.11055493598608199</v>
      </c>
      <c r="P444" s="5">
        <f t="shared" si="73"/>
        <v>25766666.666666668</v>
      </c>
      <c r="Q444" s="10">
        <f t="shared" si="74"/>
        <v>2636500</v>
      </c>
      <c r="R444" s="11">
        <f t="shared" si="75"/>
        <v>0.10232212160413971</v>
      </c>
    </row>
    <row r="445" spans="1:18" x14ac:dyDescent="0.3">
      <c r="A445" s="7">
        <v>19950001</v>
      </c>
      <c r="B445" s="7">
        <v>20000000</v>
      </c>
      <c r="C445" s="7">
        <v>30000</v>
      </c>
      <c r="E445" s="7">
        <v>0</v>
      </c>
      <c r="F445" s="7">
        <f t="shared" si="76"/>
        <v>2000000</v>
      </c>
      <c r="G445" s="13">
        <f t="shared" si="66"/>
        <v>2.0649999999999988E-2</v>
      </c>
      <c r="H445" s="7">
        <f t="shared" si="67"/>
        <v>30000</v>
      </c>
      <c r="I445" s="5">
        <f t="shared" si="68"/>
        <v>442999.99999999977</v>
      </c>
      <c r="L445" s="5">
        <f t="shared" si="69"/>
        <v>22473000</v>
      </c>
      <c r="M445" s="5">
        <f t="shared" si="70"/>
        <v>23907446.808510639</v>
      </c>
      <c r="N445" s="10">
        <f t="shared" si="71"/>
        <v>2643000</v>
      </c>
      <c r="O445" s="11">
        <f t="shared" si="72"/>
        <v>0.11055132826057935</v>
      </c>
      <c r="P445" s="5">
        <f t="shared" si="73"/>
        <v>25831034.482758623</v>
      </c>
      <c r="Q445" s="10">
        <f t="shared" si="74"/>
        <v>2643000</v>
      </c>
      <c r="R445" s="11">
        <f t="shared" si="75"/>
        <v>0.10231878253904685</v>
      </c>
    </row>
    <row r="446" spans="1:18" x14ac:dyDescent="0.3">
      <c r="A446" s="7">
        <v>20000001</v>
      </c>
      <c r="B446" s="7">
        <v>20050000</v>
      </c>
      <c r="C446" s="7">
        <v>30000</v>
      </c>
      <c r="E446" s="7">
        <v>0</v>
      </c>
      <c r="F446" s="7">
        <f t="shared" si="76"/>
        <v>2005000</v>
      </c>
      <c r="G446" s="13">
        <f t="shared" si="66"/>
        <v>2.0648379052369062E-2</v>
      </c>
      <c r="H446" s="7">
        <f t="shared" si="67"/>
        <v>30000</v>
      </c>
      <c r="I446" s="5">
        <f t="shared" si="68"/>
        <v>443999.99999999971</v>
      </c>
      <c r="L446" s="5">
        <f t="shared" si="69"/>
        <v>22529000</v>
      </c>
      <c r="M446" s="5">
        <f t="shared" si="70"/>
        <v>23967021.276595745</v>
      </c>
      <c r="N446" s="10">
        <f t="shared" si="71"/>
        <v>2649500</v>
      </c>
      <c r="O446" s="11">
        <f t="shared" si="72"/>
        <v>0.11054773847041591</v>
      </c>
      <c r="P446" s="5">
        <f t="shared" si="73"/>
        <v>25895402.298850574</v>
      </c>
      <c r="Q446" s="10">
        <f t="shared" si="74"/>
        <v>2649500</v>
      </c>
      <c r="R446" s="11">
        <f t="shared" si="75"/>
        <v>0.10231546007368281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구간별 계산식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2026-07-03T08:40:46Z</dcterms:created>
  <dcterms:modified xsi:type="dcterms:W3CDTF">2026-07-29T14:23:39Z</dcterms:modified>
</cp:coreProperties>
</file>