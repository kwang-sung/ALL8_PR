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ALL8\"/>
    </mc:Choice>
  </mc:AlternateContent>
  <xr:revisionPtr revIDLastSave="0" documentId="13_ncr:1_{F8B87170-F2B4-4E4B-A97F-29577A0282B7}" xr6:coauthVersionLast="47" xr6:coauthVersionMax="47" xr10:uidLastSave="{00000000-0000-0000-0000-000000000000}"/>
  <bookViews>
    <workbookView xWindow="28680" yWindow="555" windowWidth="29040" windowHeight="15720" xr2:uid="{00000000-000D-0000-FFFF-FFFF00000000}"/>
  </bookViews>
  <sheets>
    <sheet name="구간별 계산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46" i="1" l="1"/>
  <c r="G446" i="1"/>
  <c r="I446" i="1" s="1"/>
  <c r="E446" i="1"/>
  <c r="H445" i="1"/>
  <c r="G445" i="1"/>
  <c r="I445" i="1" s="1"/>
  <c r="F445" i="1"/>
  <c r="E445" i="1"/>
  <c r="H444" i="1"/>
  <c r="G444" i="1"/>
  <c r="I444" i="1" s="1"/>
  <c r="E444" i="1"/>
  <c r="F444" i="1" s="1"/>
  <c r="H443" i="1"/>
  <c r="G443" i="1"/>
  <c r="I443" i="1" s="1"/>
  <c r="E443" i="1"/>
  <c r="F443" i="1" s="1"/>
  <c r="L443" i="1" s="1"/>
  <c r="H442" i="1"/>
  <c r="I442" i="1" s="1"/>
  <c r="G442" i="1"/>
  <c r="E442" i="1"/>
  <c r="F442" i="1" s="1"/>
  <c r="L442" i="1" s="1"/>
  <c r="H441" i="1"/>
  <c r="G441" i="1"/>
  <c r="I441" i="1" s="1"/>
  <c r="E441" i="1"/>
  <c r="L440" i="1"/>
  <c r="P440" i="1" s="1"/>
  <c r="Q440" i="1" s="1"/>
  <c r="R440" i="1" s="1"/>
  <c r="H440" i="1"/>
  <c r="G440" i="1"/>
  <c r="I440" i="1" s="1"/>
  <c r="E440" i="1"/>
  <c r="F440" i="1" s="1"/>
  <c r="H439" i="1"/>
  <c r="G439" i="1"/>
  <c r="I439" i="1" s="1"/>
  <c r="F439" i="1"/>
  <c r="L439" i="1" s="1"/>
  <c r="E439" i="1"/>
  <c r="H438" i="1"/>
  <c r="G438" i="1"/>
  <c r="I438" i="1" s="1"/>
  <c r="E438" i="1"/>
  <c r="H437" i="1"/>
  <c r="G437" i="1"/>
  <c r="I437" i="1" s="1"/>
  <c r="E437" i="1"/>
  <c r="F437" i="1" s="1"/>
  <c r="L437" i="1" s="1"/>
  <c r="L436" i="1"/>
  <c r="H436" i="1"/>
  <c r="G436" i="1"/>
  <c r="I436" i="1" s="1"/>
  <c r="E436" i="1"/>
  <c r="F436" i="1" s="1"/>
  <c r="H435" i="1"/>
  <c r="G435" i="1"/>
  <c r="I435" i="1" s="1"/>
  <c r="F435" i="1"/>
  <c r="E435" i="1"/>
  <c r="L434" i="1"/>
  <c r="I434" i="1"/>
  <c r="H434" i="1"/>
  <c r="G434" i="1"/>
  <c r="E434" i="1"/>
  <c r="F434" i="1" s="1"/>
  <c r="H433" i="1"/>
  <c r="G433" i="1"/>
  <c r="I433" i="1" s="1"/>
  <c r="E433" i="1"/>
  <c r="H432" i="1"/>
  <c r="G432" i="1"/>
  <c r="E432" i="1"/>
  <c r="F432" i="1" s="1"/>
  <c r="H431" i="1"/>
  <c r="G431" i="1"/>
  <c r="I431" i="1" s="1"/>
  <c r="E431" i="1"/>
  <c r="F431" i="1" s="1"/>
  <c r="L431" i="1" s="1"/>
  <c r="I430" i="1"/>
  <c r="L430" i="1" s="1"/>
  <c r="H430" i="1"/>
  <c r="G430" i="1"/>
  <c r="E430" i="1"/>
  <c r="F430" i="1" s="1"/>
  <c r="H429" i="1"/>
  <c r="G429" i="1"/>
  <c r="I429" i="1" s="1"/>
  <c r="E429" i="1"/>
  <c r="H428" i="1"/>
  <c r="G428" i="1"/>
  <c r="I428" i="1" s="1"/>
  <c r="L428" i="1" s="1"/>
  <c r="E428" i="1"/>
  <c r="F428" i="1" s="1"/>
  <c r="H427" i="1"/>
  <c r="G427" i="1"/>
  <c r="I427" i="1" s="1"/>
  <c r="F427" i="1"/>
  <c r="L427" i="1" s="1"/>
  <c r="E427" i="1"/>
  <c r="H426" i="1"/>
  <c r="G426" i="1"/>
  <c r="I426" i="1" s="1"/>
  <c r="F426" i="1"/>
  <c r="E426" i="1"/>
  <c r="H425" i="1"/>
  <c r="G425" i="1"/>
  <c r="I425" i="1" s="1"/>
  <c r="E425" i="1"/>
  <c r="F425" i="1" s="1"/>
  <c r="L425" i="1" s="1"/>
  <c r="I424" i="1"/>
  <c r="L424" i="1" s="1"/>
  <c r="H424" i="1"/>
  <c r="G424" i="1"/>
  <c r="E424" i="1"/>
  <c r="F424" i="1" s="1"/>
  <c r="H423" i="1"/>
  <c r="G423" i="1"/>
  <c r="I423" i="1" s="1"/>
  <c r="E423" i="1"/>
  <c r="I422" i="1"/>
  <c r="L422" i="1" s="1"/>
  <c r="H422" i="1"/>
  <c r="G422" i="1"/>
  <c r="E422" i="1"/>
  <c r="F422" i="1" s="1"/>
  <c r="H421" i="1"/>
  <c r="G421" i="1"/>
  <c r="I421" i="1" s="1"/>
  <c r="E421" i="1"/>
  <c r="H420" i="1"/>
  <c r="G420" i="1"/>
  <c r="I420" i="1" s="1"/>
  <c r="E420" i="1"/>
  <c r="F420" i="1" s="1"/>
  <c r="L420" i="1" s="1"/>
  <c r="H419" i="1"/>
  <c r="G419" i="1"/>
  <c r="I419" i="1" s="1"/>
  <c r="E419" i="1"/>
  <c r="F419" i="1" s="1"/>
  <c r="L419" i="1" s="1"/>
  <c r="I418" i="1"/>
  <c r="L418" i="1" s="1"/>
  <c r="H418" i="1"/>
  <c r="G418" i="1"/>
  <c r="F418" i="1"/>
  <c r="E418" i="1"/>
  <c r="H417" i="1"/>
  <c r="G417" i="1"/>
  <c r="I417" i="1" s="1"/>
  <c r="E417" i="1"/>
  <c r="L416" i="1"/>
  <c r="H416" i="1"/>
  <c r="G416" i="1"/>
  <c r="I416" i="1" s="1"/>
  <c r="E416" i="1"/>
  <c r="F416" i="1" s="1"/>
  <c r="H415" i="1"/>
  <c r="G415" i="1"/>
  <c r="I415" i="1" s="1"/>
  <c r="F415" i="1"/>
  <c r="L415" i="1" s="1"/>
  <c r="E415" i="1"/>
  <c r="H414" i="1"/>
  <c r="G414" i="1"/>
  <c r="I414" i="1" s="1"/>
  <c r="F414" i="1"/>
  <c r="E414" i="1"/>
  <c r="H413" i="1"/>
  <c r="G413" i="1"/>
  <c r="I413" i="1" s="1"/>
  <c r="E413" i="1"/>
  <c r="F413" i="1" s="1"/>
  <c r="L413" i="1" s="1"/>
  <c r="I412" i="1"/>
  <c r="L412" i="1" s="1"/>
  <c r="H412" i="1"/>
  <c r="G412" i="1"/>
  <c r="E412" i="1"/>
  <c r="F412" i="1" s="1"/>
  <c r="H411" i="1"/>
  <c r="G411" i="1"/>
  <c r="I411" i="1" s="1"/>
  <c r="E411" i="1"/>
  <c r="I410" i="1"/>
  <c r="H410" i="1"/>
  <c r="G410" i="1"/>
  <c r="E410" i="1"/>
  <c r="F410" i="1" s="1"/>
  <c r="L410" i="1" s="1"/>
  <c r="H409" i="1"/>
  <c r="G409" i="1"/>
  <c r="I409" i="1" s="1"/>
  <c r="E409" i="1"/>
  <c r="H408" i="1"/>
  <c r="G408" i="1"/>
  <c r="I408" i="1" s="1"/>
  <c r="E408" i="1"/>
  <c r="F408" i="1" s="1"/>
  <c r="L408" i="1" s="1"/>
  <c r="H407" i="1"/>
  <c r="G407" i="1"/>
  <c r="I407" i="1" s="1"/>
  <c r="E407" i="1"/>
  <c r="F407" i="1" s="1"/>
  <c r="L407" i="1" s="1"/>
  <c r="H406" i="1"/>
  <c r="I406" i="1" s="1"/>
  <c r="G406" i="1"/>
  <c r="E406" i="1"/>
  <c r="H405" i="1"/>
  <c r="G405" i="1"/>
  <c r="I405" i="1" s="1"/>
  <c r="E405" i="1"/>
  <c r="H404" i="1"/>
  <c r="G404" i="1"/>
  <c r="I404" i="1" s="1"/>
  <c r="L404" i="1" s="1"/>
  <c r="E404" i="1"/>
  <c r="F404" i="1" s="1"/>
  <c r="H403" i="1"/>
  <c r="G403" i="1"/>
  <c r="I403" i="1" s="1"/>
  <c r="F403" i="1"/>
  <c r="E403" i="1"/>
  <c r="H402" i="1"/>
  <c r="G402" i="1"/>
  <c r="I402" i="1" s="1"/>
  <c r="F402" i="1"/>
  <c r="E402" i="1"/>
  <c r="H401" i="1"/>
  <c r="G401" i="1"/>
  <c r="I401" i="1" s="1"/>
  <c r="E401" i="1"/>
  <c r="F401" i="1" s="1"/>
  <c r="L401" i="1" s="1"/>
  <c r="H400" i="1"/>
  <c r="G400" i="1"/>
  <c r="I400" i="1" s="1"/>
  <c r="L400" i="1" s="1"/>
  <c r="E400" i="1"/>
  <c r="F400" i="1" s="1"/>
  <c r="H399" i="1"/>
  <c r="G399" i="1"/>
  <c r="I399" i="1" s="1"/>
  <c r="E399" i="1"/>
  <c r="I398" i="1"/>
  <c r="H398" i="1"/>
  <c r="G398" i="1"/>
  <c r="E398" i="1"/>
  <c r="F398" i="1" s="1"/>
  <c r="L398" i="1" s="1"/>
  <c r="H397" i="1"/>
  <c r="G397" i="1"/>
  <c r="I397" i="1" s="1"/>
  <c r="E397" i="1"/>
  <c r="H396" i="1"/>
  <c r="G396" i="1"/>
  <c r="I396" i="1" s="1"/>
  <c r="E396" i="1"/>
  <c r="F396" i="1" s="1"/>
  <c r="L396" i="1" s="1"/>
  <c r="H395" i="1"/>
  <c r="G395" i="1"/>
  <c r="I395" i="1" s="1"/>
  <c r="E395" i="1"/>
  <c r="F395" i="1" s="1"/>
  <c r="L395" i="1" s="1"/>
  <c r="I394" i="1"/>
  <c r="H394" i="1"/>
  <c r="G394" i="1"/>
  <c r="E394" i="1"/>
  <c r="F394" i="1" s="1"/>
  <c r="L394" i="1" s="1"/>
  <c r="H393" i="1"/>
  <c r="G393" i="1"/>
  <c r="I393" i="1" s="1"/>
  <c r="E393" i="1"/>
  <c r="H392" i="1"/>
  <c r="G392" i="1"/>
  <c r="I392" i="1" s="1"/>
  <c r="L392" i="1" s="1"/>
  <c r="E392" i="1"/>
  <c r="F392" i="1" s="1"/>
  <c r="H391" i="1"/>
  <c r="G391" i="1"/>
  <c r="I391" i="1" s="1"/>
  <c r="F391" i="1"/>
  <c r="E391" i="1"/>
  <c r="H390" i="1"/>
  <c r="G390" i="1"/>
  <c r="I390" i="1" s="1"/>
  <c r="E390" i="1"/>
  <c r="H389" i="1"/>
  <c r="G389" i="1"/>
  <c r="I389" i="1" s="1"/>
  <c r="E389" i="1"/>
  <c r="F389" i="1" s="1"/>
  <c r="L389" i="1" s="1"/>
  <c r="I388" i="1"/>
  <c r="H388" i="1"/>
  <c r="G388" i="1"/>
  <c r="E388" i="1"/>
  <c r="F388" i="1" s="1"/>
  <c r="L388" i="1" s="1"/>
  <c r="H387" i="1"/>
  <c r="G387" i="1"/>
  <c r="I387" i="1" s="1"/>
  <c r="E387" i="1"/>
  <c r="I386" i="1"/>
  <c r="H386" i="1"/>
  <c r="G386" i="1"/>
  <c r="E386" i="1"/>
  <c r="F386" i="1" s="1"/>
  <c r="L386" i="1" s="1"/>
  <c r="H385" i="1"/>
  <c r="G385" i="1"/>
  <c r="I385" i="1" s="1"/>
  <c r="E385" i="1"/>
  <c r="H384" i="1"/>
  <c r="G384" i="1"/>
  <c r="E384" i="1"/>
  <c r="F384" i="1" s="1"/>
  <c r="L383" i="1"/>
  <c r="H383" i="1"/>
  <c r="G383" i="1"/>
  <c r="I383" i="1" s="1"/>
  <c r="E383" i="1"/>
  <c r="F383" i="1" s="1"/>
  <c r="I382" i="1"/>
  <c r="H382" i="1"/>
  <c r="G382" i="1"/>
  <c r="E382" i="1"/>
  <c r="H381" i="1"/>
  <c r="G381" i="1"/>
  <c r="I381" i="1" s="1"/>
  <c r="E381" i="1"/>
  <c r="L380" i="1"/>
  <c r="H380" i="1"/>
  <c r="G380" i="1"/>
  <c r="I380" i="1" s="1"/>
  <c r="E380" i="1"/>
  <c r="F380" i="1" s="1"/>
  <c r="L379" i="1"/>
  <c r="P379" i="1" s="1"/>
  <c r="Q379" i="1" s="1"/>
  <c r="R379" i="1" s="1"/>
  <c r="H379" i="1"/>
  <c r="G379" i="1"/>
  <c r="I379" i="1" s="1"/>
  <c r="F379" i="1"/>
  <c r="E379" i="1"/>
  <c r="H378" i="1"/>
  <c r="G378" i="1"/>
  <c r="I378" i="1" s="1"/>
  <c r="F378" i="1"/>
  <c r="E378" i="1"/>
  <c r="M377" i="1"/>
  <c r="N377" i="1" s="1"/>
  <c r="O377" i="1" s="1"/>
  <c r="H377" i="1"/>
  <c r="G377" i="1"/>
  <c r="I377" i="1" s="1"/>
  <c r="E377" i="1"/>
  <c r="F377" i="1" s="1"/>
  <c r="L377" i="1" s="1"/>
  <c r="P377" i="1" s="1"/>
  <c r="Q377" i="1" s="1"/>
  <c r="R377" i="1" s="1"/>
  <c r="H376" i="1"/>
  <c r="G376" i="1"/>
  <c r="I376" i="1" s="1"/>
  <c r="E376" i="1"/>
  <c r="F376" i="1" s="1"/>
  <c r="L376" i="1" s="1"/>
  <c r="H375" i="1"/>
  <c r="G375" i="1"/>
  <c r="E375" i="1"/>
  <c r="I374" i="1"/>
  <c r="H374" i="1"/>
  <c r="G374" i="1"/>
  <c r="E374" i="1"/>
  <c r="F374" i="1" s="1"/>
  <c r="L373" i="1"/>
  <c r="H373" i="1"/>
  <c r="G373" i="1"/>
  <c r="I373" i="1" s="1"/>
  <c r="E373" i="1"/>
  <c r="F373" i="1" s="1"/>
  <c r="H372" i="1"/>
  <c r="G372" i="1"/>
  <c r="I372" i="1" s="1"/>
  <c r="E372" i="1"/>
  <c r="F372" i="1" s="1"/>
  <c r="L372" i="1" s="1"/>
  <c r="L371" i="1"/>
  <c r="P371" i="1" s="1"/>
  <c r="Q371" i="1" s="1"/>
  <c r="R371" i="1" s="1"/>
  <c r="H371" i="1"/>
  <c r="G371" i="1"/>
  <c r="I371" i="1" s="1"/>
  <c r="E371" i="1"/>
  <c r="F371" i="1" s="1"/>
  <c r="H370" i="1"/>
  <c r="G370" i="1"/>
  <c r="E370" i="1"/>
  <c r="H369" i="1"/>
  <c r="G369" i="1"/>
  <c r="I369" i="1" s="1"/>
  <c r="F369" i="1"/>
  <c r="E369" i="1"/>
  <c r="H368" i="1"/>
  <c r="G368" i="1"/>
  <c r="I368" i="1" s="1"/>
  <c r="L368" i="1" s="1"/>
  <c r="E368" i="1"/>
  <c r="F368" i="1" s="1"/>
  <c r="I367" i="1"/>
  <c r="L367" i="1" s="1"/>
  <c r="H367" i="1"/>
  <c r="G367" i="1"/>
  <c r="F367" i="1"/>
  <c r="E367" i="1"/>
  <c r="H366" i="1"/>
  <c r="G366" i="1"/>
  <c r="I366" i="1" s="1"/>
  <c r="E366" i="1"/>
  <c r="L365" i="1"/>
  <c r="H365" i="1"/>
  <c r="G365" i="1"/>
  <c r="I365" i="1" s="1"/>
  <c r="E365" i="1"/>
  <c r="F365" i="1" s="1"/>
  <c r="H364" i="1"/>
  <c r="I364" i="1" s="1"/>
  <c r="G364" i="1"/>
  <c r="E364" i="1"/>
  <c r="H363" i="1"/>
  <c r="G363" i="1"/>
  <c r="E363" i="1"/>
  <c r="H362" i="1"/>
  <c r="G362" i="1"/>
  <c r="I362" i="1" s="1"/>
  <c r="E362" i="1"/>
  <c r="F362" i="1" s="1"/>
  <c r="L362" i="1" s="1"/>
  <c r="I361" i="1"/>
  <c r="H361" i="1"/>
  <c r="G361" i="1"/>
  <c r="E361" i="1"/>
  <c r="F361" i="1" s="1"/>
  <c r="L361" i="1" s="1"/>
  <c r="M361" i="1" s="1"/>
  <c r="N361" i="1" s="1"/>
  <c r="O361" i="1" s="1"/>
  <c r="I360" i="1"/>
  <c r="L360" i="1" s="1"/>
  <c r="H360" i="1"/>
  <c r="G360" i="1"/>
  <c r="F360" i="1"/>
  <c r="E360" i="1"/>
  <c r="H359" i="1"/>
  <c r="G359" i="1"/>
  <c r="I359" i="1" s="1"/>
  <c r="L359" i="1" s="1"/>
  <c r="E359" i="1"/>
  <c r="F359" i="1" s="1"/>
  <c r="H358" i="1"/>
  <c r="G358" i="1"/>
  <c r="I358" i="1" s="1"/>
  <c r="F358" i="1"/>
  <c r="L358" i="1" s="1"/>
  <c r="E358" i="1"/>
  <c r="M357" i="1"/>
  <c r="N357" i="1" s="1"/>
  <c r="O357" i="1" s="1"/>
  <c r="I357" i="1"/>
  <c r="H357" i="1"/>
  <c r="G357" i="1"/>
  <c r="E357" i="1"/>
  <c r="F357" i="1" s="1"/>
  <c r="L357" i="1" s="1"/>
  <c r="P357" i="1" s="1"/>
  <c r="Q357" i="1" s="1"/>
  <c r="R357" i="1" s="1"/>
  <c r="H356" i="1"/>
  <c r="G356" i="1"/>
  <c r="E356" i="1"/>
  <c r="H355" i="1"/>
  <c r="I355" i="1" s="1"/>
  <c r="G355" i="1"/>
  <c r="E355" i="1"/>
  <c r="H354" i="1"/>
  <c r="G354" i="1"/>
  <c r="I354" i="1" s="1"/>
  <c r="E354" i="1"/>
  <c r="H353" i="1"/>
  <c r="G353" i="1"/>
  <c r="I353" i="1" s="1"/>
  <c r="E353" i="1"/>
  <c r="H352" i="1"/>
  <c r="G352" i="1"/>
  <c r="I352" i="1" s="1"/>
  <c r="F352" i="1"/>
  <c r="E352" i="1"/>
  <c r="H351" i="1"/>
  <c r="G351" i="1"/>
  <c r="I351" i="1" s="1"/>
  <c r="E351" i="1"/>
  <c r="H350" i="1"/>
  <c r="G350" i="1"/>
  <c r="I350" i="1" s="1"/>
  <c r="E350" i="1"/>
  <c r="F350" i="1" s="1"/>
  <c r="L350" i="1" s="1"/>
  <c r="M350" i="1" s="1"/>
  <c r="N350" i="1" s="1"/>
  <c r="O350" i="1" s="1"/>
  <c r="I349" i="1"/>
  <c r="L349" i="1" s="1"/>
  <c r="H349" i="1"/>
  <c r="G349" i="1"/>
  <c r="E349" i="1"/>
  <c r="F349" i="1" s="1"/>
  <c r="H348" i="1"/>
  <c r="I348" i="1" s="1"/>
  <c r="L348" i="1" s="1"/>
  <c r="G348" i="1"/>
  <c r="F348" i="1"/>
  <c r="E348" i="1"/>
  <c r="H347" i="1"/>
  <c r="I347" i="1" s="1"/>
  <c r="G347" i="1"/>
  <c r="E347" i="1"/>
  <c r="F347" i="1" s="1"/>
  <c r="L346" i="1"/>
  <c r="P346" i="1" s="1"/>
  <c r="Q346" i="1" s="1"/>
  <c r="R346" i="1" s="1"/>
  <c r="H346" i="1"/>
  <c r="G346" i="1"/>
  <c r="I346" i="1" s="1"/>
  <c r="F346" i="1"/>
  <c r="E346" i="1"/>
  <c r="I345" i="1"/>
  <c r="H345" i="1"/>
  <c r="G345" i="1"/>
  <c r="E345" i="1"/>
  <c r="H344" i="1"/>
  <c r="G344" i="1"/>
  <c r="I344" i="1" s="1"/>
  <c r="E344" i="1"/>
  <c r="H343" i="1"/>
  <c r="G343" i="1"/>
  <c r="I343" i="1" s="1"/>
  <c r="F343" i="1"/>
  <c r="E343" i="1"/>
  <c r="H342" i="1"/>
  <c r="G342" i="1"/>
  <c r="I342" i="1" s="1"/>
  <c r="E342" i="1"/>
  <c r="H341" i="1"/>
  <c r="G341" i="1"/>
  <c r="I341" i="1" s="1"/>
  <c r="F341" i="1"/>
  <c r="E341" i="1"/>
  <c r="H340" i="1"/>
  <c r="G340" i="1"/>
  <c r="I340" i="1" s="1"/>
  <c r="E340" i="1"/>
  <c r="H339" i="1"/>
  <c r="G339" i="1"/>
  <c r="I339" i="1" s="1"/>
  <c r="E339" i="1"/>
  <c r="L338" i="1"/>
  <c r="M338" i="1" s="1"/>
  <c r="N338" i="1" s="1"/>
  <c r="O338" i="1" s="1"/>
  <c r="H338" i="1"/>
  <c r="G338" i="1"/>
  <c r="I338" i="1" s="1"/>
  <c r="E338" i="1"/>
  <c r="F338" i="1" s="1"/>
  <c r="I337" i="1"/>
  <c r="H337" i="1"/>
  <c r="G337" i="1"/>
  <c r="E337" i="1"/>
  <c r="F337" i="1" s="1"/>
  <c r="L337" i="1" s="1"/>
  <c r="H336" i="1"/>
  <c r="I336" i="1" s="1"/>
  <c r="L336" i="1" s="1"/>
  <c r="G336" i="1"/>
  <c r="F336" i="1"/>
  <c r="E336" i="1"/>
  <c r="H335" i="1"/>
  <c r="G335" i="1"/>
  <c r="I335" i="1" s="1"/>
  <c r="E335" i="1"/>
  <c r="F335" i="1" s="1"/>
  <c r="L335" i="1" s="1"/>
  <c r="I334" i="1"/>
  <c r="L334" i="1" s="1"/>
  <c r="H334" i="1"/>
  <c r="G334" i="1"/>
  <c r="F334" i="1"/>
  <c r="E334" i="1"/>
  <c r="H333" i="1"/>
  <c r="G333" i="1"/>
  <c r="I333" i="1" s="1"/>
  <c r="E333" i="1"/>
  <c r="I332" i="1"/>
  <c r="H332" i="1"/>
  <c r="G332" i="1"/>
  <c r="E332" i="1"/>
  <c r="F332" i="1" s="1"/>
  <c r="L332" i="1" s="1"/>
  <c r="H331" i="1"/>
  <c r="G331" i="1"/>
  <c r="E331" i="1"/>
  <c r="H330" i="1"/>
  <c r="G330" i="1"/>
  <c r="E330" i="1"/>
  <c r="H329" i="1"/>
  <c r="G329" i="1"/>
  <c r="I329" i="1" s="1"/>
  <c r="F329" i="1"/>
  <c r="E329" i="1"/>
  <c r="H328" i="1"/>
  <c r="G328" i="1"/>
  <c r="I328" i="1" s="1"/>
  <c r="E328" i="1"/>
  <c r="H327" i="1"/>
  <c r="G327" i="1"/>
  <c r="I327" i="1" s="1"/>
  <c r="E327" i="1"/>
  <c r="H326" i="1"/>
  <c r="G326" i="1"/>
  <c r="I326" i="1" s="1"/>
  <c r="E326" i="1"/>
  <c r="F326" i="1" s="1"/>
  <c r="L326" i="1" s="1"/>
  <c r="I325" i="1"/>
  <c r="H325" i="1"/>
  <c r="G325" i="1"/>
  <c r="E325" i="1"/>
  <c r="F325" i="1" s="1"/>
  <c r="P324" i="1"/>
  <c r="Q324" i="1" s="1"/>
  <c r="R324" i="1" s="1"/>
  <c r="O324" i="1"/>
  <c r="H324" i="1"/>
  <c r="I324" i="1" s="1"/>
  <c r="L324" i="1" s="1"/>
  <c r="M324" i="1" s="1"/>
  <c r="N324" i="1" s="1"/>
  <c r="G324" i="1"/>
  <c r="F324" i="1"/>
  <c r="E324" i="1"/>
  <c r="L323" i="1"/>
  <c r="I323" i="1"/>
  <c r="H323" i="1"/>
  <c r="G323" i="1"/>
  <c r="E323" i="1"/>
  <c r="F323" i="1" s="1"/>
  <c r="I322" i="1"/>
  <c r="H322" i="1"/>
  <c r="G322" i="1"/>
  <c r="F322" i="1"/>
  <c r="E322" i="1"/>
  <c r="H321" i="1"/>
  <c r="G321" i="1"/>
  <c r="I321" i="1" s="1"/>
  <c r="E321" i="1"/>
  <c r="H320" i="1"/>
  <c r="G320" i="1"/>
  <c r="I320" i="1" s="1"/>
  <c r="F320" i="1"/>
  <c r="E320" i="1"/>
  <c r="L320" i="1" s="1"/>
  <c r="H319" i="1"/>
  <c r="G319" i="1"/>
  <c r="I319" i="1" s="1"/>
  <c r="E319" i="1"/>
  <c r="H318" i="1"/>
  <c r="G318" i="1"/>
  <c r="I318" i="1" s="1"/>
  <c r="F318" i="1"/>
  <c r="E318" i="1"/>
  <c r="H317" i="1"/>
  <c r="G317" i="1"/>
  <c r="I317" i="1" s="1"/>
  <c r="F317" i="1"/>
  <c r="E317" i="1"/>
  <c r="H316" i="1"/>
  <c r="G316" i="1"/>
  <c r="I316" i="1" s="1"/>
  <c r="E316" i="1"/>
  <c r="H315" i="1"/>
  <c r="G315" i="1"/>
  <c r="I315" i="1" s="1"/>
  <c r="E315" i="1"/>
  <c r="H314" i="1"/>
  <c r="G314" i="1"/>
  <c r="I314" i="1" s="1"/>
  <c r="E314" i="1"/>
  <c r="I313" i="1"/>
  <c r="H313" i="1"/>
  <c r="G313" i="1"/>
  <c r="E313" i="1"/>
  <c r="F313" i="1" s="1"/>
  <c r="L313" i="1" s="1"/>
  <c r="L312" i="1"/>
  <c r="P312" i="1" s="1"/>
  <c r="Q312" i="1" s="1"/>
  <c r="R312" i="1" s="1"/>
  <c r="H312" i="1"/>
  <c r="I312" i="1" s="1"/>
  <c r="G312" i="1"/>
  <c r="F312" i="1"/>
  <c r="E312" i="1"/>
  <c r="H311" i="1"/>
  <c r="I311" i="1" s="1"/>
  <c r="L311" i="1" s="1"/>
  <c r="G311" i="1"/>
  <c r="E311" i="1"/>
  <c r="F311" i="1" s="1"/>
  <c r="H310" i="1"/>
  <c r="I310" i="1" s="1"/>
  <c r="G310" i="1"/>
  <c r="F310" i="1"/>
  <c r="E310" i="1"/>
  <c r="H309" i="1"/>
  <c r="G309" i="1"/>
  <c r="I309" i="1" s="1"/>
  <c r="E309" i="1"/>
  <c r="H308" i="1"/>
  <c r="G308" i="1"/>
  <c r="I308" i="1" s="1"/>
  <c r="E308" i="1"/>
  <c r="F308" i="1" s="1"/>
  <c r="L308" i="1" s="1"/>
  <c r="H307" i="1"/>
  <c r="G307" i="1"/>
  <c r="I307" i="1" s="1"/>
  <c r="E307" i="1"/>
  <c r="I306" i="1"/>
  <c r="H306" i="1"/>
  <c r="G306" i="1"/>
  <c r="E306" i="1"/>
  <c r="H305" i="1"/>
  <c r="G305" i="1"/>
  <c r="I305" i="1" s="1"/>
  <c r="E305" i="1"/>
  <c r="H304" i="1"/>
  <c r="G304" i="1"/>
  <c r="I304" i="1" s="1"/>
  <c r="E304" i="1"/>
  <c r="H303" i="1"/>
  <c r="G303" i="1"/>
  <c r="I303" i="1" s="1"/>
  <c r="E303" i="1"/>
  <c r="H302" i="1"/>
  <c r="G302" i="1"/>
  <c r="I302" i="1" s="1"/>
  <c r="L302" i="1" s="1"/>
  <c r="P302" i="1" s="1"/>
  <c r="Q302" i="1" s="1"/>
  <c r="R302" i="1" s="1"/>
  <c r="E302" i="1"/>
  <c r="F302" i="1" s="1"/>
  <c r="M301" i="1"/>
  <c r="N301" i="1" s="1"/>
  <c r="O301" i="1" s="1"/>
  <c r="I301" i="1"/>
  <c r="H301" i="1"/>
  <c r="G301" i="1"/>
  <c r="E301" i="1"/>
  <c r="F301" i="1" s="1"/>
  <c r="L301" i="1" s="1"/>
  <c r="P301" i="1" s="1"/>
  <c r="Q301" i="1" s="1"/>
  <c r="R301" i="1" s="1"/>
  <c r="H300" i="1"/>
  <c r="I300" i="1" s="1"/>
  <c r="L300" i="1" s="1"/>
  <c r="G300" i="1"/>
  <c r="F300" i="1"/>
  <c r="E300" i="1"/>
  <c r="H299" i="1"/>
  <c r="G299" i="1"/>
  <c r="I299" i="1" s="1"/>
  <c r="E299" i="1"/>
  <c r="F299" i="1" s="1"/>
  <c r="L299" i="1" s="1"/>
  <c r="M299" i="1" s="1"/>
  <c r="N299" i="1" s="1"/>
  <c r="O299" i="1" s="1"/>
  <c r="I298" i="1"/>
  <c r="L298" i="1" s="1"/>
  <c r="H298" i="1"/>
  <c r="G298" i="1"/>
  <c r="F298" i="1"/>
  <c r="E298" i="1"/>
  <c r="H297" i="1"/>
  <c r="G297" i="1"/>
  <c r="I297" i="1" s="1"/>
  <c r="F297" i="1"/>
  <c r="E297" i="1"/>
  <c r="H296" i="1"/>
  <c r="G296" i="1"/>
  <c r="I296" i="1" s="1"/>
  <c r="E296" i="1"/>
  <c r="H295" i="1"/>
  <c r="I295" i="1" s="1"/>
  <c r="G295" i="1"/>
  <c r="E295" i="1"/>
  <c r="F295" i="1" s="1"/>
  <c r="H294" i="1"/>
  <c r="G294" i="1"/>
  <c r="I294" i="1" s="1"/>
  <c r="E294" i="1"/>
  <c r="H293" i="1"/>
  <c r="G293" i="1"/>
  <c r="I293" i="1" s="1"/>
  <c r="E293" i="1"/>
  <c r="H292" i="1"/>
  <c r="G292" i="1"/>
  <c r="I292" i="1" s="1"/>
  <c r="E292" i="1"/>
  <c r="H291" i="1"/>
  <c r="G291" i="1"/>
  <c r="I291" i="1" s="1"/>
  <c r="E291" i="1"/>
  <c r="H290" i="1"/>
  <c r="G290" i="1"/>
  <c r="I290" i="1" s="1"/>
  <c r="E290" i="1"/>
  <c r="P289" i="1"/>
  <c r="Q289" i="1" s="1"/>
  <c r="R289" i="1" s="1"/>
  <c r="L289" i="1"/>
  <c r="M289" i="1" s="1"/>
  <c r="N289" i="1" s="1"/>
  <c r="O289" i="1" s="1"/>
  <c r="I289" i="1"/>
  <c r="H289" i="1"/>
  <c r="G289" i="1"/>
  <c r="E289" i="1"/>
  <c r="F289" i="1" s="1"/>
  <c r="P288" i="1"/>
  <c r="Q288" i="1" s="1"/>
  <c r="R288" i="1" s="1"/>
  <c r="H288" i="1"/>
  <c r="I288" i="1" s="1"/>
  <c r="L288" i="1" s="1"/>
  <c r="M288" i="1" s="1"/>
  <c r="N288" i="1" s="1"/>
  <c r="O288" i="1" s="1"/>
  <c r="G288" i="1"/>
  <c r="F288" i="1"/>
  <c r="E288" i="1"/>
  <c r="P287" i="1"/>
  <c r="Q287" i="1" s="1"/>
  <c r="R287" i="1" s="1"/>
  <c r="H287" i="1"/>
  <c r="G287" i="1"/>
  <c r="I287" i="1" s="1"/>
  <c r="L287" i="1" s="1"/>
  <c r="M287" i="1" s="1"/>
  <c r="N287" i="1" s="1"/>
  <c r="O287" i="1" s="1"/>
  <c r="E287" i="1"/>
  <c r="F287" i="1" s="1"/>
  <c r="H286" i="1"/>
  <c r="I286" i="1" s="1"/>
  <c r="G286" i="1"/>
  <c r="F286" i="1"/>
  <c r="L286" i="1" s="1"/>
  <c r="E286" i="1"/>
  <c r="H285" i="1"/>
  <c r="G285" i="1"/>
  <c r="I285" i="1" s="1"/>
  <c r="E285" i="1"/>
  <c r="I284" i="1"/>
  <c r="H284" i="1"/>
  <c r="G284" i="1"/>
  <c r="E284" i="1"/>
  <c r="F284" i="1" s="1"/>
  <c r="L284" i="1" s="1"/>
  <c r="H283" i="1"/>
  <c r="I283" i="1" s="1"/>
  <c r="G283" i="1"/>
  <c r="E283" i="1"/>
  <c r="F283" i="1" s="1"/>
  <c r="H282" i="1"/>
  <c r="G282" i="1"/>
  <c r="I282" i="1" s="1"/>
  <c r="E282" i="1"/>
  <c r="I281" i="1"/>
  <c r="H281" i="1"/>
  <c r="G281" i="1"/>
  <c r="E281" i="1"/>
  <c r="H280" i="1"/>
  <c r="G280" i="1"/>
  <c r="I280" i="1" s="1"/>
  <c r="E280" i="1"/>
  <c r="H279" i="1"/>
  <c r="G279" i="1"/>
  <c r="I279" i="1" s="1"/>
  <c r="E279" i="1"/>
  <c r="H278" i="1"/>
  <c r="G278" i="1"/>
  <c r="I278" i="1" s="1"/>
  <c r="E278" i="1"/>
  <c r="I277" i="1"/>
  <c r="H277" i="1"/>
  <c r="G277" i="1"/>
  <c r="E277" i="1"/>
  <c r="F277" i="1" s="1"/>
  <c r="I276" i="1"/>
  <c r="L276" i="1" s="1"/>
  <c r="H276" i="1"/>
  <c r="G276" i="1"/>
  <c r="F276" i="1"/>
  <c r="E276" i="1"/>
  <c r="I275" i="1"/>
  <c r="L275" i="1" s="1"/>
  <c r="H275" i="1"/>
  <c r="G275" i="1"/>
  <c r="E275" i="1"/>
  <c r="F275" i="1" s="1"/>
  <c r="H274" i="1"/>
  <c r="I274" i="1" s="1"/>
  <c r="G274" i="1"/>
  <c r="F274" i="1"/>
  <c r="L274" i="1" s="1"/>
  <c r="E274" i="1"/>
  <c r="H273" i="1"/>
  <c r="G273" i="1"/>
  <c r="E273" i="1"/>
  <c r="H272" i="1"/>
  <c r="G272" i="1"/>
  <c r="I272" i="1" s="1"/>
  <c r="E272" i="1"/>
  <c r="F272" i="1" s="1"/>
  <c r="L272" i="1" s="1"/>
  <c r="L271" i="1"/>
  <c r="H271" i="1"/>
  <c r="G271" i="1"/>
  <c r="I271" i="1" s="1"/>
  <c r="F271" i="1"/>
  <c r="E271" i="1"/>
  <c r="H270" i="1"/>
  <c r="G270" i="1"/>
  <c r="I270" i="1" s="1"/>
  <c r="F270" i="1"/>
  <c r="E270" i="1"/>
  <c r="H269" i="1"/>
  <c r="G269" i="1"/>
  <c r="I269" i="1" s="1"/>
  <c r="E269" i="1"/>
  <c r="H268" i="1"/>
  <c r="G268" i="1"/>
  <c r="F268" i="1"/>
  <c r="E268" i="1"/>
  <c r="H267" i="1"/>
  <c r="G267" i="1"/>
  <c r="I267" i="1" s="1"/>
  <c r="F267" i="1"/>
  <c r="E267" i="1"/>
  <c r="H266" i="1"/>
  <c r="G266" i="1"/>
  <c r="I266" i="1" s="1"/>
  <c r="F266" i="1"/>
  <c r="E266" i="1"/>
  <c r="I265" i="1"/>
  <c r="H265" i="1"/>
  <c r="G265" i="1"/>
  <c r="E265" i="1"/>
  <c r="H264" i="1"/>
  <c r="I264" i="1" s="1"/>
  <c r="L264" i="1" s="1"/>
  <c r="P264" i="1" s="1"/>
  <c r="Q264" i="1" s="1"/>
  <c r="R264" i="1" s="1"/>
  <c r="G264" i="1"/>
  <c r="F264" i="1"/>
  <c r="E264" i="1"/>
  <c r="I263" i="1"/>
  <c r="L263" i="1" s="1"/>
  <c r="M263" i="1" s="1"/>
  <c r="N263" i="1" s="1"/>
  <c r="O263" i="1" s="1"/>
  <c r="H263" i="1"/>
  <c r="G263" i="1"/>
  <c r="E263" i="1"/>
  <c r="F263" i="1" s="1"/>
  <c r="H262" i="1"/>
  <c r="G262" i="1"/>
  <c r="I262" i="1" s="1"/>
  <c r="F262" i="1"/>
  <c r="L262" i="1" s="1"/>
  <c r="E262" i="1"/>
  <c r="H261" i="1"/>
  <c r="G261" i="1"/>
  <c r="I261" i="1" s="1"/>
  <c r="E261" i="1"/>
  <c r="F261" i="1" s="1"/>
  <c r="H260" i="1"/>
  <c r="G260" i="1"/>
  <c r="I260" i="1" s="1"/>
  <c r="E260" i="1"/>
  <c r="R259" i="1"/>
  <c r="M259" i="1"/>
  <c r="N259" i="1" s="1"/>
  <c r="O259" i="1" s="1"/>
  <c r="I259" i="1"/>
  <c r="L259" i="1" s="1"/>
  <c r="P259" i="1" s="1"/>
  <c r="Q259" i="1" s="1"/>
  <c r="H259" i="1"/>
  <c r="G259" i="1"/>
  <c r="E259" i="1"/>
  <c r="F259" i="1" s="1"/>
  <c r="H258" i="1"/>
  <c r="G258" i="1"/>
  <c r="I258" i="1" s="1"/>
  <c r="E258" i="1"/>
  <c r="H257" i="1"/>
  <c r="G257" i="1"/>
  <c r="E257" i="1"/>
  <c r="H256" i="1"/>
  <c r="G256" i="1"/>
  <c r="I256" i="1" s="1"/>
  <c r="E256" i="1"/>
  <c r="H255" i="1"/>
  <c r="G255" i="1"/>
  <c r="E255" i="1"/>
  <c r="F255" i="1" s="1"/>
  <c r="P254" i="1"/>
  <c r="Q254" i="1" s="1"/>
  <c r="R254" i="1" s="1"/>
  <c r="L254" i="1"/>
  <c r="M254" i="1" s="1"/>
  <c r="N254" i="1" s="1"/>
  <c r="O254" i="1" s="1"/>
  <c r="H254" i="1"/>
  <c r="G254" i="1"/>
  <c r="I254" i="1" s="1"/>
  <c r="F254" i="1"/>
  <c r="E254" i="1"/>
  <c r="H253" i="1"/>
  <c r="G253" i="1"/>
  <c r="I253" i="1" s="1"/>
  <c r="E253" i="1"/>
  <c r="H252" i="1"/>
  <c r="G252" i="1"/>
  <c r="I252" i="1" s="1"/>
  <c r="E252" i="1"/>
  <c r="H251" i="1"/>
  <c r="G251" i="1"/>
  <c r="I251" i="1" s="1"/>
  <c r="F251" i="1"/>
  <c r="E251" i="1"/>
  <c r="H250" i="1"/>
  <c r="G250" i="1"/>
  <c r="I250" i="1" s="1"/>
  <c r="E250" i="1"/>
  <c r="H249" i="1"/>
  <c r="G249" i="1"/>
  <c r="I249" i="1" s="1"/>
  <c r="E249" i="1"/>
  <c r="H248" i="1"/>
  <c r="G248" i="1"/>
  <c r="I248" i="1" s="1"/>
  <c r="F248" i="1"/>
  <c r="E248" i="1"/>
  <c r="H247" i="1"/>
  <c r="G247" i="1"/>
  <c r="I247" i="1" s="1"/>
  <c r="E247" i="1"/>
  <c r="F247" i="1" s="1"/>
  <c r="L246" i="1"/>
  <c r="I246" i="1"/>
  <c r="H246" i="1"/>
  <c r="G246" i="1"/>
  <c r="E246" i="1"/>
  <c r="F246" i="1" s="1"/>
  <c r="P245" i="1"/>
  <c r="Q245" i="1" s="1"/>
  <c r="R245" i="1" s="1"/>
  <c r="O245" i="1"/>
  <c r="H245" i="1"/>
  <c r="I245" i="1" s="1"/>
  <c r="G245" i="1"/>
  <c r="E245" i="1"/>
  <c r="F245" i="1" s="1"/>
  <c r="L245" i="1" s="1"/>
  <c r="M245" i="1" s="1"/>
  <c r="N245" i="1" s="1"/>
  <c r="I244" i="1"/>
  <c r="L244" i="1" s="1"/>
  <c r="M244" i="1" s="1"/>
  <c r="N244" i="1" s="1"/>
  <c r="O244" i="1" s="1"/>
  <c r="H244" i="1"/>
  <c r="G244" i="1"/>
  <c r="E244" i="1"/>
  <c r="F244" i="1" s="1"/>
  <c r="H243" i="1"/>
  <c r="G243" i="1"/>
  <c r="I243" i="1" s="1"/>
  <c r="L243" i="1" s="1"/>
  <c r="F243" i="1"/>
  <c r="E243" i="1"/>
  <c r="H242" i="1"/>
  <c r="G242" i="1"/>
  <c r="I242" i="1" s="1"/>
  <c r="F242" i="1"/>
  <c r="E242" i="1"/>
  <c r="L242" i="1" s="1"/>
  <c r="L241" i="1"/>
  <c r="H241" i="1"/>
  <c r="G241" i="1"/>
  <c r="I241" i="1" s="1"/>
  <c r="F241" i="1"/>
  <c r="E241" i="1"/>
  <c r="I240" i="1"/>
  <c r="L240" i="1" s="1"/>
  <c r="H240" i="1"/>
  <c r="G240" i="1"/>
  <c r="F240" i="1"/>
  <c r="E240" i="1"/>
  <c r="H239" i="1"/>
  <c r="G239" i="1"/>
  <c r="E239" i="1"/>
  <c r="F239" i="1" s="1"/>
  <c r="H238" i="1"/>
  <c r="G238" i="1"/>
  <c r="I238" i="1" s="1"/>
  <c r="F238" i="1"/>
  <c r="E238" i="1"/>
  <c r="H237" i="1"/>
  <c r="G237" i="1"/>
  <c r="I237" i="1" s="1"/>
  <c r="F237" i="1"/>
  <c r="E237" i="1"/>
  <c r="H236" i="1"/>
  <c r="G236" i="1"/>
  <c r="I236" i="1" s="1"/>
  <c r="E236" i="1"/>
  <c r="H235" i="1"/>
  <c r="G235" i="1"/>
  <c r="I235" i="1" s="1"/>
  <c r="F235" i="1"/>
  <c r="E235" i="1"/>
  <c r="I234" i="1"/>
  <c r="H234" i="1"/>
  <c r="G234" i="1"/>
  <c r="E234" i="1"/>
  <c r="H233" i="1"/>
  <c r="I233" i="1" s="1"/>
  <c r="G233" i="1"/>
  <c r="E233" i="1"/>
  <c r="F233" i="1" s="1"/>
  <c r="I232" i="1"/>
  <c r="L232" i="1" s="1"/>
  <c r="H232" i="1"/>
  <c r="G232" i="1"/>
  <c r="E232" i="1"/>
  <c r="F232" i="1" s="1"/>
  <c r="H231" i="1"/>
  <c r="G231" i="1"/>
  <c r="I231" i="1" s="1"/>
  <c r="L231" i="1" s="1"/>
  <c r="F231" i="1"/>
  <c r="E231" i="1"/>
  <c r="H230" i="1"/>
  <c r="G230" i="1"/>
  <c r="I230" i="1" s="1"/>
  <c r="E230" i="1"/>
  <c r="H229" i="1"/>
  <c r="G229" i="1"/>
  <c r="I229" i="1" s="1"/>
  <c r="F229" i="1"/>
  <c r="L229" i="1" s="1"/>
  <c r="E229" i="1"/>
  <c r="H228" i="1"/>
  <c r="G228" i="1"/>
  <c r="I228" i="1" s="1"/>
  <c r="F228" i="1"/>
  <c r="L228" i="1" s="1"/>
  <c r="E228" i="1"/>
  <c r="H227" i="1"/>
  <c r="G227" i="1"/>
  <c r="I227" i="1" s="1"/>
  <c r="E227" i="1"/>
  <c r="H226" i="1"/>
  <c r="G226" i="1"/>
  <c r="I226" i="1" s="1"/>
  <c r="F226" i="1"/>
  <c r="E226" i="1"/>
  <c r="H225" i="1"/>
  <c r="G225" i="1"/>
  <c r="F225" i="1"/>
  <c r="E225" i="1"/>
  <c r="H224" i="1"/>
  <c r="G224" i="1"/>
  <c r="I224" i="1" s="1"/>
  <c r="E224" i="1"/>
  <c r="H223" i="1"/>
  <c r="G223" i="1"/>
  <c r="I223" i="1" s="1"/>
  <c r="E223" i="1"/>
  <c r="H222" i="1"/>
  <c r="G222" i="1"/>
  <c r="I222" i="1" s="1"/>
  <c r="E222" i="1"/>
  <c r="H221" i="1"/>
  <c r="G221" i="1"/>
  <c r="I221" i="1" s="1"/>
  <c r="E221" i="1"/>
  <c r="H220" i="1"/>
  <c r="G220" i="1"/>
  <c r="I220" i="1" s="1"/>
  <c r="E220" i="1"/>
  <c r="H219" i="1"/>
  <c r="G219" i="1"/>
  <c r="I219" i="1" s="1"/>
  <c r="F219" i="1"/>
  <c r="E219" i="1"/>
  <c r="H218" i="1"/>
  <c r="G218" i="1"/>
  <c r="I218" i="1" s="1"/>
  <c r="F218" i="1"/>
  <c r="E218" i="1"/>
  <c r="H217" i="1"/>
  <c r="G217" i="1"/>
  <c r="I217" i="1" s="1"/>
  <c r="F217" i="1"/>
  <c r="E217" i="1"/>
  <c r="H216" i="1"/>
  <c r="G216" i="1"/>
  <c r="I216" i="1" s="1"/>
  <c r="E216" i="1"/>
  <c r="H215" i="1"/>
  <c r="G215" i="1"/>
  <c r="I215" i="1" s="1"/>
  <c r="E215" i="1"/>
  <c r="H214" i="1"/>
  <c r="G214" i="1"/>
  <c r="I214" i="1" s="1"/>
  <c r="E214" i="1"/>
  <c r="H213" i="1"/>
  <c r="G213" i="1"/>
  <c r="I213" i="1" s="1"/>
  <c r="E213" i="1"/>
  <c r="H212" i="1"/>
  <c r="G212" i="1"/>
  <c r="I212" i="1" s="1"/>
  <c r="E212" i="1"/>
  <c r="H211" i="1"/>
  <c r="G211" i="1"/>
  <c r="I211" i="1" s="1"/>
  <c r="E211" i="1"/>
  <c r="H210" i="1"/>
  <c r="G210" i="1"/>
  <c r="I210" i="1" s="1"/>
  <c r="E210" i="1"/>
  <c r="H209" i="1"/>
  <c r="G209" i="1"/>
  <c r="I209" i="1" s="1"/>
  <c r="E209" i="1"/>
  <c r="H208" i="1"/>
  <c r="G208" i="1"/>
  <c r="I208" i="1" s="1"/>
  <c r="E208" i="1"/>
  <c r="H207" i="1"/>
  <c r="G207" i="1"/>
  <c r="I207" i="1" s="1"/>
  <c r="E207" i="1"/>
  <c r="F207" i="1" s="1"/>
  <c r="H206" i="1"/>
  <c r="G206" i="1"/>
  <c r="I206" i="1" s="1"/>
  <c r="E206" i="1"/>
  <c r="H205" i="1"/>
  <c r="G205" i="1"/>
  <c r="I205" i="1" s="1"/>
  <c r="F205" i="1"/>
  <c r="E205" i="1"/>
  <c r="H204" i="1"/>
  <c r="G204" i="1"/>
  <c r="I204" i="1" s="1"/>
  <c r="E204" i="1"/>
  <c r="H203" i="1"/>
  <c r="G203" i="1"/>
  <c r="I203" i="1" s="1"/>
  <c r="F203" i="1"/>
  <c r="E203" i="1"/>
  <c r="H202" i="1"/>
  <c r="G202" i="1"/>
  <c r="E202" i="1"/>
  <c r="H201" i="1"/>
  <c r="G201" i="1"/>
  <c r="I201" i="1" s="1"/>
  <c r="E201" i="1"/>
  <c r="H200" i="1"/>
  <c r="G200" i="1"/>
  <c r="I200" i="1" s="1"/>
  <c r="E200" i="1"/>
  <c r="H199" i="1"/>
  <c r="G199" i="1"/>
  <c r="I199" i="1" s="1"/>
  <c r="E199" i="1"/>
  <c r="H198" i="1"/>
  <c r="G198" i="1"/>
  <c r="I198" i="1" s="1"/>
  <c r="E198" i="1"/>
  <c r="H197" i="1"/>
  <c r="G197" i="1"/>
  <c r="I197" i="1" s="1"/>
  <c r="F197" i="1"/>
  <c r="E197" i="1"/>
  <c r="H196" i="1"/>
  <c r="G196" i="1"/>
  <c r="I196" i="1" s="1"/>
  <c r="E196" i="1"/>
  <c r="H195" i="1"/>
  <c r="G195" i="1"/>
  <c r="I195" i="1" s="1"/>
  <c r="E195" i="1"/>
  <c r="H194" i="1"/>
  <c r="G194" i="1"/>
  <c r="I194" i="1" s="1"/>
  <c r="E194" i="1"/>
  <c r="H193" i="1"/>
  <c r="G193" i="1"/>
  <c r="I193" i="1" s="1"/>
  <c r="E193" i="1"/>
  <c r="H192" i="1"/>
  <c r="G192" i="1"/>
  <c r="I192" i="1" s="1"/>
  <c r="E192" i="1"/>
  <c r="H191" i="1"/>
  <c r="G191" i="1"/>
  <c r="I191" i="1" s="1"/>
  <c r="F191" i="1"/>
  <c r="E191" i="1"/>
  <c r="H190" i="1"/>
  <c r="G190" i="1"/>
  <c r="I190" i="1" s="1"/>
  <c r="E190" i="1"/>
  <c r="H189" i="1"/>
  <c r="G189" i="1"/>
  <c r="I189" i="1" s="1"/>
  <c r="E189" i="1"/>
  <c r="H188" i="1"/>
  <c r="G188" i="1"/>
  <c r="I188" i="1" s="1"/>
  <c r="E188" i="1"/>
  <c r="H187" i="1"/>
  <c r="G187" i="1"/>
  <c r="I187" i="1" s="1"/>
  <c r="E187" i="1"/>
  <c r="H186" i="1"/>
  <c r="G186" i="1"/>
  <c r="I186" i="1" s="1"/>
  <c r="E186" i="1"/>
  <c r="H185" i="1"/>
  <c r="G185" i="1"/>
  <c r="I185" i="1" s="1"/>
  <c r="E185" i="1"/>
  <c r="H184" i="1"/>
  <c r="G184" i="1"/>
  <c r="I184" i="1" s="1"/>
  <c r="E184" i="1"/>
  <c r="H183" i="1"/>
  <c r="G183" i="1"/>
  <c r="E183" i="1"/>
  <c r="H182" i="1"/>
  <c r="G182" i="1"/>
  <c r="I182" i="1" s="1"/>
  <c r="E182" i="1"/>
  <c r="H181" i="1"/>
  <c r="G181" i="1"/>
  <c r="I181" i="1" s="1"/>
  <c r="F181" i="1"/>
  <c r="E181" i="1"/>
  <c r="H180" i="1"/>
  <c r="G180" i="1"/>
  <c r="I180" i="1" s="1"/>
  <c r="E180" i="1"/>
  <c r="H179" i="1"/>
  <c r="G179" i="1"/>
  <c r="I179" i="1" s="1"/>
  <c r="E179" i="1"/>
  <c r="H178" i="1"/>
  <c r="G178" i="1"/>
  <c r="I178" i="1" s="1"/>
  <c r="E178" i="1"/>
  <c r="H177" i="1"/>
  <c r="G177" i="1"/>
  <c r="E177" i="1"/>
  <c r="H176" i="1"/>
  <c r="G176" i="1"/>
  <c r="I176" i="1" s="1"/>
  <c r="F176" i="1"/>
  <c r="E176" i="1"/>
  <c r="H175" i="1"/>
  <c r="G175" i="1"/>
  <c r="E175" i="1"/>
  <c r="H174" i="1"/>
  <c r="G174" i="1"/>
  <c r="I174" i="1" s="1"/>
  <c r="F174" i="1"/>
  <c r="E174" i="1"/>
  <c r="H173" i="1"/>
  <c r="G173" i="1"/>
  <c r="I173" i="1" s="1"/>
  <c r="E173" i="1"/>
  <c r="H172" i="1"/>
  <c r="G172" i="1"/>
  <c r="I172" i="1" s="1"/>
  <c r="E172" i="1"/>
  <c r="H171" i="1"/>
  <c r="G171" i="1"/>
  <c r="I171" i="1" s="1"/>
  <c r="F171" i="1"/>
  <c r="E171" i="1"/>
  <c r="H170" i="1"/>
  <c r="G170" i="1"/>
  <c r="I170" i="1" s="1"/>
  <c r="E170" i="1"/>
  <c r="H169" i="1"/>
  <c r="G169" i="1"/>
  <c r="I169" i="1" s="1"/>
  <c r="E169" i="1"/>
  <c r="H168" i="1"/>
  <c r="G168" i="1"/>
  <c r="I168" i="1" s="1"/>
  <c r="E168" i="1"/>
  <c r="H167" i="1"/>
  <c r="G167" i="1"/>
  <c r="I167" i="1" s="1"/>
  <c r="F167" i="1"/>
  <c r="E167" i="1"/>
  <c r="H166" i="1"/>
  <c r="G166" i="1"/>
  <c r="I166" i="1" s="1"/>
  <c r="E166" i="1"/>
  <c r="H165" i="1"/>
  <c r="G165" i="1"/>
  <c r="I165" i="1" s="1"/>
  <c r="F165" i="1"/>
  <c r="E165" i="1"/>
  <c r="H164" i="1"/>
  <c r="G164" i="1"/>
  <c r="I164" i="1" s="1"/>
  <c r="E164" i="1"/>
  <c r="H163" i="1"/>
  <c r="G163" i="1"/>
  <c r="I163" i="1" s="1"/>
  <c r="F163" i="1"/>
  <c r="E163" i="1"/>
  <c r="H162" i="1"/>
  <c r="G162" i="1"/>
  <c r="I162" i="1" s="1"/>
  <c r="F162" i="1"/>
  <c r="E162" i="1"/>
  <c r="H161" i="1"/>
  <c r="G161" i="1"/>
  <c r="I161" i="1" s="1"/>
  <c r="E161" i="1"/>
  <c r="H160" i="1"/>
  <c r="G160" i="1"/>
  <c r="I160" i="1" s="1"/>
  <c r="E160" i="1"/>
  <c r="H159" i="1"/>
  <c r="G159" i="1"/>
  <c r="E159" i="1"/>
  <c r="H158" i="1"/>
  <c r="G158" i="1"/>
  <c r="I158" i="1" s="1"/>
  <c r="E158" i="1"/>
  <c r="H157" i="1"/>
  <c r="G157" i="1"/>
  <c r="E157" i="1"/>
  <c r="F157" i="1" s="1"/>
  <c r="H156" i="1"/>
  <c r="G156" i="1"/>
  <c r="I156" i="1" s="1"/>
  <c r="F156" i="1"/>
  <c r="E156" i="1"/>
  <c r="H155" i="1"/>
  <c r="G155" i="1"/>
  <c r="I155" i="1" s="1"/>
  <c r="E155" i="1"/>
  <c r="H154" i="1"/>
  <c r="G154" i="1"/>
  <c r="I154" i="1" s="1"/>
  <c r="E154" i="1"/>
  <c r="H153" i="1"/>
  <c r="G153" i="1"/>
  <c r="I153" i="1" s="1"/>
  <c r="E153" i="1"/>
  <c r="H152" i="1"/>
  <c r="G152" i="1"/>
  <c r="F152" i="1"/>
  <c r="E152" i="1"/>
  <c r="H151" i="1"/>
  <c r="G151" i="1"/>
  <c r="I151" i="1" s="1"/>
  <c r="F151" i="1"/>
  <c r="E151" i="1"/>
  <c r="H150" i="1"/>
  <c r="G150" i="1"/>
  <c r="I150" i="1" s="1"/>
  <c r="E150" i="1"/>
  <c r="I149" i="1"/>
  <c r="H149" i="1"/>
  <c r="G149" i="1"/>
  <c r="E149" i="1"/>
  <c r="H148" i="1"/>
  <c r="I148" i="1" s="1"/>
  <c r="G148" i="1"/>
  <c r="E148" i="1"/>
  <c r="H147" i="1"/>
  <c r="I147" i="1" s="1"/>
  <c r="G147" i="1"/>
  <c r="E147" i="1"/>
  <c r="H146" i="1"/>
  <c r="G146" i="1"/>
  <c r="I146" i="1" s="1"/>
  <c r="F146" i="1"/>
  <c r="E146" i="1"/>
  <c r="I145" i="1"/>
  <c r="L145" i="1" s="1"/>
  <c r="H145" i="1"/>
  <c r="G145" i="1"/>
  <c r="F145" i="1"/>
  <c r="E145" i="1"/>
  <c r="L144" i="1"/>
  <c r="H144" i="1"/>
  <c r="G144" i="1"/>
  <c r="I144" i="1" s="1"/>
  <c r="F144" i="1"/>
  <c r="E144" i="1"/>
  <c r="H143" i="1"/>
  <c r="G143" i="1"/>
  <c r="I143" i="1" s="1"/>
  <c r="F143" i="1"/>
  <c r="E143" i="1"/>
  <c r="M142" i="1"/>
  <c r="N142" i="1" s="1"/>
  <c r="O142" i="1" s="1"/>
  <c r="H142" i="1"/>
  <c r="G142" i="1"/>
  <c r="I142" i="1" s="1"/>
  <c r="F142" i="1"/>
  <c r="L142" i="1" s="1"/>
  <c r="P142" i="1" s="1"/>
  <c r="Q142" i="1" s="1"/>
  <c r="R142" i="1" s="1"/>
  <c r="E142" i="1"/>
  <c r="I141" i="1"/>
  <c r="L141" i="1" s="1"/>
  <c r="H141" i="1"/>
  <c r="G141" i="1"/>
  <c r="F141" i="1"/>
  <c r="E141" i="1"/>
  <c r="H140" i="1"/>
  <c r="G140" i="1"/>
  <c r="I140" i="1" s="1"/>
  <c r="L140" i="1" s="1"/>
  <c r="F140" i="1"/>
  <c r="E140" i="1"/>
  <c r="H139" i="1"/>
  <c r="G139" i="1"/>
  <c r="I139" i="1" s="1"/>
  <c r="F139" i="1"/>
  <c r="L139" i="1" s="1"/>
  <c r="P139" i="1" s="1"/>
  <c r="Q139" i="1" s="1"/>
  <c r="R139" i="1" s="1"/>
  <c r="E139" i="1"/>
  <c r="L138" i="1"/>
  <c r="I138" i="1"/>
  <c r="H138" i="1"/>
  <c r="G138" i="1"/>
  <c r="F138" i="1"/>
  <c r="E138" i="1"/>
  <c r="P137" i="1"/>
  <c r="Q137" i="1" s="1"/>
  <c r="R137" i="1" s="1"/>
  <c r="H137" i="1"/>
  <c r="G137" i="1"/>
  <c r="I137" i="1" s="1"/>
  <c r="F137" i="1"/>
  <c r="L137" i="1" s="1"/>
  <c r="M137" i="1" s="1"/>
  <c r="N137" i="1" s="1"/>
  <c r="O137" i="1" s="1"/>
  <c r="E137" i="1"/>
  <c r="H136" i="1"/>
  <c r="G136" i="1"/>
  <c r="I136" i="1" s="1"/>
  <c r="F136" i="1"/>
  <c r="L136" i="1" s="1"/>
  <c r="E136" i="1"/>
  <c r="I135" i="1"/>
  <c r="L135" i="1" s="1"/>
  <c r="H135" i="1"/>
  <c r="G135" i="1"/>
  <c r="F135" i="1"/>
  <c r="E135" i="1"/>
  <c r="H134" i="1"/>
  <c r="G134" i="1"/>
  <c r="I134" i="1" s="1"/>
  <c r="L134" i="1" s="1"/>
  <c r="F134" i="1"/>
  <c r="E134" i="1"/>
  <c r="H133" i="1"/>
  <c r="G133" i="1"/>
  <c r="I133" i="1" s="1"/>
  <c r="F133" i="1"/>
  <c r="E133" i="1"/>
  <c r="L132" i="1"/>
  <c r="I132" i="1"/>
  <c r="H132" i="1"/>
  <c r="G132" i="1"/>
  <c r="F132" i="1"/>
  <c r="E132" i="1"/>
  <c r="H131" i="1"/>
  <c r="G131" i="1"/>
  <c r="I131" i="1" s="1"/>
  <c r="F131" i="1"/>
  <c r="E131" i="1"/>
  <c r="M130" i="1"/>
  <c r="N130" i="1" s="1"/>
  <c r="O130" i="1" s="1"/>
  <c r="H130" i="1"/>
  <c r="G130" i="1"/>
  <c r="I130" i="1" s="1"/>
  <c r="F130" i="1"/>
  <c r="L130" i="1" s="1"/>
  <c r="P130" i="1" s="1"/>
  <c r="Q130" i="1" s="1"/>
  <c r="R130" i="1" s="1"/>
  <c r="E130" i="1"/>
  <c r="I129" i="1"/>
  <c r="L129" i="1" s="1"/>
  <c r="H129" i="1"/>
  <c r="G129" i="1"/>
  <c r="F129" i="1"/>
  <c r="E129" i="1"/>
  <c r="O128" i="1"/>
  <c r="H128" i="1"/>
  <c r="G128" i="1"/>
  <c r="I128" i="1" s="1"/>
  <c r="L128" i="1" s="1"/>
  <c r="M128" i="1" s="1"/>
  <c r="N128" i="1" s="1"/>
  <c r="F128" i="1"/>
  <c r="E128" i="1"/>
  <c r="H127" i="1"/>
  <c r="G127" i="1"/>
  <c r="I127" i="1" s="1"/>
  <c r="F127" i="1"/>
  <c r="E127" i="1"/>
  <c r="L126" i="1"/>
  <c r="I126" i="1"/>
  <c r="H126" i="1"/>
  <c r="G126" i="1"/>
  <c r="F126" i="1"/>
  <c r="E126" i="1"/>
  <c r="H125" i="1"/>
  <c r="G125" i="1"/>
  <c r="I125" i="1" s="1"/>
  <c r="F125" i="1"/>
  <c r="E125" i="1"/>
  <c r="H124" i="1"/>
  <c r="G124" i="1"/>
  <c r="I124" i="1" s="1"/>
  <c r="F124" i="1"/>
  <c r="L124" i="1" s="1"/>
  <c r="P124" i="1" s="1"/>
  <c r="Q124" i="1" s="1"/>
  <c r="R124" i="1" s="1"/>
  <c r="E124" i="1"/>
  <c r="I123" i="1"/>
  <c r="L123" i="1" s="1"/>
  <c r="H123" i="1"/>
  <c r="G123" i="1"/>
  <c r="F123" i="1"/>
  <c r="E123" i="1"/>
  <c r="H122" i="1"/>
  <c r="G122" i="1"/>
  <c r="I122" i="1" s="1"/>
  <c r="L122" i="1" s="1"/>
  <c r="F122" i="1"/>
  <c r="E122" i="1"/>
  <c r="H121" i="1"/>
  <c r="G121" i="1"/>
  <c r="I121" i="1" s="1"/>
  <c r="F121" i="1"/>
  <c r="E121" i="1"/>
  <c r="I120" i="1"/>
  <c r="L120" i="1" s="1"/>
  <c r="H120" i="1"/>
  <c r="G120" i="1"/>
  <c r="F120" i="1"/>
  <c r="E120" i="1"/>
  <c r="H119" i="1"/>
  <c r="G119" i="1"/>
  <c r="F119" i="1"/>
  <c r="E119" i="1"/>
  <c r="M118" i="1"/>
  <c r="N118" i="1" s="1"/>
  <c r="O118" i="1" s="1"/>
  <c r="H118" i="1"/>
  <c r="G118" i="1"/>
  <c r="I118" i="1" s="1"/>
  <c r="F118" i="1"/>
  <c r="L118" i="1" s="1"/>
  <c r="P118" i="1" s="1"/>
  <c r="Q118" i="1" s="1"/>
  <c r="R118" i="1" s="1"/>
  <c r="E118" i="1"/>
  <c r="I117" i="1"/>
  <c r="L117" i="1" s="1"/>
  <c r="H117" i="1"/>
  <c r="G117" i="1"/>
  <c r="F117" i="1"/>
  <c r="E117" i="1"/>
  <c r="H116" i="1"/>
  <c r="G116" i="1"/>
  <c r="I116" i="1" s="1"/>
  <c r="L116" i="1" s="1"/>
  <c r="F116" i="1"/>
  <c r="E116" i="1"/>
  <c r="H115" i="1"/>
  <c r="G115" i="1"/>
  <c r="I115" i="1" s="1"/>
  <c r="F115" i="1"/>
  <c r="L115" i="1" s="1"/>
  <c r="P115" i="1" s="1"/>
  <c r="Q115" i="1" s="1"/>
  <c r="R115" i="1" s="1"/>
  <c r="E115" i="1"/>
  <c r="L114" i="1"/>
  <c r="I114" i="1"/>
  <c r="H114" i="1"/>
  <c r="G114" i="1"/>
  <c r="F114" i="1"/>
  <c r="E114" i="1"/>
  <c r="P113" i="1"/>
  <c r="Q113" i="1" s="1"/>
  <c r="R113" i="1" s="1"/>
  <c r="H113" i="1"/>
  <c r="G113" i="1"/>
  <c r="I113" i="1" s="1"/>
  <c r="F113" i="1"/>
  <c r="L113" i="1" s="1"/>
  <c r="M113" i="1" s="1"/>
  <c r="N113" i="1" s="1"/>
  <c r="O113" i="1" s="1"/>
  <c r="E113" i="1"/>
  <c r="H112" i="1"/>
  <c r="G112" i="1"/>
  <c r="I112" i="1" s="1"/>
  <c r="F112" i="1"/>
  <c r="L112" i="1" s="1"/>
  <c r="E112" i="1"/>
  <c r="I111" i="1"/>
  <c r="L111" i="1" s="1"/>
  <c r="H111" i="1"/>
  <c r="G111" i="1"/>
  <c r="F111" i="1"/>
  <c r="E111" i="1"/>
  <c r="H110" i="1"/>
  <c r="G110" i="1"/>
  <c r="I110" i="1" s="1"/>
  <c r="L110" i="1" s="1"/>
  <c r="F110" i="1"/>
  <c r="E110" i="1"/>
  <c r="H109" i="1"/>
  <c r="G109" i="1"/>
  <c r="I109" i="1" s="1"/>
  <c r="F109" i="1"/>
  <c r="E109" i="1"/>
  <c r="L108" i="1"/>
  <c r="I108" i="1"/>
  <c r="H108" i="1"/>
  <c r="G108" i="1"/>
  <c r="F108" i="1"/>
  <c r="E108" i="1"/>
  <c r="H107" i="1"/>
  <c r="G107" i="1"/>
  <c r="I107" i="1" s="1"/>
  <c r="F107" i="1"/>
  <c r="E107" i="1"/>
  <c r="M106" i="1"/>
  <c r="N106" i="1" s="1"/>
  <c r="O106" i="1" s="1"/>
  <c r="H106" i="1"/>
  <c r="G106" i="1"/>
  <c r="I106" i="1" s="1"/>
  <c r="F106" i="1"/>
  <c r="L106" i="1" s="1"/>
  <c r="P106" i="1" s="1"/>
  <c r="Q106" i="1" s="1"/>
  <c r="R106" i="1" s="1"/>
  <c r="E106" i="1"/>
  <c r="I105" i="1"/>
  <c r="L105" i="1" s="1"/>
  <c r="H105" i="1"/>
  <c r="G105" i="1"/>
  <c r="F105" i="1"/>
  <c r="E105" i="1"/>
  <c r="P104" i="1"/>
  <c r="Q104" i="1" s="1"/>
  <c r="R104" i="1" s="1"/>
  <c r="H104" i="1"/>
  <c r="G104" i="1"/>
  <c r="I104" i="1" s="1"/>
  <c r="L104" i="1" s="1"/>
  <c r="M104" i="1" s="1"/>
  <c r="N104" i="1" s="1"/>
  <c r="O104" i="1" s="1"/>
  <c r="F104" i="1"/>
  <c r="E104" i="1"/>
  <c r="H103" i="1"/>
  <c r="G103" i="1"/>
  <c r="I103" i="1" s="1"/>
  <c r="F103" i="1"/>
  <c r="E103" i="1"/>
  <c r="L102" i="1"/>
  <c r="I102" i="1"/>
  <c r="H102" i="1"/>
  <c r="G102" i="1"/>
  <c r="F102" i="1"/>
  <c r="E102" i="1"/>
  <c r="H101" i="1"/>
  <c r="G101" i="1"/>
  <c r="I101" i="1" s="1"/>
  <c r="F101" i="1"/>
  <c r="E101" i="1"/>
  <c r="H100" i="1"/>
  <c r="G100" i="1"/>
  <c r="I100" i="1" s="1"/>
  <c r="F100" i="1"/>
  <c r="L100" i="1" s="1"/>
  <c r="P100" i="1" s="1"/>
  <c r="Q100" i="1" s="1"/>
  <c r="R100" i="1" s="1"/>
  <c r="E100" i="1"/>
  <c r="I99" i="1"/>
  <c r="L99" i="1" s="1"/>
  <c r="H99" i="1"/>
  <c r="G99" i="1"/>
  <c r="F99" i="1"/>
  <c r="E99" i="1"/>
  <c r="H98" i="1"/>
  <c r="G98" i="1"/>
  <c r="I98" i="1" s="1"/>
  <c r="L98" i="1" s="1"/>
  <c r="F98" i="1"/>
  <c r="E98" i="1"/>
  <c r="H97" i="1"/>
  <c r="G97" i="1"/>
  <c r="I97" i="1" s="1"/>
  <c r="F97" i="1"/>
  <c r="E97" i="1"/>
  <c r="I96" i="1"/>
  <c r="L96" i="1" s="1"/>
  <c r="H96" i="1"/>
  <c r="G96" i="1"/>
  <c r="F96" i="1"/>
  <c r="E96" i="1"/>
  <c r="H95" i="1"/>
  <c r="G95" i="1"/>
  <c r="F95" i="1"/>
  <c r="E95" i="1"/>
  <c r="M94" i="1"/>
  <c r="N94" i="1" s="1"/>
  <c r="O94" i="1" s="1"/>
  <c r="H94" i="1"/>
  <c r="G94" i="1"/>
  <c r="I94" i="1" s="1"/>
  <c r="F94" i="1"/>
  <c r="L94" i="1" s="1"/>
  <c r="P94" i="1" s="1"/>
  <c r="Q94" i="1" s="1"/>
  <c r="R94" i="1" s="1"/>
  <c r="E94" i="1"/>
  <c r="L93" i="1"/>
  <c r="I93" i="1"/>
  <c r="H93" i="1"/>
  <c r="G93" i="1"/>
  <c r="F93" i="1"/>
  <c r="E93" i="1"/>
  <c r="H92" i="1"/>
  <c r="G92" i="1"/>
  <c r="I92" i="1" s="1"/>
  <c r="L92" i="1" s="1"/>
  <c r="F92" i="1"/>
  <c r="E92" i="1"/>
  <c r="H91" i="1"/>
  <c r="G91" i="1"/>
  <c r="I91" i="1" s="1"/>
  <c r="F91" i="1"/>
  <c r="L91" i="1" s="1"/>
  <c r="E91" i="1"/>
  <c r="H90" i="1"/>
  <c r="G90" i="1"/>
  <c r="I90" i="1" s="1"/>
  <c r="F90" i="1"/>
  <c r="E90" i="1"/>
  <c r="M89" i="1"/>
  <c r="N89" i="1" s="1"/>
  <c r="O89" i="1" s="1"/>
  <c r="H89" i="1"/>
  <c r="G89" i="1"/>
  <c r="I89" i="1" s="1"/>
  <c r="F89" i="1"/>
  <c r="L89" i="1" s="1"/>
  <c r="P89" i="1" s="1"/>
  <c r="Q89" i="1" s="1"/>
  <c r="R89" i="1" s="1"/>
  <c r="E89" i="1"/>
  <c r="I88" i="1"/>
  <c r="L88" i="1" s="1"/>
  <c r="H88" i="1"/>
  <c r="G88" i="1"/>
  <c r="F88" i="1"/>
  <c r="E88" i="1"/>
  <c r="H87" i="1"/>
  <c r="I87" i="1" s="1"/>
  <c r="G87" i="1"/>
  <c r="F87" i="1"/>
  <c r="E87" i="1"/>
  <c r="H86" i="1"/>
  <c r="G86" i="1"/>
  <c r="I86" i="1" s="1"/>
  <c r="F86" i="1"/>
  <c r="E86" i="1"/>
  <c r="N85" i="1"/>
  <c r="O85" i="1" s="1"/>
  <c r="H85" i="1"/>
  <c r="G85" i="1"/>
  <c r="I85" i="1" s="1"/>
  <c r="F85" i="1"/>
  <c r="L85" i="1" s="1"/>
  <c r="M85" i="1" s="1"/>
  <c r="E85" i="1"/>
  <c r="M84" i="1"/>
  <c r="N84" i="1" s="1"/>
  <c r="O84" i="1" s="1"/>
  <c r="H84" i="1"/>
  <c r="G84" i="1"/>
  <c r="I84" i="1" s="1"/>
  <c r="F84" i="1"/>
  <c r="L84" i="1" s="1"/>
  <c r="P84" i="1" s="1"/>
  <c r="Q84" i="1" s="1"/>
  <c r="R84" i="1" s="1"/>
  <c r="E84" i="1"/>
  <c r="H83" i="1"/>
  <c r="G83" i="1"/>
  <c r="I83" i="1" s="1"/>
  <c r="L83" i="1" s="1"/>
  <c r="F83" i="1"/>
  <c r="E83" i="1"/>
  <c r="I82" i="1"/>
  <c r="L82" i="1" s="1"/>
  <c r="H82" i="1"/>
  <c r="G82" i="1"/>
  <c r="F82" i="1"/>
  <c r="E82" i="1"/>
  <c r="H81" i="1"/>
  <c r="I81" i="1" s="1"/>
  <c r="L81" i="1" s="1"/>
  <c r="G81" i="1"/>
  <c r="F81" i="1"/>
  <c r="E81" i="1"/>
  <c r="H80" i="1"/>
  <c r="I80" i="1" s="1"/>
  <c r="L80" i="1" s="1"/>
  <c r="G80" i="1"/>
  <c r="F80" i="1"/>
  <c r="E80" i="1"/>
  <c r="H79" i="1"/>
  <c r="I79" i="1" s="1"/>
  <c r="L79" i="1" s="1"/>
  <c r="G79" i="1"/>
  <c r="F79" i="1"/>
  <c r="E79" i="1"/>
  <c r="I78" i="1"/>
  <c r="L78" i="1" s="1"/>
  <c r="H78" i="1"/>
  <c r="G78" i="1"/>
  <c r="F78" i="1"/>
  <c r="E78" i="1"/>
  <c r="H77" i="1"/>
  <c r="I77" i="1" s="1"/>
  <c r="L77" i="1" s="1"/>
  <c r="G77" i="1"/>
  <c r="F77" i="1"/>
  <c r="E77" i="1"/>
  <c r="H76" i="1"/>
  <c r="I76" i="1" s="1"/>
  <c r="L76" i="1" s="1"/>
  <c r="G76" i="1"/>
  <c r="F76" i="1"/>
  <c r="E76" i="1"/>
  <c r="I75" i="1"/>
  <c r="L75" i="1" s="1"/>
  <c r="H75" i="1"/>
  <c r="G75" i="1"/>
  <c r="F75" i="1"/>
  <c r="E75" i="1"/>
  <c r="I74" i="1"/>
  <c r="L74" i="1" s="1"/>
  <c r="H74" i="1"/>
  <c r="G74" i="1"/>
  <c r="F74" i="1"/>
  <c r="E74" i="1"/>
  <c r="I73" i="1"/>
  <c r="L73" i="1" s="1"/>
  <c r="H73" i="1"/>
  <c r="G73" i="1"/>
  <c r="F73" i="1"/>
  <c r="E73" i="1"/>
  <c r="H72" i="1"/>
  <c r="I72" i="1" s="1"/>
  <c r="L72" i="1" s="1"/>
  <c r="M72" i="1" s="1"/>
  <c r="N72" i="1" s="1"/>
  <c r="O72" i="1" s="1"/>
  <c r="G72" i="1"/>
  <c r="F72" i="1"/>
  <c r="E72" i="1"/>
  <c r="H71" i="1"/>
  <c r="I71" i="1" s="1"/>
  <c r="L71" i="1" s="1"/>
  <c r="G71" i="1"/>
  <c r="F71" i="1"/>
  <c r="E71" i="1"/>
  <c r="H70" i="1"/>
  <c r="I70" i="1" s="1"/>
  <c r="L70" i="1" s="1"/>
  <c r="G70" i="1"/>
  <c r="F70" i="1"/>
  <c r="E70" i="1"/>
  <c r="I69" i="1"/>
  <c r="L69" i="1" s="1"/>
  <c r="H69" i="1"/>
  <c r="G69" i="1"/>
  <c r="F69" i="1"/>
  <c r="E69" i="1"/>
  <c r="H68" i="1"/>
  <c r="I68" i="1" s="1"/>
  <c r="L68" i="1" s="1"/>
  <c r="G68" i="1"/>
  <c r="F68" i="1"/>
  <c r="E68" i="1"/>
  <c r="H67" i="1"/>
  <c r="I67" i="1" s="1"/>
  <c r="L67" i="1" s="1"/>
  <c r="G67" i="1"/>
  <c r="F67" i="1"/>
  <c r="E67" i="1"/>
  <c r="H66" i="1"/>
  <c r="I66" i="1" s="1"/>
  <c r="L66" i="1" s="1"/>
  <c r="M66" i="1" s="1"/>
  <c r="N66" i="1" s="1"/>
  <c r="O66" i="1" s="1"/>
  <c r="G66" i="1"/>
  <c r="F66" i="1"/>
  <c r="E66" i="1"/>
  <c r="L65" i="1"/>
  <c r="P65" i="1" s="1"/>
  <c r="Q65" i="1" s="1"/>
  <c r="R65" i="1" s="1"/>
  <c r="H65" i="1"/>
  <c r="I65" i="1" s="1"/>
  <c r="G65" i="1"/>
  <c r="F65" i="1"/>
  <c r="E65" i="1"/>
  <c r="I64" i="1"/>
  <c r="L64" i="1" s="1"/>
  <c r="H64" i="1"/>
  <c r="G64" i="1"/>
  <c r="F64" i="1"/>
  <c r="E64" i="1"/>
  <c r="H63" i="1"/>
  <c r="I63" i="1" s="1"/>
  <c r="L63" i="1" s="1"/>
  <c r="G63" i="1"/>
  <c r="F63" i="1"/>
  <c r="E63" i="1"/>
  <c r="H62" i="1"/>
  <c r="I62" i="1" s="1"/>
  <c r="L62" i="1" s="1"/>
  <c r="G62" i="1"/>
  <c r="F62" i="1"/>
  <c r="E62" i="1"/>
  <c r="I61" i="1"/>
  <c r="L61" i="1" s="1"/>
  <c r="H61" i="1"/>
  <c r="G61" i="1"/>
  <c r="F61" i="1"/>
  <c r="E61" i="1"/>
  <c r="H60" i="1"/>
  <c r="I60" i="1" s="1"/>
  <c r="L60" i="1" s="1"/>
  <c r="G60" i="1"/>
  <c r="F60" i="1"/>
  <c r="E60" i="1"/>
  <c r="H59" i="1"/>
  <c r="I59" i="1" s="1"/>
  <c r="L59" i="1" s="1"/>
  <c r="G59" i="1"/>
  <c r="F59" i="1"/>
  <c r="E59" i="1"/>
  <c r="I58" i="1"/>
  <c r="L58" i="1" s="1"/>
  <c r="H58" i="1"/>
  <c r="G58" i="1"/>
  <c r="F58" i="1"/>
  <c r="E58" i="1"/>
  <c r="H57" i="1"/>
  <c r="I57" i="1" s="1"/>
  <c r="L57" i="1" s="1"/>
  <c r="G57" i="1"/>
  <c r="F57" i="1"/>
  <c r="E57" i="1"/>
  <c r="H56" i="1"/>
  <c r="I56" i="1" s="1"/>
  <c r="L56" i="1" s="1"/>
  <c r="M56" i="1" s="1"/>
  <c r="N56" i="1" s="1"/>
  <c r="O56" i="1" s="1"/>
  <c r="G56" i="1"/>
  <c r="F56" i="1"/>
  <c r="E56" i="1"/>
  <c r="P55" i="1"/>
  <c r="Q55" i="1" s="1"/>
  <c r="R55" i="1" s="1"/>
  <c r="N55" i="1"/>
  <c r="O55" i="1" s="1"/>
  <c r="H55" i="1"/>
  <c r="I55" i="1" s="1"/>
  <c r="L55" i="1" s="1"/>
  <c r="M55" i="1" s="1"/>
  <c r="G55" i="1"/>
  <c r="F55" i="1"/>
  <c r="E55" i="1"/>
  <c r="H54" i="1"/>
  <c r="I54" i="1" s="1"/>
  <c r="L54" i="1" s="1"/>
  <c r="P54" i="1" s="1"/>
  <c r="Q54" i="1" s="1"/>
  <c r="R54" i="1" s="1"/>
  <c r="G54" i="1"/>
  <c r="F54" i="1"/>
  <c r="E54" i="1"/>
  <c r="M53" i="1"/>
  <c r="N53" i="1" s="1"/>
  <c r="O53" i="1" s="1"/>
  <c r="L53" i="1"/>
  <c r="P53" i="1" s="1"/>
  <c r="Q53" i="1" s="1"/>
  <c r="R53" i="1" s="1"/>
  <c r="H53" i="1"/>
  <c r="I53" i="1" s="1"/>
  <c r="G53" i="1"/>
  <c r="F53" i="1"/>
  <c r="E53" i="1"/>
  <c r="I52" i="1"/>
  <c r="L52" i="1" s="1"/>
  <c r="H52" i="1"/>
  <c r="G52" i="1"/>
  <c r="F52" i="1"/>
  <c r="E52" i="1"/>
  <c r="I51" i="1"/>
  <c r="L51" i="1" s="1"/>
  <c r="H51" i="1"/>
  <c r="G51" i="1"/>
  <c r="F51" i="1"/>
  <c r="E51" i="1"/>
  <c r="H50" i="1"/>
  <c r="I50" i="1" s="1"/>
  <c r="L50" i="1" s="1"/>
  <c r="G50" i="1"/>
  <c r="F50" i="1"/>
  <c r="E50" i="1"/>
  <c r="I49" i="1"/>
  <c r="L49" i="1" s="1"/>
  <c r="H49" i="1"/>
  <c r="G49" i="1"/>
  <c r="F49" i="1"/>
  <c r="E49" i="1"/>
  <c r="H48" i="1"/>
  <c r="I48" i="1" s="1"/>
  <c r="L48" i="1" s="1"/>
  <c r="G48" i="1"/>
  <c r="F48" i="1"/>
  <c r="E48" i="1"/>
  <c r="H47" i="1"/>
  <c r="I47" i="1" s="1"/>
  <c r="L47" i="1" s="1"/>
  <c r="G47" i="1"/>
  <c r="F47" i="1"/>
  <c r="E47" i="1"/>
  <c r="I46" i="1"/>
  <c r="L46" i="1" s="1"/>
  <c r="H46" i="1"/>
  <c r="G46" i="1"/>
  <c r="F46" i="1"/>
  <c r="E46" i="1"/>
  <c r="H45" i="1"/>
  <c r="I45" i="1" s="1"/>
  <c r="L45" i="1" s="1"/>
  <c r="G45" i="1"/>
  <c r="F45" i="1"/>
  <c r="E45" i="1"/>
  <c r="H44" i="1"/>
  <c r="I44" i="1" s="1"/>
  <c r="L44" i="1" s="1"/>
  <c r="M44" i="1" s="1"/>
  <c r="N44" i="1" s="1"/>
  <c r="O44" i="1" s="1"/>
  <c r="G44" i="1"/>
  <c r="F44" i="1"/>
  <c r="E44" i="1"/>
  <c r="P43" i="1"/>
  <c r="Q43" i="1" s="1"/>
  <c r="R43" i="1" s="1"/>
  <c r="H43" i="1"/>
  <c r="I43" i="1" s="1"/>
  <c r="L43" i="1" s="1"/>
  <c r="M43" i="1" s="1"/>
  <c r="N43" i="1" s="1"/>
  <c r="O43" i="1" s="1"/>
  <c r="G43" i="1"/>
  <c r="F43" i="1"/>
  <c r="E43" i="1"/>
  <c r="H42" i="1"/>
  <c r="I42" i="1" s="1"/>
  <c r="L42" i="1" s="1"/>
  <c r="P42" i="1" s="1"/>
  <c r="Q42" i="1" s="1"/>
  <c r="R42" i="1" s="1"/>
  <c r="G42" i="1"/>
  <c r="F42" i="1"/>
  <c r="E42" i="1"/>
  <c r="H41" i="1"/>
  <c r="I41" i="1" s="1"/>
  <c r="L41" i="1" s="1"/>
  <c r="G41" i="1"/>
  <c r="F41" i="1"/>
  <c r="E41" i="1"/>
  <c r="I40" i="1"/>
  <c r="L40" i="1" s="1"/>
  <c r="H40" i="1"/>
  <c r="G40" i="1"/>
  <c r="F40" i="1"/>
  <c r="E40" i="1"/>
  <c r="I39" i="1"/>
  <c r="L39" i="1" s="1"/>
  <c r="H39" i="1"/>
  <c r="G39" i="1"/>
  <c r="F39" i="1"/>
  <c r="E39" i="1"/>
  <c r="H38" i="1"/>
  <c r="I38" i="1" s="1"/>
  <c r="L38" i="1" s="1"/>
  <c r="G38" i="1"/>
  <c r="F38" i="1"/>
  <c r="E38" i="1"/>
  <c r="I37" i="1"/>
  <c r="L37" i="1" s="1"/>
  <c r="H37" i="1"/>
  <c r="G37" i="1"/>
  <c r="F37" i="1"/>
  <c r="E37" i="1"/>
  <c r="H36" i="1"/>
  <c r="I36" i="1" s="1"/>
  <c r="L36" i="1" s="1"/>
  <c r="G36" i="1"/>
  <c r="F36" i="1"/>
  <c r="E36" i="1"/>
  <c r="H35" i="1"/>
  <c r="I35" i="1" s="1"/>
  <c r="L35" i="1" s="1"/>
  <c r="G35" i="1"/>
  <c r="F35" i="1"/>
  <c r="E35" i="1"/>
  <c r="I34" i="1"/>
  <c r="L34" i="1" s="1"/>
  <c r="H34" i="1"/>
  <c r="G34" i="1"/>
  <c r="F34" i="1"/>
  <c r="E34" i="1"/>
  <c r="H33" i="1"/>
  <c r="I33" i="1" s="1"/>
  <c r="L33" i="1" s="1"/>
  <c r="G33" i="1"/>
  <c r="F33" i="1"/>
  <c r="E33" i="1"/>
  <c r="H32" i="1"/>
  <c r="I32" i="1" s="1"/>
  <c r="L32" i="1" s="1"/>
  <c r="M32" i="1" s="1"/>
  <c r="N32" i="1" s="1"/>
  <c r="O32" i="1" s="1"/>
  <c r="G32" i="1"/>
  <c r="F32" i="1"/>
  <c r="E32" i="1"/>
  <c r="P31" i="1"/>
  <c r="Q31" i="1" s="1"/>
  <c r="R31" i="1" s="1"/>
  <c r="N31" i="1"/>
  <c r="O31" i="1" s="1"/>
  <c r="H31" i="1"/>
  <c r="I31" i="1" s="1"/>
  <c r="L31" i="1" s="1"/>
  <c r="M31" i="1" s="1"/>
  <c r="G31" i="1"/>
  <c r="H30" i="1"/>
  <c r="G30" i="1"/>
  <c r="H29" i="1"/>
  <c r="G29" i="1"/>
  <c r="I29" i="1" s="1"/>
  <c r="L29" i="1" s="1"/>
  <c r="I28" i="1"/>
  <c r="L28" i="1" s="1"/>
  <c r="H28" i="1"/>
  <c r="G28" i="1"/>
  <c r="N27" i="1"/>
  <c r="O27" i="1" s="1"/>
  <c r="H27" i="1"/>
  <c r="G27" i="1"/>
  <c r="I27" i="1" s="1"/>
  <c r="L27" i="1" s="1"/>
  <c r="M27" i="1" s="1"/>
  <c r="R26" i="1"/>
  <c r="P26" i="1"/>
  <c r="Q26" i="1" s="1"/>
  <c r="O26" i="1"/>
  <c r="N26" i="1"/>
  <c r="L26" i="1"/>
  <c r="M26" i="1" s="1"/>
  <c r="I26" i="1"/>
  <c r="H26" i="1"/>
  <c r="G26" i="1"/>
  <c r="L25" i="1"/>
  <c r="I25" i="1"/>
  <c r="H25" i="1"/>
  <c r="G25" i="1"/>
  <c r="H24" i="1"/>
  <c r="G24" i="1"/>
  <c r="I24" i="1" s="1"/>
  <c r="L24" i="1" s="1"/>
  <c r="H23" i="1"/>
  <c r="G23" i="1"/>
  <c r="I23" i="1" s="1"/>
  <c r="L23" i="1" s="1"/>
  <c r="H22" i="1"/>
  <c r="I22" i="1" s="1"/>
  <c r="L22" i="1" s="1"/>
  <c r="G22" i="1"/>
  <c r="M21" i="1"/>
  <c r="N21" i="1" s="1"/>
  <c r="O21" i="1" s="1"/>
  <c r="H21" i="1"/>
  <c r="G21" i="1"/>
  <c r="I21" i="1" s="1"/>
  <c r="L21" i="1" s="1"/>
  <c r="P21" i="1" s="1"/>
  <c r="Q21" i="1" s="1"/>
  <c r="R21" i="1" s="1"/>
  <c r="I20" i="1"/>
  <c r="L20" i="1" s="1"/>
  <c r="H20" i="1"/>
  <c r="G20" i="1"/>
  <c r="I19" i="1"/>
  <c r="L19" i="1" s="1"/>
  <c r="H19" i="1"/>
  <c r="G19" i="1"/>
  <c r="H18" i="1"/>
  <c r="G18" i="1"/>
  <c r="I18" i="1" s="1"/>
  <c r="L18" i="1" s="1"/>
  <c r="H17" i="1"/>
  <c r="G17" i="1"/>
  <c r="I17" i="1" s="1"/>
  <c r="L17" i="1" s="1"/>
  <c r="H16" i="1"/>
  <c r="I16" i="1" s="1"/>
  <c r="L16" i="1" s="1"/>
  <c r="G16" i="1"/>
  <c r="M15" i="1"/>
  <c r="N15" i="1" s="1"/>
  <c r="O15" i="1" s="1"/>
  <c r="H15" i="1"/>
  <c r="G15" i="1"/>
  <c r="I15" i="1" s="1"/>
  <c r="L15" i="1" s="1"/>
  <c r="P15" i="1" s="1"/>
  <c r="Q15" i="1" s="1"/>
  <c r="R15" i="1" s="1"/>
  <c r="I14" i="1"/>
  <c r="L14" i="1" s="1"/>
  <c r="H14" i="1"/>
  <c r="G14" i="1"/>
  <c r="L13" i="1"/>
  <c r="I13" i="1"/>
  <c r="H13" i="1"/>
  <c r="G13" i="1"/>
  <c r="H12" i="1"/>
  <c r="G12" i="1"/>
  <c r="I12" i="1" s="1"/>
  <c r="L12" i="1" s="1"/>
  <c r="H11" i="1"/>
  <c r="G11" i="1"/>
  <c r="I11" i="1" s="1"/>
  <c r="L11" i="1" s="1"/>
  <c r="H10" i="1"/>
  <c r="I10" i="1" s="1"/>
  <c r="L10" i="1" s="1"/>
  <c r="G10" i="1"/>
  <c r="M9" i="1"/>
  <c r="N9" i="1" s="1"/>
  <c r="O9" i="1" s="1"/>
  <c r="H9" i="1"/>
  <c r="G9" i="1"/>
  <c r="I9" i="1" s="1"/>
  <c r="L9" i="1" s="1"/>
  <c r="P9" i="1" s="1"/>
  <c r="Q9" i="1" s="1"/>
  <c r="R9" i="1" s="1"/>
  <c r="I8" i="1"/>
  <c r="L8" i="1" s="1"/>
  <c r="H8" i="1"/>
  <c r="G8" i="1"/>
  <c r="L7" i="1"/>
  <c r="I7" i="1"/>
  <c r="H7" i="1"/>
  <c r="G7" i="1"/>
  <c r="H6" i="1"/>
  <c r="G6" i="1"/>
  <c r="I6" i="1" s="1"/>
  <c r="L6" i="1" s="1"/>
  <c r="H5" i="1"/>
  <c r="G5" i="1"/>
  <c r="I5" i="1" s="1"/>
  <c r="L5" i="1" s="1"/>
  <c r="L4" i="1"/>
  <c r="I4" i="1"/>
  <c r="H4" i="1"/>
  <c r="G4" i="1"/>
  <c r="H3" i="1"/>
  <c r="G3" i="1"/>
  <c r="I3" i="1" s="1"/>
  <c r="L3" i="1" s="1"/>
  <c r="H2" i="1"/>
  <c r="G2" i="1"/>
  <c r="I2" i="1" s="1"/>
  <c r="L2" i="1" s="1"/>
  <c r="P2" i="1" s="1"/>
  <c r="Q2" i="1" s="1"/>
  <c r="R2" i="1" s="1"/>
  <c r="M70" i="1" l="1"/>
  <c r="N70" i="1" s="1"/>
  <c r="O70" i="1" s="1"/>
  <c r="P70" i="1"/>
  <c r="Q70" i="1" s="1"/>
  <c r="R70" i="1" s="1"/>
  <c r="M81" i="1"/>
  <c r="N81" i="1" s="1"/>
  <c r="O81" i="1" s="1"/>
  <c r="P81" i="1"/>
  <c r="Q81" i="1" s="1"/>
  <c r="R81" i="1" s="1"/>
  <c r="P141" i="1"/>
  <c r="Q141" i="1" s="1"/>
  <c r="R141" i="1" s="1"/>
  <c r="M141" i="1"/>
  <c r="N141" i="1" s="1"/>
  <c r="O141" i="1" s="1"/>
  <c r="P52" i="1"/>
  <c r="Q52" i="1" s="1"/>
  <c r="R52" i="1" s="1"/>
  <c r="M52" i="1"/>
  <c r="N52" i="1" s="1"/>
  <c r="O52" i="1" s="1"/>
  <c r="P41" i="1"/>
  <c r="Q41" i="1" s="1"/>
  <c r="R41" i="1" s="1"/>
  <c r="M41" i="1"/>
  <c r="N41" i="1" s="1"/>
  <c r="O41" i="1" s="1"/>
  <c r="P19" i="1"/>
  <c r="Q19" i="1" s="1"/>
  <c r="R19" i="1" s="1"/>
  <c r="M19" i="1"/>
  <c r="N19" i="1" s="1"/>
  <c r="O19" i="1" s="1"/>
  <c r="P71" i="1"/>
  <c r="Q71" i="1" s="1"/>
  <c r="R71" i="1" s="1"/>
  <c r="M71" i="1"/>
  <c r="N71" i="1" s="1"/>
  <c r="O71" i="1" s="1"/>
  <c r="P63" i="1"/>
  <c r="Q63" i="1" s="1"/>
  <c r="R63" i="1" s="1"/>
  <c r="M63" i="1"/>
  <c r="N63" i="1" s="1"/>
  <c r="O63" i="1" s="1"/>
  <c r="P40" i="1"/>
  <c r="Q40" i="1" s="1"/>
  <c r="R40" i="1" s="1"/>
  <c r="M40" i="1"/>
  <c r="N40" i="1" s="1"/>
  <c r="O40" i="1" s="1"/>
  <c r="P64" i="1"/>
  <c r="Q64" i="1" s="1"/>
  <c r="R64" i="1" s="1"/>
  <c r="M64" i="1"/>
  <c r="N64" i="1" s="1"/>
  <c r="O64" i="1" s="1"/>
  <c r="P117" i="1"/>
  <c r="Q117" i="1" s="1"/>
  <c r="R117" i="1" s="1"/>
  <c r="M117" i="1"/>
  <c r="N117" i="1" s="1"/>
  <c r="O117" i="1" s="1"/>
  <c r="P75" i="1"/>
  <c r="Q75" i="1" s="1"/>
  <c r="R75" i="1" s="1"/>
  <c r="M75" i="1"/>
  <c r="N75" i="1" s="1"/>
  <c r="O75" i="1" s="1"/>
  <c r="P38" i="1"/>
  <c r="Q38" i="1" s="1"/>
  <c r="R38" i="1" s="1"/>
  <c r="M38" i="1"/>
  <c r="N38" i="1" s="1"/>
  <c r="O38" i="1" s="1"/>
  <c r="P49" i="1"/>
  <c r="Q49" i="1" s="1"/>
  <c r="R49" i="1" s="1"/>
  <c r="M49" i="1"/>
  <c r="N49" i="1" s="1"/>
  <c r="O49" i="1" s="1"/>
  <c r="P129" i="1"/>
  <c r="Q129" i="1" s="1"/>
  <c r="R129" i="1" s="1"/>
  <c r="M129" i="1"/>
  <c r="N129" i="1" s="1"/>
  <c r="O129" i="1" s="1"/>
  <c r="M10" i="1"/>
  <c r="N10" i="1" s="1"/>
  <c r="O10" i="1" s="1"/>
  <c r="P10" i="1"/>
  <c r="Q10" i="1" s="1"/>
  <c r="R10" i="1" s="1"/>
  <c r="P11" i="1"/>
  <c r="Q11" i="1" s="1"/>
  <c r="R11" i="1" s="1"/>
  <c r="M11" i="1"/>
  <c r="N11" i="1" s="1"/>
  <c r="O11" i="1" s="1"/>
  <c r="M14" i="1"/>
  <c r="N14" i="1" s="1"/>
  <c r="O14" i="1" s="1"/>
  <c r="P14" i="1"/>
  <c r="Q14" i="1" s="1"/>
  <c r="R14" i="1" s="1"/>
  <c r="M18" i="1"/>
  <c r="N18" i="1" s="1"/>
  <c r="O18" i="1" s="1"/>
  <c r="P18" i="1"/>
  <c r="Q18" i="1" s="1"/>
  <c r="R18" i="1" s="1"/>
  <c r="M54" i="1"/>
  <c r="N54" i="1" s="1"/>
  <c r="O54" i="1" s="1"/>
  <c r="P56" i="1"/>
  <c r="Q56" i="1" s="1"/>
  <c r="R56" i="1" s="1"/>
  <c r="P58" i="1"/>
  <c r="Q58" i="1" s="1"/>
  <c r="R58" i="1" s="1"/>
  <c r="M58" i="1"/>
  <c r="N58" i="1" s="1"/>
  <c r="O58" i="1" s="1"/>
  <c r="P102" i="1"/>
  <c r="Q102" i="1" s="1"/>
  <c r="R102" i="1" s="1"/>
  <c r="M102" i="1"/>
  <c r="N102" i="1" s="1"/>
  <c r="O102" i="1" s="1"/>
  <c r="M3" i="1"/>
  <c r="N3" i="1" s="1"/>
  <c r="O3" i="1" s="1"/>
  <c r="P3" i="1"/>
  <c r="Q3" i="1" s="1"/>
  <c r="R3" i="1" s="1"/>
  <c r="P74" i="1"/>
  <c r="Q74" i="1" s="1"/>
  <c r="R74" i="1" s="1"/>
  <c r="M74" i="1"/>
  <c r="N74" i="1" s="1"/>
  <c r="O74" i="1" s="1"/>
  <c r="M79" i="1"/>
  <c r="N79" i="1" s="1"/>
  <c r="O79" i="1" s="1"/>
  <c r="P79" i="1"/>
  <c r="Q79" i="1" s="1"/>
  <c r="R79" i="1" s="1"/>
  <c r="P271" i="1"/>
  <c r="Q271" i="1" s="1"/>
  <c r="R271" i="1" s="1"/>
  <c r="M271" i="1"/>
  <c r="N271" i="1" s="1"/>
  <c r="O271" i="1" s="1"/>
  <c r="P412" i="1"/>
  <c r="Q412" i="1" s="1"/>
  <c r="R412" i="1" s="1"/>
  <c r="M412" i="1"/>
  <c r="N412" i="1" s="1"/>
  <c r="O412" i="1" s="1"/>
  <c r="P7" i="1"/>
  <c r="Q7" i="1" s="1"/>
  <c r="R7" i="1" s="1"/>
  <c r="M7" i="1"/>
  <c r="N7" i="1" s="1"/>
  <c r="O7" i="1" s="1"/>
  <c r="P25" i="1"/>
  <c r="Q25" i="1" s="1"/>
  <c r="R25" i="1" s="1"/>
  <c r="M25" i="1"/>
  <c r="N25" i="1" s="1"/>
  <c r="O25" i="1" s="1"/>
  <c r="P36" i="1"/>
  <c r="Q36" i="1" s="1"/>
  <c r="R36" i="1" s="1"/>
  <c r="M36" i="1"/>
  <c r="N36" i="1" s="1"/>
  <c r="O36" i="1" s="1"/>
  <c r="P45" i="1"/>
  <c r="Q45" i="1" s="1"/>
  <c r="R45" i="1" s="1"/>
  <c r="M45" i="1"/>
  <c r="N45" i="1" s="1"/>
  <c r="O45" i="1" s="1"/>
  <c r="P47" i="1"/>
  <c r="Q47" i="1" s="1"/>
  <c r="R47" i="1" s="1"/>
  <c r="M47" i="1"/>
  <c r="N47" i="1" s="1"/>
  <c r="O47" i="1" s="1"/>
  <c r="M77" i="1"/>
  <c r="N77" i="1" s="1"/>
  <c r="O77" i="1" s="1"/>
  <c r="P77" i="1"/>
  <c r="Q77" i="1" s="1"/>
  <c r="R77" i="1" s="1"/>
  <c r="P82" i="1"/>
  <c r="Q82" i="1" s="1"/>
  <c r="R82" i="1" s="1"/>
  <c r="M82" i="1"/>
  <c r="N82" i="1" s="1"/>
  <c r="O82" i="1" s="1"/>
  <c r="M110" i="1"/>
  <c r="N110" i="1" s="1"/>
  <c r="O110" i="1" s="1"/>
  <c r="P110" i="1"/>
  <c r="Q110" i="1" s="1"/>
  <c r="R110" i="1" s="1"/>
  <c r="M140" i="1"/>
  <c r="N140" i="1" s="1"/>
  <c r="O140" i="1" s="1"/>
  <c r="P140" i="1"/>
  <c r="Q140" i="1" s="1"/>
  <c r="R140" i="1" s="1"/>
  <c r="M122" i="1"/>
  <c r="N122" i="1" s="1"/>
  <c r="O122" i="1" s="1"/>
  <c r="P122" i="1"/>
  <c r="Q122" i="1" s="1"/>
  <c r="R122" i="1" s="1"/>
  <c r="M65" i="1"/>
  <c r="N65" i="1" s="1"/>
  <c r="O65" i="1" s="1"/>
  <c r="P72" i="1"/>
  <c r="Q72" i="1" s="1"/>
  <c r="R72" i="1" s="1"/>
  <c r="M92" i="1"/>
  <c r="N92" i="1" s="1"/>
  <c r="O92" i="1" s="1"/>
  <c r="P92" i="1"/>
  <c r="Q92" i="1" s="1"/>
  <c r="R92" i="1" s="1"/>
  <c r="P50" i="1"/>
  <c r="Q50" i="1" s="1"/>
  <c r="R50" i="1" s="1"/>
  <c r="M50" i="1"/>
  <c r="N50" i="1" s="1"/>
  <c r="O50" i="1" s="1"/>
  <c r="P61" i="1"/>
  <c r="Q61" i="1" s="1"/>
  <c r="R61" i="1" s="1"/>
  <c r="M61" i="1"/>
  <c r="N61" i="1" s="1"/>
  <c r="O61" i="1" s="1"/>
  <c r="P68" i="1"/>
  <c r="Q68" i="1" s="1"/>
  <c r="R68" i="1" s="1"/>
  <c r="M68" i="1"/>
  <c r="N68" i="1" s="1"/>
  <c r="O68" i="1" s="1"/>
  <c r="I95" i="1"/>
  <c r="P135" i="1"/>
  <c r="Q135" i="1" s="1"/>
  <c r="R135" i="1" s="1"/>
  <c r="M135" i="1"/>
  <c r="N135" i="1" s="1"/>
  <c r="O135" i="1" s="1"/>
  <c r="P39" i="1"/>
  <c r="Q39" i="1" s="1"/>
  <c r="R39" i="1" s="1"/>
  <c r="M39" i="1"/>
  <c r="N39" i="1" s="1"/>
  <c r="O39" i="1" s="1"/>
  <c r="P105" i="1"/>
  <c r="Q105" i="1" s="1"/>
  <c r="R105" i="1" s="1"/>
  <c r="M105" i="1"/>
  <c r="N105" i="1" s="1"/>
  <c r="O105" i="1" s="1"/>
  <c r="P120" i="1"/>
  <c r="Q120" i="1" s="1"/>
  <c r="R120" i="1" s="1"/>
  <c r="M120" i="1"/>
  <c r="N120" i="1" s="1"/>
  <c r="O120" i="1" s="1"/>
  <c r="M145" i="1"/>
  <c r="N145" i="1" s="1"/>
  <c r="O145" i="1" s="1"/>
  <c r="P145" i="1"/>
  <c r="Q145" i="1" s="1"/>
  <c r="R145" i="1" s="1"/>
  <c r="F193" i="1"/>
  <c r="L193" i="1" s="1"/>
  <c r="M241" i="1"/>
  <c r="N241" i="1" s="1"/>
  <c r="O241" i="1" s="1"/>
  <c r="P241" i="1"/>
  <c r="Q241" i="1" s="1"/>
  <c r="R241" i="1" s="1"/>
  <c r="M12" i="1"/>
  <c r="N12" i="1" s="1"/>
  <c r="O12" i="1" s="1"/>
  <c r="P12" i="1"/>
  <c r="Q12" i="1" s="1"/>
  <c r="R12" i="1" s="1"/>
  <c r="P23" i="1"/>
  <c r="Q23" i="1" s="1"/>
  <c r="R23" i="1" s="1"/>
  <c r="M23" i="1"/>
  <c r="N23" i="1" s="1"/>
  <c r="O23" i="1" s="1"/>
  <c r="P34" i="1"/>
  <c r="Q34" i="1" s="1"/>
  <c r="R34" i="1" s="1"/>
  <c r="M34" i="1"/>
  <c r="N34" i="1" s="1"/>
  <c r="O34" i="1" s="1"/>
  <c r="P66" i="1"/>
  <c r="Q66" i="1" s="1"/>
  <c r="R66" i="1" s="1"/>
  <c r="P123" i="1"/>
  <c r="Q123" i="1" s="1"/>
  <c r="R123" i="1" s="1"/>
  <c r="M123" i="1"/>
  <c r="N123" i="1" s="1"/>
  <c r="O123" i="1" s="1"/>
  <c r="P136" i="1"/>
  <c r="Q136" i="1" s="1"/>
  <c r="R136" i="1" s="1"/>
  <c r="M136" i="1"/>
  <c r="N136" i="1" s="1"/>
  <c r="O136" i="1" s="1"/>
  <c r="M232" i="1"/>
  <c r="N232" i="1" s="1"/>
  <c r="O232" i="1" s="1"/>
  <c r="P232" i="1"/>
  <c r="Q232" i="1" s="1"/>
  <c r="R232" i="1" s="1"/>
  <c r="P48" i="1"/>
  <c r="Q48" i="1" s="1"/>
  <c r="R48" i="1" s="1"/>
  <c r="M48" i="1"/>
  <c r="N48" i="1" s="1"/>
  <c r="O48" i="1" s="1"/>
  <c r="P57" i="1"/>
  <c r="Q57" i="1" s="1"/>
  <c r="R57" i="1" s="1"/>
  <c r="M57" i="1"/>
  <c r="N57" i="1" s="1"/>
  <c r="O57" i="1" s="1"/>
  <c r="P59" i="1"/>
  <c r="Q59" i="1" s="1"/>
  <c r="R59" i="1" s="1"/>
  <c r="M59" i="1"/>
  <c r="N59" i="1" s="1"/>
  <c r="O59" i="1" s="1"/>
  <c r="P73" i="1"/>
  <c r="Q73" i="1" s="1"/>
  <c r="R73" i="1" s="1"/>
  <c r="M73" i="1"/>
  <c r="N73" i="1" s="1"/>
  <c r="O73" i="1" s="1"/>
  <c r="P83" i="1"/>
  <c r="Q83" i="1" s="1"/>
  <c r="R83" i="1" s="1"/>
  <c r="M83" i="1"/>
  <c r="N83" i="1" s="1"/>
  <c r="O83" i="1" s="1"/>
  <c r="P128" i="1"/>
  <c r="Q128" i="1" s="1"/>
  <c r="R128" i="1" s="1"/>
  <c r="M22" i="1"/>
  <c r="N22" i="1" s="1"/>
  <c r="O22" i="1" s="1"/>
  <c r="P22" i="1"/>
  <c r="Q22" i="1" s="1"/>
  <c r="R22" i="1" s="1"/>
  <c r="M28" i="1"/>
  <c r="N28" i="1" s="1"/>
  <c r="O28" i="1" s="1"/>
  <c r="P28" i="1"/>
  <c r="Q28" i="1" s="1"/>
  <c r="R28" i="1" s="1"/>
  <c r="M98" i="1"/>
  <c r="N98" i="1" s="1"/>
  <c r="O98" i="1" s="1"/>
  <c r="P98" i="1"/>
  <c r="Q98" i="1" s="1"/>
  <c r="R98" i="1" s="1"/>
  <c r="P5" i="1"/>
  <c r="Q5" i="1" s="1"/>
  <c r="R5" i="1" s="1"/>
  <c r="M5" i="1"/>
  <c r="N5" i="1" s="1"/>
  <c r="O5" i="1" s="1"/>
  <c r="M8" i="1"/>
  <c r="N8" i="1" s="1"/>
  <c r="O8" i="1" s="1"/>
  <c r="P8" i="1"/>
  <c r="Q8" i="1" s="1"/>
  <c r="R8" i="1" s="1"/>
  <c r="P29" i="1"/>
  <c r="Q29" i="1" s="1"/>
  <c r="R29" i="1" s="1"/>
  <c r="M29" i="1"/>
  <c r="N29" i="1" s="1"/>
  <c r="O29" i="1" s="1"/>
  <c r="P32" i="1"/>
  <c r="Q32" i="1" s="1"/>
  <c r="R32" i="1" s="1"/>
  <c r="I30" i="1"/>
  <c r="L30" i="1" s="1"/>
  <c r="P37" i="1"/>
  <c r="Q37" i="1" s="1"/>
  <c r="R37" i="1" s="1"/>
  <c r="M37" i="1"/>
  <c r="N37" i="1" s="1"/>
  <c r="O37" i="1" s="1"/>
  <c r="P62" i="1"/>
  <c r="Q62" i="1" s="1"/>
  <c r="R62" i="1" s="1"/>
  <c r="M62" i="1"/>
  <c r="N62" i="1" s="1"/>
  <c r="O62" i="1" s="1"/>
  <c r="M78" i="1"/>
  <c r="N78" i="1" s="1"/>
  <c r="O78" i="1" s="1"/>
  <c r="P78" i="1"/>
  <c r="Q78" i="1" s="1"/>
  <c r="R78" i="1" s="1"/>
  <c r="P88" i="1"/>
  <c r="Q88" i="1" s="1"/>
  <c r="R88" i="1" s="1"/>
  <c r="M88" i="1"/>
  <c r="N88" i="1" s="1"/>
  <c r="O88" i="1" s="1"/>
  <c r="P93" i="1"/>
  <c r="Q93" i="1" s="1"/>
  <c r="R93" i="1" s="1"/>
  <c r="M93" i="1"/>
  <c r="N93" i="1" s="1"/>
  <c r="O93" i="1" s="1"/>
  <c r="M116" i="1"/>
  <c r="N116" i="1" s="1"/>
  <c r="O116" i="1" s="1"/>
  <c r="P116" i="1"/>
  <c r="Q116" i="1" s="1"/>
  <c r="R116" i="1" s="1"/>
  <c r="M16" i="1"/>
  <c r="N16" i="1" s="1"/>
  <c r="O16" i="1" s="1"/>
  <c r="P16" i="1"/>
  <c r="Q16" i="1" s="1"/>
  <c r="R16" i="1" s="1"/>
  <c r="P51" i="1"/>
  <c r="Q51" i="1" s="1"/>
  <c r="R51" i="1" s="1"/>
  <c r="M51" i="1"/>
  <c r="N51" i="1" s="1"/>
  <c r="O51" i="1" s="1"/>
  <c r="P69" i="1"/>
  <c r="Q69" i="1" s="1"/>
  <c r="R69" i="1" s="1"/>
  <c r="M69" i="1"/>
  <c r="N69" i="1" s="1"/>
  <c r="O69" i="1" s="1"/>
  <c r="P111" i="1"/>
  <c r="Q111" i="1" s="1"/>
  <c r="R111" i="1" s="1"/>
  <c r="M111" i="1"/>
  <c r="N111" i="1" s="1"/>
  <c r="O111" i="1" s="1"/>
  <c r="P126" i="1"/>
  <c r="Q126" i="1" s="1"/>
  <c r="R126" i="1" s="1"/>
  <c r="M126" i="1"/>
  <c r="N126" i="1" s="1"/>
  <c r="O126" i="1" s="1"/>
  <c r="P300" i="1"/>
  <c r="Q300" i="1" s="1"/>
  <c r="R300" i="1" s="1"/>
  <c r="M300" i="1"/>
  <c r="N300" i="1" s="1"/>
  <c r="O300" i="1" s="1"/>
  <c r="M6" i="1"/>
  <c r="N6" i="1" s="1"/>
  <c r="O6" i="1" s="1"/>
  <c r="P6" i="1"/>
  <c r="Q6" i="1" s="1"/>
  <c r="R6" i="1" s="1"/>
  <c r="P17" i="1"/>
  <c r="Q17" i="1" s="1"/>
  <c r="R17" i="1" s="1"/>
  <c r="M17" i="1"/>
  <c r="N17" i="1" s="1"/>
  <c r="O17" i="1" s="1"/>
  <c r="M20" i="1"/>
  <c r="N20" i="1" s="1"/>
  <c r="O20" i="1" s="1"/>
  <c r="P20" i="1"/>
  <c r="Q20" i="1" s="1"/>
  <c r="R20" i="1" s="1"/>
  <c r="M24" i="1"/>
  <c r="N24" i="1" s="1"/>
  <c r="O24" i="1" s="1"/>
  <c r="P24" i="1"/>
  <c r="Q24" i="1" s="1"/>
  <c r="R24" i="1" s="1"/>
  <c r="M42" i="1"/>
  <c r="N42" i="1" s="1"/>
  <c r="O42" i="1" s="1"/>
  <c r="P44" i="1"/>
  <c r="Q44" i="1" s="1"/>
  <c r="R44" i="1" s="1"/>
  <c r="P46" i="1"/>
  <c r="Q46" i="1" s="1"/>
  <c r="R46" i="1" s="1"/>
  <c r="M46" i="1"/>
  <c r="N46" i="1" s="1"/>
  <c r="O46" i="1" s="1"/>
  <c r="M76" i="1"/>
  <c r="N76" i="1" s="1"/>
  <c r="O76" i="1" s="1"/>
  <c r="P76" i="1"/>
  <c r="Q76" i="1" s="1"/>
  <c r="R76" i="1" s="1"/>
  <c r="P96" i="1"/>
  <c r="Q96" i="1" s="1"/>
  <c r="R96" i="1" s="1"/>
  <c r="M96" i="1"/>
  <c r="N96" i="1" s="1"/>
  <c r="O96" i="1" s="1"/>
  <c r="M134" i="1"/>
  <c r="N134" i="1" s="1"/>
  <c r="O134" i="1" s="1"/>
  <c r="P134" i="1"/>
  <c r="Q134" i="1" s="1"/>
  <c r="R134" i="1" s="1"/>
  <c r="F180" i="1"/>
  <c r="L180" i="1" s="1"/>
  <c r="P4" i="1"/>
  <c r="Q4" i="1" s="1"/>
  <c r="R4" i="1" s="1"/>
  <c r="M4" i="1"/>
  <c r="N4" i="1" s="1"/>
  <c r="O4" i="1" s="1"/>
  <c r="M80" i="1"/>
  <c r="N80" i="1" s="1"/>
  <c r="O80" i="1" s="1"/>
  <c r="P80" i="1"/>
  <c r="Q80" i="1" s="1"/>
  <c r="R80" i="1" s="1"/>
  <c r="P13" i="1"/>
  <c r="Q13" i="1" s="1"/>
  <c r="R13" i="1" s="1"/>
  <c r="M13" i="1"/>
  <c r="N13" i="1" s="1"/>
  <c r="O13" i="1" s="1"/>
  <c r="P33" i="1"/>
  <c r="Q33" i="1" s="1"/>
  <c r="R33" i="1" s="1"/>
  <c r="M33" i="1"/>
  <c r="N33" i="1" s="1"/>
  <c r="O33" i="1" s="1"/>
  <c r="P35" i="1"/>
  <c r="Q35" i="1" s="1"/>
  <c r="R35" i="1" s="1"/>
  <c r="M35" i="1"/>
  <c r="N35" i="1" s="1"/>
  <c r="O35" i="1" s="1"/>
  <c r="M60" i="1"/>
  <c r="N60" i="1" s="1"/>
  <c r="O60" i="1" s="1"/>
  <c r="P60" i="1"/>
  <c r="Q60" i="1" s="1"/>
  <c r="R60" i="1" s="1"/>
  <c r="P67" i="1"/>
  <c r="Q67" i="1" s="1"/>
  <c r="R67" i="1" s="1"/>
  <c r="M67" i="1"/>
  <c r="N67" i="1" s="1"/>
  <c r="O67" i="1" s="1"/>
  <c r="P99" i="1"/>
  <c r="Q99" i="1" s="1"/>
  <c r="R99" i="1" s="1"/>
  <c r="M99" i="1"/>
  <c r="N99" i="1" s="1"/>
  <c r="O99" i="1" s="1"/>
  <c r="P112" i="1"/>
  <c r="Q112" i="1" s="1"/>
  <c r="R112" i="1" s="1"/>
  <c r="M112" i="1"/>
  <c r="N112" i="1" s="1"/>
  <c r="O112" i="1" s="1"/>
  <c r="I119" i="1"/>
  <c r="L175" i="1"/>
  <c r="F290" i="1"/>
  <c r="L290" i="1" s="1"/>
  <c r="P320" i="1"/>
  <c r="Q320" i="1" s="1"/>
  <c r="R320" i="1" s="1"/>
  <c r="M320" i="1"/>
  <c r="N320" i="1" s="1"/>
  <c r="O320" i="1" s="1"/>
  <c r="P388" i="1"/>
  <c r="Q388" i="1" s="1"/>
  <c r="R388" i="1" s="1"/>
  <c r="M388" i="1"/>
  <c r="N388" i="1" s="1"/>
  <c r="O388" i="1" s="1"/>
  <c r="L90" i="1"/>
  <c r="L101" i="1"/>
  <c r="L103" i="1"/>
  <c r="L125" i="1"/>
  <c r="L127" i="1"/>
  <c r="L150" i="1"/>
  <c r="F150" i="1"/>
  <c r="F175" i="1"/>
  <c r="F178" i="1"/>
  <c r="L178" i="1" s="1"/>
  <c r="F230" i="1"/>
  <c r="L230" i="1"/>
  <c r="P275" i="1"/>
  <c r="Q275" i="1" s="1"/>
  <c r="R275" i="1" s="1"/>
  <c r="M275" i="1"/>
  <c r="N275" i="1" s="1"/>
  <c r="O275" i="1" s="1"/>
  <c r="F285" i="1"/>
  <c r="L285" i="1" s="1"/>
  <c r="P372" i="1"/>
  <c r="Q372" i="1" s="1"/>
  <c r="R372" i="1" s="1"/>
  <c r="M372" i="1"/>
  <c r="N372" i="1" s="1"/>
  <c r="O372" i="1" s="1"/>
  <c r="P436" i="1"/>
  <c r="Q436" i="1" s="1"/>
  <c r="R436" i="1" s="1"/>
  <c r="M436" i="1"/>
  <c r="N436" i="1" s="1"/>
  <c r="O436" i="1" s="1"/>
  <c r="F282" i="1"/>
  <c r="L282" i="1" s="1"/>
  <c r="P416" i="1"/>
  <c r="Q416" i="1" s="1"/>
  <c r="R416" i="1" s="1"/>
  <c r="M416" i="1"/>
  <c r="N416" i="1" s="1"/>
  <c r="O416" i="1" s="1"/>
  <c r="L158" i="1"/>
  <c r="P430" i="1"/>
  <c r="Q430" i="1" s="1"/>
  <c r="R430" i="1" s="1"/>
  <c r="M430" i="1"/>
  <c r="N430" i="1" s="1"/>
  <c r="O430" i="1" s="1"/>
  <c r="P108" i="1"/>
  <c r="Q108" i="1" s="1"/>
  <c r="R108" i="1" s="1"/>
  <c r="M108" i="1"/>
  <c r="N108" i="1" s="1"/>
  <c r="O108" i="1" s="1"/>
  <c r="P132" i="1"/>
  <c r="Q132" i="1" s="1"/>
  <c r="R132" i="1" s="1"/>
  <c r="M132" i="1"/>
  <c r="N132" i="1" s="1"/>
  <c r="O132" i="1" s="1"/>
  <c r="F206" i="1"/>
  <c r="L206" i="1" s="1"/>
  <c r="P420" i="1"/>
  <c r="Q420" i="1" s="1"/>
  <c r="R420" i="1" s="1"/>
  <c r="M420" i="1"/>
  <c r="N420" i="1" s="1"/>
  <c r="O420" i="1" s="1"/>
  <c r="K6" i="1"/>
  <c r="L107" i="1"/>
  <c r="L109" i="1"/>
  <c r="L131" i="1"/>
  <c r="L133" i="1"/>
  <c r="F153" i="1"/>
  <c r="L153" i="1" s="1"/>
  <c r="F158" i="1"/>
  <c r="L171" i="1"/>
  <c r="I183" i="1"/>
  <c r="F188" i="1"/>
  <c r="L188" i="1" s="1"/>
  <c r="L191" i="1"/>
  <c r="L261" i="1"/>
  <c r="P308" i="1"/>
  <c r="Q308" i="1" s="1"/>
  <c r="R308" i="1" s="1"/>
  <c r="M308" i="1"/>
  <c r="N308" i="1" s="1"/>
  <c r="O308" i="1" s="1"/>
  <c r="P323" i="1"/>
  <c r="Q323" i="1" s="1"/>
  <c r="R323" i="1" s="1"/>
  <c r="M323" i="1"/>
  <c r="N323" i="1" s="1"/>
  <c r="O323" i="1" s="1"/>
  <c r="P114" i="1"/>
  <c r="Q114" i="1" s="1"/>
  <c r="R114" i="1" s="1"/>
  <c r="M114" i="1"/>
  <c r="N114" i="1" s="1"/>
  <c r="O114" i="1" s="1"/>
  <c r="P386" i="1"/>
  <c r="Q386" i="1" s="1"/>
  <c r="R386" i="1" s="1"/>
  <c r="M386" i="1"/>
  <c r="N386" i="1" s="1"/>
  <c r="O386" i="1" s="1"/>
  <c r="F411" i="1"/>
  <c r="L411" i="1" s="1"/>
  <c r="M144" i="1"/>
  <c r="N144" i="1" s="1"/>
  <c r="O144" i="1" s="1"/>
  <c r="P144" i="1"/>
  <c r="Q144" i="1" s="1"/>
  <c r="R144" i="1" s="1"/>
  <c r="M231" i="1"/>
  <c r="N231" i="1" s="1"/>
  <c r="O231" i="1" s="1"/>
  <c r="P231" i="1"/>
  <c r="Q231" i="1" s="1"/>
  <c r="R231" i="1" s="1"/>
  <c r="M240" i="1"/>
  <c r="N240" i="1" s="1"/>
  <c r="O240" i="1" s="1"/>
  <c r="P240" i="1"/>
  <c r="Q240" i="1" s="1"/>
  <c r="R240" i="1" s="1"/>
  <c r="M243" i="1"/>
  <c r="N243" i="1" s="1"/>
  <c r="O243" i="1" s="1"/>
  <c r="P243" i="1"/>
  <c r="Q243" i="1" s="1"/>
  <c r="R243" i="1" s="1"/>
  <c r="M276" i="1"/>
  <c r="N276" i="1" s="1"/>
  <c r="O276" i="1" s="1"/>
  <c r="P276" i="1"/>
  <c r="Q276" i="1" s="1"/>
  <c r="R276" i="1" s="1"/>
  <c r="P298" i="1"/>
  <c r="Q298" i="1" s="1"/>
  <c r="R298" i="1" s="1"/>
  <c r="M298" i="1"/>
  <c r="N298" i="1" s="1"/>
  <c r="O298" i="1" s="1"/>
  <c r="P400" i="1"/>
  <c r="Q400" i="1" s="1"/>
  <c r="R400" i="1" s="1"/>
  <c r="M400" i="1"/>
  <c r="N400" i="1" s="1"/>
  <c r="O400" i="1" s="1"/>
  <c r="M2" i="1"/>
  <c r="N2" i="1" s="1"/>
  <c r="O2" i="1" s="1"/>
  <c r="P27" i="1"/>
  <c r="Q27" i="1" s="1"/>
  <c r="R27" i="1" s="1"/>
  <c r="P91" i="1"/>
  <c r="Q91" i="1" s="1"/>
  <c r="R91" i="1" s="1"/>
  <c r="M91" i="1"/>
  <c r="N91" i="1" s="1"/>
  <c r="O91" i="1" s="1"/>
  <c r="L169" i="1"/>
  <c r="F169" i="1"/>
  <c r="F249" i="1"/>
  <c r="L249" i="1" s="1"/>
  <c r="P274" i="1"/>
  <c r="Q274" i="1" s="1"/>
  <c r="R274" i="1" s="1"/>
  <c r="M274" i="1"/>
  <c r="N274" i="1" s="1"/>
  <c r="O274" i="1" s="1"/>
  <c r="P373" i="1"/>
  <c r="Q373" i="1" s="1"/>
  <c r="R373" i="1" s="1"/>
  <c r="M373" i="1"/>
  <c r="N373" i="1" s="1"/>
  <c r="O373" i="1" s="1"/>
  <c r="M379" i="1"/>
  <c r="N379" i="1" s="1"/>
  <c r="O379" i="1" s="1"/>
  <c r="P425" i="1"/>
  <c r="Q425" i="1" s="1"/>
  <c r="R425" i="1" s="1"/>
  <c r="M425" i="1"/>
  <c r="N425" i="1" s="1"/>
  <c r="O425" i="1" s="1"/>
  <c r="P428" i="1"/>
  <c r="Q428" i="1" s="1"/>
  <c r="R428" i="1" s="1"/>
  <c r="M428" i="1"/>
  <c r="N428" i="1" s="1"/>
  <c r="O428" i="1" s="1"/>
  <c r="K5" i="1"/>
  <c r="P85" i="1"/>
  <c r="Q85" i="1" s="1"/>
  <c r="R85" i="1" s="1"/>
  <c r="F164" i="1"/>
  <c r="L164" i="1" s="1"/>
  <c r="P415" i="1"/>
  <c r="Q415" i="1" s="1"/>
  <c r="R415" i="1" s="1"/>
  <c r="M415" i="1"/>
  <c r="N415" i="1" s="1"/>
  <c r="O415" i="1" s="1"/>
  <c r="L87" i="1"/>
  <c r="L207" i="1"/>
  <c r="M100" i="1"/>
  <c r="N100" i="1" s="1"/>
  <c r="O100" i="1" s="1"/>
  <c r="M124" i="1"/>
  <c r="N124" i="1" s="1"/>
  <c r="O124" i="1" s="1"/>
  <c r="F201" i="1"/>
  <c r="L201" i="1" s="1"/>
  <c r="L253" i="1"/>
  <c r="F253" i="1"/>
  <c r="P334" i="1"/>
  <c r="Q334" i="1" s="1"/>
  <c r="R334" i="1" s="1"/>
  <c r="M334" i="1"/>
  <c r="N334" i="1" s="1"/>
  <c r="O334" i="1" s="1"/>
  <c r="P138" i="1"/>
  <c r="Q138" i="1" s="1"/>
  <c r="R138" i="1" s="1"/>
  <c r="M138" i="1"/>
  <c r="N138" i="1" s="1"/>
  <c r="O138" i="1" s="1"/>
  <c r="F200" i="1"/>
  <c r="L200" i="1" s="1"/>
  <c r="L86" i="1"/>
  <c r="L95" i="1"/>
  <c r="L97" i="1"/>
  <c r="M115" i="1"/>
  <c r="N115" i="1" s="1"/>
  <c r="O115" i="1" s="1"/>
  <c r="L119" i="1"/>
  <c r="L121" i="1"/>
  <c r="M139" i="1"/>
  <c r="N139" i="1" s="1"/>
  <c r="O139" i="1" s="1"/>
  <c r="L143" i="1"/>
  <c r="L218" i="1"/>
  <c r="L250" i="1"/>
  <c r="F250" i="1"/>
  <c r="P332" i="1"/>
  <c r="Q332" i="1" s="1"/>
  <c r="R332" i="1" s="1"/>
  <c r="M332" i="1"/>
  <c r="N332" i="1" s="1"/>
  <c r="O332" i="1" s="1"/>
  <c r="F184" i="1"/>
  <c r="L184" i="1" s="1"/>
  <c r="F186" i="1"/>
  <c r="L186" i="1" s="1"/>
  <c r="F223" i="1"/>
  <c r="L223" i="1" s="1"/>
  <c r="M228" i="1"/>
  <c r="N228" i="1" s="1"/>
  <c r="O228" i="1" s="1"/>
  <c r="P228" i="1"/>
  <c r="Q228" i="1" s="1"/>
  <c r="R228" i="1" s="1"/>
  <c r="M242" i="1"/>
  <c r="N242" i="1" s="1"/>
  <c r="O242" i="1" s="1"/>
  <c r="P242" i="1"/>
  <c r="Q242" i="1" s="1"/>
  <c r="R242" i="1" s="1"/>
  <c r="L294" i="1"/>
  <c r="P311" i="1"/>
  <c r="Q311" i="1" s="1"/>
  <c r="R311" i="1" s="1"/>
  <c r="M311" i="1"/>
  <c r="N311" i="1" s="1"/>
  <c r="O311" i="1" s="1"/>
  <c r="L345" i="1"/>
  <c r="P360" i="1"/>
  <c r="Q360" i="1" s="1"/>
  <c r="R360" i="1" s="1"/>
  <c r="M360" i="1"/>
  <c r="N360" i="1" s="1"/>
  <c r="O360" i="1" s="1"/>
  <c r="F390" i="1"/>
  <c r="L390" i="1" s="1"/>
  <c r="P404" i="1"/>
  <c r="Q404" i="1" s="1"/>
  <c r="R404" i="1" s="1"/>
  <c r="M404" i="1"/>
  <c r="N404" i="1" s="1"/>
  <c r="O404" i="1" s="1"/>
  <c r="P437" i="1"/>
  <c r="Q437" i="1" s="1"/>
  <c r="R437" i="1" s="1"/>
  <c r="M437" i="1"/>
  <c r="N437" i="1" s="1"/>
  <c r="O437" i="1" s="1"/>
  <c r="F195" i="1"/>
  <c r="L195" i="1" s="1"/>
  <c r="L235" i="1"/>
  <c r="M246" i="1"/>
  <c r="N246" i="1" s="1"/>
  <c r="O246" i="1" s="1"/>
  <c r="P246" i="1"/>
  <c r="Q246" i="1" s="1"/>
  <c r="R246" i="1" s="1"/>
  <c r="L252" i="1"/>
  <c r="F252" i="1"/>
  <c r="M262" i="1"/>
  <c r="N262" i="1" s="1"/>
  <c r="O262" i="1" s="1"/>
  <c r="P262" i="1"/>
  <c r="Q262" i="1" s="1"/>
  <c r="R262" i="1" s="1"/>
  <c r="M264" i="1"/>
  <c r="N264" i="1" s="1"/>
  <c r="O264" i="1" s="1"/>
  <c r="L283" i="1"/>
  <c r="F294" i="1"/>
  <c r="F345" i="1"/>
  <c r="P367" i="1"/>
  <c r="Q367" i="1" s="1"/>
  <c r="R367" i="1" s="1"/>
  <c r="M367" i="1"/>
  <c r="N367" i="1" s="1"/>
  <c r="O367" i="1" s="1"/>
  <c r="P394" i="1"/>
  <c r="Q394" i="1" s="1"/>
  <c r="R394" i="1" s="1"/>
  <c r="M394" i="1"/>
  <c r="N394" i="1" s="1"/>
  <c r="O394" i="1" s="1"/>
  <c r="L156" i="1"/>
  <c r="F161" i="1"/>
  <c r="L161" i="1" s="1"/>
  <c r="F166" i="1"/>
  <c r="L166" i="1" s="1"/>
  <c r="L219" i="1"/>
  <c r="L233" i="1"/>
  <c r="P244" i="1"/>
  <c r="Q244" i="1" s="1"/>
  <c r="R244" i="1" s="1"/>
  <c r="F280" i="1"/>
  <c r="L280" i="1" s="1"/>
  <c r="M302" i="1"/>
  <c r="N302" i="1" s="1"/>
  <c r="O302" i="1" s="1"/>
  <c r="F342" i="1"/>
  <c r="L342" i="1" s="1"/>
  <c r="P380" i="1"/>
  <c r="Q380" i="1" s="1"/>
  <c r="R380" i="1" s="1"/>
  <c r="M380" i="1"/>
  <c r="N380" i="1" s="1"/>
  <c r="O380" i="1" s="1"/>
  <c r="P398" i="1"/>
  <c r="Q398" i="1" s="1"/>
  <c r="R398" i="1" s="1"/>
  <c r="M398" i="1"/>
  <c r="N398" i="1" s="1"/>
  <c r="O398" i="1" s="1"/>
  <c r="P424" i="1"/>
  <c r="Q424" i="1" s="1"/>
  <c r="R424" i="1" s="1"/>
  <c r="M424" i="1"/>
  <c r="N424" i="1" s="1"/>
  <c r="O424" i="1" s="1"/>
  <c r="M229" i="1"/>
  <c r="N229" i="1" s="1"/>
  <c r="O229" i="1" s="1"/>
  <c r="P229" i="1"/>
  <c r="Q229" i="1" s="1"/>
  <c r="R229" i="1" s="1"/>
  <c r="L260" i="1"/>
  <c r="F260" i="1"/>
  <c r="L292" i="1"/>
  <c r="F292" i="1"/>
  <c r="P336" i="1"/>
  <c r="Q336" i="1" s="1"/>
  <c r="R336" i="1" s="1"/>
  <c r="M336" i="1"/>
  <c r="N336" i="1" s="1"/>
  <c r="O336" i="1" s="1"/>
  <c r="P348" i="1"/>
  <c r="Q348" i="1" s="1"/>
  <c r="R348" i="1" s="1"/>
  <c r="M348" i="1"/>
  <c r="N348" i="1" s="1"/>
  <c r="O348" i="1" s="1"/>
  <c r="P395" i="1"/>
  <c r="Q395" i="1" s="1"/>
  <c r="R395" i="1" s="1"/>
  <c r="M395" i="1"/>
  <c r="N395" i="1" s="1"/>
  <c r="O395" i="1" s="1"/>
  <c r="P418" i="1"/>
  <c r="Q418" i="1" s="1"/>
  <c r="R418" i="1" s="1"/>
  <c r="M418" i="1"/>
  <c r="N418" i="1" s="1"/>
  <c r="O418" i="1" s="1"/>
  <c r="F429" i="1"/>
  <c r="L429" i="1" s="1"/>
  <c r="F155" i="1"/>
  <c r="L155" i="1" s="1"/>
  <c r="F170" i="1"/>
  <c r="L170" i="1" s="1"/>
  <c r="F179" i="1"/>
  <c r="L179" i="1" s="1"/>
  <c r="F187" i="1"/>
  <c r="L187" i="1" s="1"/>
  <c r="F236" i="1"/>
  <c r="L236" i="1" s="1"/>
  <c r="L273" i="1"/>
  <c r="F273" i="1"/>
  <c r="M313" i="1"/>
  <c r="N313" i="1" s="1"/>
  <c r="O313" i="1" s="1"/>
  <c r="P313" i="1"/>
  <c r="Q313" i="1" s="1"/>
  <c r="R313" i="1" s="1"/>
  <c r="F340" i="1"/>
  <c r="L340" i="1" s="1"/>
  <c r="P359" i="1"/>
  <c r="Q359" i="1" s="1"/>
  <c r="R359" i="1" s="1"/>
  <c r="M359" i="1"/>
  <c r="N359" i="1" s="1"/>
  <c r="O359" i="1" s="1"/>
  <c r="F366" i="1"/>
  <c r="L366" i="1" s="1"/>
  <c r="P376" i="1"/>
  <c r="Q376" i="1" s="1"/>
  <c r="R376" i="1" s="1"/>
  <c r="M376" i="1"/>
  <c r="N376" i="1" s="1"/>
  <c r="O376" i="1" s="1"/>
  <c r="F406" i="1"/>
  <c r="L406" i="1" s="1"/>
  <c r="P410" i="1"/>
  <c r="Q410" i="1" s="1"/>
  <c r="R410" i="1" s="1"/>
  <c r="M410" i="1"/>
  <c r="N410" i="1" s="1"/>
  <c r="O410" i="1" s="1"/>
  <c r="F149" i="1"/>
  <c r="L149" i="1" s="1"/>
  <c r="L160" i="1"/>
  <c r="F160" i="1"/>
  <c r="L222" i="1"/>
  <c r="F222" i="1"/>
  <c r="L227" i="1"/>
  <c r="F258" i="1"/>
  <c r="L258" i="1" s="1"/>
  <c r="L278" i="1"/>
  <c r="L296" i="1"/>
  <c r="L310" i="1"/>
  <c r="L152" i="1"/>
  <c r="L162" i="1"/>
  <c r="L167" i="1"/>
  <c r="L174" i="1"/>
  <c r="L176" i="1"/>
  <c r="L203" i="1"/>
  <c r="F210" i="1"/>
  <c r="L210" i="1" s="1"/>
  <c r="F215" i="1"/>
  <c r="L215" i="1" s="1"/>
  <c r="F227" i="1"/>
  <c r="P263" i="1"/>
  <c r="Q263" i="1" s="1"/>
  <c r="R263" i="1" s="1"/>
  <c r="L266" i="1"/>
  <c r="F278" i="1"/>
  <c r="F296" i="1"/>
  <c r="F423" i="1"/>
  <c r="L423" i="1" s="1"/>
  <c r="L198" i="1"/>
  <c r="F198" i="1"/>
  <c r="L212" i="1"/>
  <c r="L256" i="1"/>
  <c r="F256" i="1"/>
  <c r="P272" i="1"/>
  <c r="Q272" i="1" s="1"/>
  <c r="R272" i="1" s="1"/>
  <c r="M272" i="1"/>
  <c r="N272" i="1" s="1"/>
  <c r="O272" i="1" s="1"/>
  <c r="F315" i="1"/>
  <c r="L315" i="1" s="1"/>
  <c r="P337" i="1"/>
  <c r="Q337" i="1" s="1"/>
  <c r="R337" i="1" s="1"/>
  <c r="M337" i="1"/>
  <c r="N337" i="1" s="1"/>
  <c r="O337" i="1" s="1"/>
  <c r="P349" i="1"/>
  <c r="Q349" i="1" s="1"/>
  <c r="R349" i="1" s="1"/>
  <c r="M349" i="1"/>
  <c r="N349" i="1" s="1"/>
  <c r="O349" i="1" s="1"/>
  <c r="L183" i="1"/>
  <c r="L194" i="1"/>
  <c r="F204" i="1"/>
  <c r="L204" i="1" s="1"/>
  <c r="F209" i="1"/>
  <c r="L209" i="1" s="1"/>
  <c r="F212" i="1"/>
  <c r="F364" i="1"/>
  <c r="L364" i="1"/>
  <c r="L370" i="1"/>
  <c r="P422" i="1"/>
  <c r="Q422" i="1" s="1"/>
  <c r="R422" i="1" s="1"/>
  <c r="M422" i="1"/>
  <c r="N422" i="1" s="1"/>
  <c r="O422" i="1" s="1"/>
  <c r="P434" i="1"/>
  <c r="Q434" i="1" s="1"/>
  <c r="R434" i="1" s="1"/>
  <c r="M434" i="1"/>
  <c r="N434" i="1" s="1"/>
  <c r="O434" i="1" s="1"/>
  <c r="L441" i="1"/>
  <c r="L151" i="1"/>
  <c r="I152" i="1"/>
  <c r="I157" i="1"/>
  <c r="L157" i="1" s="1"/>
  <c r="L165" i="1"/>
  <c r="I175" i="1"/>
  <c r="F183" i="1"/>
  <c r="F190" i="1"/>
  <c r="L190" i="1" s="1"/>
  <c r="F194" i="1"/>
  <c r="L197" i="1"/>
  <c r="L217" i="1"/>
  <c r="I225" i="1"/>
  <c r="L225" i="1" s="1"/>
  <c r="L297" i="1"/>
  <c r="F328" i="1"/>
  <c r="L328" i="1" s="1"/>
  <c r="F370" i="1"/>
  <c r="P407" i="1"/>
  <c r="Q407" i="1" s="1"/>
  <c r="R407" i="1" s="1"/>
  <c r="M407" i="1"/>
  <c r="N407" i="1" s="1"/>
  <c r="O407" i="1" s="1"/>
  <c r="F441" i="1"/>
  <c r="L445" i="1"/>
  <c r="L182" i="1"/>
  <c r="L189" i="1"/>
  <c r="L247" i="1"/>
  <c r="P286" i="1"/>
  <c r="Q286" i="1" s="1"/>
  <c r="R286" i="1" s="1"/>
  <c r="M286" i="1"/>
  <c r="N286" i="1" s="1"/>
  <c r="O286" i="1" s="1"/>
  <c r="P326" i="1"/>
  <c r="Q326" i="1" s="1"/>
  <c r="R326" i="1" s="1"/>
  <c r="M326" i="1"/>
  <c r="N326" i="1" s="1"/>
  <c r="O326" i="1" s="1"/>
  <c r="M335" i="1"/>
  <c r="N335" i="1" s="1"/>
  <c r="O335" i="1" s="1"/>
  <c r="P335" i="1"/>
  <c r="Q335" i="1" s="1"/>
  <c r="R335" i="1" s="1"/>
  <c r="P350" i="1"/>
  <c r="Q350" i="1" s="1"/>
  <c r="R350" i="1" s="1"/>
  <c r="P392" i="1"/>
  <c r="Q392" i="1" s="1"/>
  <c r="R392" i="1" s="1"/>
  <c r="M392" i="1"/>
  <c r="N392" i="1" s="1"/>
  <c r="O392" i="1" s="1"/>
  <c r="P408" i="1"/>
  <c r="Q408" i="1" s="1"/>
  <c r="R408" i="1" s="1"/>
  <c r="M408" i="1"/>
  <c r="N408" i="1" s="1"/>
  <c r="O408" i="1" s="1"/>
  <c r="P442" i="1"/>
  <c r="Q442" i="1" s="1"/>
  <c r="R442" i="1" s="1"/>
  <c r="M442" i="1"/>
  <c r="N442" i="1" s="1"/>
  <c r="O442" i="1" s="1"/>
  <c r="F173" i="1"/>
  <c r="L173" i="1" s="1"/>
  <c r="F182" i="1"/>
  <c r="L185" i="1"/>
  <c r="F189" i="1"/>
  <c r="F196" i="1"/>
  <c r="L196" i="1" s="1"/>
  <c r="F211" i="1"/>
  <c r="L211" i="1" s="1"/>
  <c r="L213" i="1"/>
  <c r="F234" i="1"/>
  <c r="L234" i="1"/>
  <c r="I273" i="1"/>
  <c r="L354" i="1"/>
  <c r="P439" i="1"/>
  <c r="Q439" i="1" s="1"/>
  <c r="R439" i="1" s="1"/>
  <c r="M439" i="1"/>
  <c r="N439" i="1" s="1"/>
  <c r="O439" i="1" s="1"/>
  <c r="F148" i="1"/>
  <c r="L148" i="1" s="1"/>
  <c r="F159" i="1"/>
  <c r="L159" i="1" s="1"/>
  <c r="L168" i="1"/>
  <c r="F177" i="1"/>
  <c r="L177" i="1" s="1"/>
  <c r="F185" i="1"/>
  <c r="F213" i="1"/>
  <c r="F216" i="1"/>
  <c r="L216" i="1" s="1"/>
  <c r="F221" i="1"/>
  <c r="L221" i="1" s="1"/>
  <c r="F224" i="1"/>
  <c r="L224" i="1" s="1"/>
  <c r="P284" i="1"/>
  <c r="Q284" i="1" s="1"/>
  <c r="R284" i="1" s="1"/>
  <c r="M284" i="1"/>
  <c r="N284" i="1" s="1"/>
  <c r="O284" i="1" s="1"/>
  <c r="L295" i="1"/>
  <c r="F354" i="1"/>
  <c r="P362" i="1"/>
  <c r="Q362" i="1" s="1"/>
  <c r="R362" i="1" s="1"/>
  <c r="M362" i="1"/>
  <c r="N362" i="1" s="1"/>
  <c r="O362" i="1" s="1"/>
  <c r="P365" i="1"/>
  <c r="Q365" i="1" s="1"/>
  <c r="R365" i="1" s="1"/>
  <c r="M365" i="1"/>
  <c r="N365" i="1" s="1"/>
  <c r="O365" i="1" s="1"/>
  <c r="L146" i="1"/>
  <c r="F147" i="1"/>
  <c r="L147" i="1" s="1"/>
  <c r="F154" i="1"/>
  <c r="L154" i="1" s="1"/>
  <c r="I159" i="1"/>
  <c r="L163" i="1"/>
  <c r="F168" i="1"/>
  <c r="F172" i="1"/>
  <c r="L172" i="1" s="1"/>
  <c r="I177" i="1"/>
  <c r="L181" i="1"/>
  <c r="F192" i="1"/>
  <c r="L192" i="1" s="1"/>
  <c r="F199" i="1"/>
  <c r="L199" i="1" s="1"/>
  <c r="I202" i="1"/>
  <c r="L202" i="1" s="1"/>
  <c r="L205" i="1"/>
  <c r="I239" i="1"/>
  <c r="L239" i="1" s="1"/>
  <c r="F279" i="1"/>
  <c r="L279" i="1" s="1"/>
  <c r="F304" i="1"/>
  <c r="L304" i="1" s="1"/>
  <c r="F319" i="1"/>
  <c r="L319" i="1" s="1"/>
  <c r="L322" i="1"/>
  <c r="L333" i="1"/>
  <c r="F333" i="1"/>
  <c r="P338" i="1"/>
  <c r="Q338" i="1" s="1"/>
  <c r="R338" i="1" s="1"/>
  <c r="M346" i="1"/>
  <c r="N346" i="1" s="1"/>
  <c r="O346" i="1" s="1"/>
  <c r="P383" i="1"/>
  <c r="Q383" i="1" s="1"/>
  <c r="R383" i="1" s="1"/>
  <c r="M383" i="1"/>
  <c r="N383" i="1" s="1"/>
  <c r="O383" i="1" s="1"/>
  <c r="L317" i="1"/>
  <c r="L347" i="1"/>
  <c r="I370" i="1"/>
  <c r="P431" i="1"/>
  <c r="Q431" i="1" s="1"/>
  <c r="R431" i="1" s="1"/>
  <c r="M431" i="1"/>
  <c r="N431" i="1" s="1"/>
  <c r="O431" i="1" s="1"/>
  <c r="L343" i="1"/>
  <c r="I363" i="1"/>
  <c r="L378" i="1"/>
  <c r="L403" i="1"/>
  <c r="P413" i="1"/>
  <c r="Q413" i="1" s="1"/>
  <c r="R413" i="1" s="1"/>
  <c r="M413" i="1"/>
  <c r="N413" i="1" s="1"/>
  <c r="O413" i="1" s="1"/>
  <c r="F421" i="1"/>
  <c r="L421" i="1" s="1"/>
  <c r="L226" i="1"/>
  <c r="L238" i="1"/>
  <c r="I268" i="1"/>
  <c r="L270" i="1"/>
  <c r="L318" i="1"/>
  <c r="P368" i="1"/>
  <c r="Q368" i="1" s="1"/>
  <c r="R368" i="1" s="1"/>
  <c r="M368" i="1"/>
  <c r="N368" i="1" s="1"/>
  <c r="O368" i="1" s="1"/>
  <c r="L391" i="1"/>
  <c r="P401" i="1"/>
  <c r="Q401" i="1" s="1"/>
  <c r="R401" i="1" s="1"/>
  <c r="M401" i="1"/>
  <c r="N401" i="1" s="1"/>
  <c r="O401" i="1" s="1"/>
  <c r="L414" i="1"/>
  <c r="I432" i="1"/>
  <c r="L432" i="1" s="1"/>
  <c r="L435" i="1"/>
  <c r="F351" i="1"/>
  <c r="L351" i="1" s="1"/>
  <c r="P358" i="1"/>
  <c r="Q358" i="1" s="1"/>
  <c r="R358" i="1" s="1"/>
  <c r="M358" i="1"/>
  <c r="N358" i="1" s="1"/>
  <c r="O358" i="1" s="1"/>
  <c r="P396" i="1"/>
  <c r="Q396" i="1" s="1"/>
  <c r="R396" i="1" s="1"/>
  <c r="M396" i="1"/>
  <c r="N396" i="1" s="1"/>
  <c r="O396" i="1" s="1"/>
  <c r="L409" i="1"/>
  <c r="P419" i="1"/>
  <c r="Q419" i="1" s="1"/>
  <c r="R419" i="1" s="1"/>
  <c r="M419" i="1"/>
  <c r="N419" i="1" s="1"/>
  <c r="O419" i="1" s="1"/>
  <c r="P427" i="1"/>
  <c r="Q427" i="1" s="1"/>
  <c r="R427" i="1" s="1"/>
  <c r="M427" i="1"/>
  <c r="N427" i="1" s="1"/>
  <c r="O427" i="1" s="1"/>
  <c r="F265" i="1"/>
  <c r="L265" i="1"/>
  <c r="F309" i="1"/>
  <c r="L309" i="1" s="1"/>
  <c r="M312" i="1"/>
  <c r="N312" i="1" s="1"/>
  <c r="O312" i="1" s="1"/>
  <c r="P361" i="1"/>
  <c r="Q361" i="1" s="1"/>
  <c r="R361" i="1" s="1"/>
  <c r="M371" i="1"/>
  <c r="N371" i="1" s="1"/>
  <c r="O371" i="1" s="1"/>
  <c r="L374" i="1"/>
  <c r="P389" i="1"/>
  <c r="Q389" i="1" s="1"/>
  <c r="R389" i="1" s="1"/>
  <c r="M389" i="1"/>
  <c r="N389" i="1" s="1"/>
  <c r="O389" i="1" s="1"/>
  <c r="F409" i="1"/>
  <c r="M440" i="1"/>
  <c r="N440" i="1" s="1"/>
  <c r="O440" i="1" s="1"/>
  <c r="L208" i="1"/>
  <c r="L214" i="1"/>
  <c r="F257" i="1"/>
  <c r="L257" i="1" s="1"/>
  <c r="F291" i="1"/>
  <c r="L291" i="1" s="1"/>
  <c r="L305" i="1"/>
  <c r="L307" i="1"/>
  <c r="F314" i="1"/>
  <c r="L314" i="1"/>
  <c r="F321" i="1"/>
  <c r="L321" i="1" s="1"/>
  <c r="F331" i="1"/>
  <c r="L331" i="1" s="1"/>
  <c r="F344" i="1"/>
  <c r="L344" i="1" s="1"/>
  <c r="F356" i="1"/>
  <c r="L356" i="1" s="1"/>
  <c r="L382" i="1"/>
  <c r="L384" i="1"/>
  <c r="F433" i="1"/>
  <c r="L433" i="1" s="1"/>
  <c r="P443" i="1"/>
  <c r="Q443" i="1" s="1"/>
  <c r="R443" i="1" s="1"/>
  <c r="M443" i="1"/>
  <c r="N443" i="1" s="1"/>
  <c r="O443" i="1" s="1"/>
  <c r="F202" i="1"/>
  <c r="F208" i="1"/>
  <c r="F214" i="1"/>
  <c r="F220" i="1"/>
  <c r="L220" i="1" s="1"/>
  <c r="L237" i="1"/>
  <c r="L248" i="1"/>
  <c r="L251" i="1"/>
  <c r="I257" i="1"/>
  <c r="L267" i="1"/>
  <c r="P299" i="1"/>
  <c r="Q299" i="1" s="1"/>
  <c r="R299" i="1" s="1"/>
  <c r="F305" i="1"/>
  <c r="F307" i="1"/>
  <c r="L325" i="1"/>
  <c r="L329" i="1"/>
  <c r="I331" i="1"/>
  <c r="L352" i="1"/>
  <c r="I356" i="1"/>
  <c r="F382" i="1"/>
  <c r="I384" i="1"/>
  <c r="L397" i="1"/>
  <c r="F397" i="1"/>
  <c r="L402" i="1"/>
  <c r="F339" i="1"/>
  <c r="L339" i="1" s="1"/>
  <c r="L399" i="1"/>
  <c r="L417" i="1"/>
  <c r="F269" i="1"/>
  <c r="L269" i="1" s="1"/>
  <c r="L293" i="1"/>
  <c r="L303" i="1"/>
  <c r="L306" i="1"/>
  <c r="F385" i="1"/>
  <c r="L385" i="1" s="1"/>
  <c r="F399" i="1"/>
  <c r="F417" i="1"/>
  <c r="F281" i="1"/>
  <c r="L281" i="1" s="1"/>
  <c r="F293" i="1"/>
  <c r="F303" i="1"/>
  <c r="F306" i="1"/>
  <c r="L316" i="1"/>
  <c r="L330" i="1"/>
  <c r="F353" i="1"/>
  <c r="L353" i="1" s="1"/>
  <c r="L355" i="1"/>
  <c r="F387" i="1"/>
  <c r="L387" i="1" s="1"/>
  <c r="L393" i="1"/>
  <c r="F405" i="1"/>
  <c r="L405" i="1" s="1"/>
  <c r="F316" i="1"/>
  <c r="F327" i="1"/>
  <c r="L327" i="1" s="1"/>
  <c r="F330" i="1"/>
  <c r="F355" i="1"/>
  <c r="L363" i="1"/>
  <c r="F375" i="1"/>
  <c r="L375" i="1" s="1"/>
  <c r="L381" i="1"/>
  <c r="F393" i="1"/>
  <c r="L438" i="1"/>
  <c r="I255" i="1"/>
  <c r="L255" i="1" s="1"/>
  <c r="L268" i="1"/>
  <c r="L277" i="1"/>
  <c r="I330" i="1"/>
  <c r="L341" i="1"/>
  <c r="F363" i="1"/>
  <c r="L369" i="1"/>
  <c r="I375" i="1"/>
  <c r="F381" i="1"/>
  <c r="L426" i="1"/>
  <c r="F438" i="1"/>
  <c r="L444" i="1"/>
  <c r="F446" i="1"/>
  <c r="L446" i="1" s="1"/>
  <c r="P319" i="1" l="1"/>
  <c r="Q319" i="1" s="1"/>
  <c r="R319" i="1" s="1"/>
  <c r="M319" i="1"/>
  <c r="N319" i="1" s="1"/>
  <c r="O319" i="1" s="1"/>
  <c r="P187" i="1"/>
  <c r="Q187" i="1" s="1"/>
  <c r="R187" i="1" s="1"/>
  <c r="M187" i="1"/>
  <c r="N187" i="1" s="1"/>
  <c r="O187" i="1" s="1"/>
  <c r="P375" i="1"/>
  <c r="Q375" i="1" s="1"/>
  <c r="R375" i="1" s="1"/>
  <c r="M375" i="1"/>
  <c r="N375" i="1" s="1"/>
  <c r="O375" i="1" s="1"/>
  <c r="M304" i="1"/>
  <c r="N304" i="1" s="1"/>
  <c r="O304" i="1" s="1"/>
  <c r="P304" i="1"/>
  <c r="Q304" i="1" s="1"/>
  <c r="R304" i="1" s="1"/>
  <c r="M224" i="1"/>
  <c r="N224" i="1" s="1"/>
  <c r="O224" i="1" s="1"/>
  <c r="P224" i="1"/>
  <c r="Q224" i="1" s="1"/>
  <c r="R224" i="1" s="1"/>
  <c r="P179" i="1"/>
  <c r="Q179" i="1" s="1"/>
  <c r="R179" i="1" s="1"/>
  <c r="M179" i="1"/>
  <c r="N179" i="1" s="1"/>
  <c r="O179" i="1" s="1"/>
  <c r="P342" i="1"/>
  <c r="Q342" i="1" s="1"/>
  <c r="R342" i="1" s="1"/>
  <c r="M342" i="1"/>
  <c r="N342" i="1" s="1"/>
  <c r="O342" i="1" s="1"/>
  <c r="P195" i="1"/>
  <c r="Q195" i="1" s="1"/>
  <c r="R195" i="1" s="1"/>
  <c r="M195" i="1"/>
  <c r="N195" i="1" s="1"/>
  <c r="O195" i="1" s="1"/>
  <c r="P180" i="1"/>
  <c r="Q180" i="1" s="1"/>
  <c r="R180" i="1" s="1"/>
  <c r="M180" i="1"/>
  <c r="N180" i="1" s="1"/>
  <c r="O180" i="1" s="1"/>
  <c r="P279" i="1"/>
  <c r="Q279" i="1" s="1"/>
  <c r="R279" i="1" s="1"/>
  <c r="M279" i="1"/>
  <c r="N279" i="1" s="1"/>
  <c r="O279" i="1" s="1"/>
  <c r="P154" i="1"/>
  <c r="Q154" i="1" s="1"/>
  <c r="R154" i="1" s="1"/>
  <c r="M154" i="1"/>
  <c r="N154" i="1" s="1"/>
  <c r="O154" i="1" s="1"/>
  <c r="P221" i="1"/>
  <c r="Q221" i="1" s="1"/>
  <c r="R221" i="1" s="1"/>
  <c r="M221" i="1"/>
  <c r="N221" i="1" s="1"/>
  <c r="O221" i="1" s="1"/>
  <c r="P190" i="1"/>
  <c r="Q190" i="1" s="1"/>
  <c r="R190" i="1" s="1"/>
  <c r="M190" i="1"/>
  <c r="N190" i="1" s="1"/>
  <c r="O190" i="1" s="1"/>
  <c r="P315" i="1"/>
  <c r="Q315" i="1" s="1"/>
  <c r="R315" i="1" s="1"/>
  <c r="M315" i="1"/>
  <c r="N315" i="1" s="1"/>
  <c r="O315" i="1" s="1"/>
  <c r="P170" i="1"/>
  <c r="Q170" i="1" s="1"/>
  <c r="R170" i="1" s="1"/>
  <c r="M170" i="1"/>
  <c r="N170" i="1" s="1"/>
  <c r="O170" i="1" s="1"/>
  <c r="P193" i="1"/>
  <c r="Q193" i="1" s="1"/>
  <c r="R193" i="1" s="1"/>
  <c r="M193" i="1"/>
  <c r="N193" i="1" s="1"/>
  <c r="O193" i="1" s="1"/>
  <c r="M339" i="1"/>
  <c r="N339" i="1" s="1"/>
  <c r="O339" i="1" s="1"/>
  <c r="P339" i="1"/>
  <c r="Q339" i="1" s="1"/>
  <c r="R339" i="1" s="1"/>
  <c r="P291" i="1"/>
  <c r="Q291" i="1" s="1"/>
  <c r="R291" i="1" s="1"/>
  <c r="M291" i="1"/>
  <c r="N291" i="1" s="1"/>
  <c r="O291" i="1" s="1"/>
  <c r="P309" i="1"/>
  <c r="Q309" i="1" s="1"/>
  <c r="R309" i="1" s="1"/>
  <c r="M309" i="1"/>
  <c r="N309" i="1" s="1"/>
  <c r="O309" i="1" s="1"/>
  <c r="P351" i="1"/>
  <c r="Q351" i="1" s="1"/>
  <c r="R351" i="1" s="1"/>
  <c r="M351" i="1"/>
  <c r="N351" i="1" s="1"/>
  <c r="O351" i="1" s="1"/>
  <c r="M239" i="1"/>
  <c r="N239" i="1" s="1"/>
  <c r="O239" i="1" s="1"/>
  <c r="P239" i="1"/>
  <c r="Q239" i="1" s="1"/>
  <c r="R239" i="1" s="1"/>
  <c r="P147" i="1"/>
  <c r="Q147" i="1" s="1"/>
  <c r="R147" i="1" s="1"/>
  <c r="M147" i="1"/>
  <c r="N147" i="1" s="1"/>
  <c r="O147" i="1" s="1"/>
  <c r="M216" i="1"/>
  <c r="N216" i="1" s="1"/>
  <c r="O216" i="1" s="1"/>
  <c r="P216" i="1"/>
  <c r="Q216" i="1" s="1"/>
  <c r="R216" i="1" s="1"/>
  <c r="P258" i="1"/>
  <c r="Q258" i="1" s="1"/>
  <c r="R258" i="1" s="1"/>
  <c r="M258" i="1"/>
  <c r="N258" i="1" s="1"/>
  <c r="O258" i="1" s="1"/>
  <c r="P366" i="1"/>
  <c r="Q366" i="1" s="1"/>
  <c r="R366" i="1" s="1"/>
  <c r="M366" i="1"/>
  <c r="N366" i="1" s="1"/>
  <c r="O366" i="1" s="1"/>
  <c r="P155" i="1"/>
  <c r="Q155" i="1" s="1"/>
  <c r="R155" i="1" s="1"/>
  <c r="M155" i="1"/>
  <c r="N155" i="1" s="1"/>
  <c r="O155" i="1" s="1"/>
  <c r="M280" i="1"/>
  <c r="N280" i="1" s="1"/>
  <c r="O280" i="1" s="1"/>
  <c r="P280" i="1"/>
  <c r="Q280" i="1" s="1"/>
  <c r="R280" i="1" s="1"/>
  <c r="M178" i="1"/>
  <c r="N178" i="1" s="1"/>
  <c r="O178" i="1" s="1"/>
  <c r="P178" i="1"/>
  <c r="Q178" i="1" s="1"/>
  <c r="R178" i="1" s="1"/>
  <c r="M269" i="1"/>
  <c r="N269" i="1" s="1"/>
  <c r="O269" i="1" s="1"/>
  <c r="P269" i="1"/>
  <c r="Q269" i="1" s="1"/>
  <c r="R269" i="1" s="1"/>
  <c r="P406" i="1"/>
  <c r="Q406" i="1" s="1"/>
  <c r="R406" i="1" s="1"/>
  <c r="M406" i="1"/>
  <c r="N406" i="1" s="1"/>
  <c r="O406" i="1" s="1"/>
  <c r="P433" i="1"/>
  <c r="Q433" i="1" s="1"/>
  <c r="R433" i="1" s="1"/>
  <c r="M433" i="1"/>
  <c r="N433" i="1" s="1"/>
  <c r="O433" i="1" s="1"/>
  <c r="P257" i="1"/>
  <c r="Q257" i="1" s="1"/>
  <c r="R257" i="1" s="1"/>
  <c r="M257" i="1"/>
  <c r="N257" i="1" s="1"/>
  <c r="O257" i="1" s="1"/>
  <c r="M215" i="1"/>
  <c r="N215" i="1" s="1"/>
  <c r="O215" i="1" s="1"/>
  <c r="P215" i="1"/>
  <c r="Q215" i="1" s="1"/>
  <c r="R215" i="1" s="1"/>
  <c r="P429" i="1"/>
  <c r="Q429" i="1" s="1"/>
  <c r="R429" i="1" s="1"/>
  <c r="M429" i="1"/>
  <c r="N429" i="1" s="1"/>
  <c r="O429" i="1" s="1"/>
  <c r="P201" i="1"/>
  <c r="Q201" i="1" s="1"/>
  <c r="R201" i="1" s="1"/>
  <c r="M201" i="1"/>
  <c r="N201" i="1" s="1"/>
  <c r="O201" i="1" s="1"/>
  <c r="M290" i="1"/>
  <c r="N290" i="1" s="1"/>
  <c r="O290" i="1" s="1"/>
  <c r="P290" i="1"/>
  <c r="Q290" i="1" s="1"/>
  <c r="R290" i="1" s="1"/>
  <c r="M281" i="1"/>
  <c r="N281" i="1" s="1"/>
  <c r="O281" i="1" s="1"/>
  <c r="P281" i="1"/>
  <c r="Q281" i="1" s="1"/>
  <c r="R281" i="1" s="1"/>
  <c r="P202" i="1"/>
  <c r="Q202" i="1" s="1"/>
  <c r="R202" i="1" s="1"/>
  <c r="M202" i="1"/>
  <c r="N202" i="1" s="1"/>
  <c r="O202" i="1" s="1"/>
  <c r="P199" i="1"/>
  <c r="Q199" i="1" s="1"/>
  <c r="R199" i="1" s="1"/>
  <c r="M199" i="1"/>
  <c r="N199" i="1" s="1"/>
  <c r="O199" i="1" s="1"/>
  <c r="P209" i="1"/>
  <c r="Q209" i="1" s="1"/>
  <c r="R209" i="1" s="1"/>
  <c r="M209" i="1"/>
  <c r="N209" i="1" s="1"/>
  <c r="O209" i="1" s="1"/>
  <c r="P405" i="1"/>
  <c r="Q405" i="1" s="1"/>
  <c r="R405" i="1" s="1"/>
  <c r="M405" i="1"/>
  <c r="N405" i="1" s="1"/>
  <c r="O405" i="1" s="1"/>
  <c r="P356" i="1"/>
  <c r="Q356" i="1" s="1"/>
  <c r="R356" i="1" s="1"/>
  <c r="M356" i="1"/>
  <c r="N356" i="1" s="1"/>
  <c r="O356" i="1" s="1"/>
  <c r="P192" i="1"/>
  <c r="Q192" i="1" s="1"/>
  <c r="R192" i="1" s="1"/>
  <c r="M192" i="1"/>
  <c r="N192" i="1" s="1"/>
  <c r="O192" i="1" s="1"/>
  <c r="M204" i="1"/>
  <c r="N204" i="1" s="1"/>
  <c r="O204" i="1" s="1"/>
  <c r="P204" i="1"/>
  <c r="Q204" i="1" s="1"/>
  <c r="R204" i="1" s="1"/>
  <c r="P166" i="1"/>
  <c r="Q166" i="1" s="1"/>
  <c r="R166" i="1" s="1"/>
  <c r="M166" i="1"/>
  <c r="N166" i="1" s="1"/>
  <c r="O166" i="1" s="1"/>
  <c r="M184" i="1"/>
  <c r="N184" i="1" s="1"/>
  <c r="O184" i="1" s="1"/>
  <c r="P184" i="1"/>
  <c r="Q184" i="1" s="1"/>
  <c r="R184" i="1" s="1"/>
  <c r="M188" i="1"/>
  <c r="N188" i="1" s="1"/>
  <c r="O188" i="1" s="1"/>
  <c r="P188" i="1"/>
  <c r="Q188" i="1" s="1"/>
  <c r="R188" i="1" s="1"/>
  <c r="P206" i="1"/>
  <c r="Q206" i="1" s="1"/>
  <c r="R206" i="1" s="1"/>
  <c r="M206" i="1"/>
  <c r="N206" i="1" s="1"/>
  <c r="O206" i="1" s="1"/>
  <c r="P421" i="1"/>
  <c r="Q421" i="1" s="1"/>
  <c r="R421" i="1" s="1"/>
  <c r="M421" i="1"/>
  <c r="N421" i="1" s="1"/>
  <c r="O421" i="1" s="1"/>
  <c r="P223" i="1"/>
  <c r="Q223" i="1" s="1"/>
  <c r="R223" i="1" s="1"/>
  <c r="M223" i="1"/>
  <c r="N223" i="1" s="1"/>
  <c r="O223" i="1" s="1"/>
  <c r="P157" i="1"/>
  <c r="Q157" i="1" s="1"/>
  <c r="R157" i="1" s="1"/>
  <c r="M157" i="1"/>
  <c r="N157" i="1" s="1"/>
  <c r="O157" i="1" s="1"/>
  <c r="P385" i="1"/>
  <c r="Q385" i="1" s="1"/>
  <c r="R385" i="1" s="1"/>
  <c r="M385" i="1"/>
  <c r="N385" i="1" s="1"/>
  <c r="O385" i="1" s="1"/>
  <c r="P344" i="1"/>
  <c r="Q344" i="1" s="1"/>
  <c r="R344" i="1" s="1"/>
  <c r="M344" i="1"/>
  <c r="N344" i="1" s="1"/>
  <c r="O344" i="1" s="1"/>
  <c r="P159" i="1"/>
  <c r="Q159" i="1" s="1"/>
  <c r="R159" i="1" s="1"/>
  <c r="M159" i="1"/>
  <c r="N159" i="1" s="1"/>
  <c r="O159" i="1" s="1"/>
  <c r="M328" i="1"/>
  <c r="N328" i="1" s="1"/>
  <c r="O328" i="1" s="1"/>
  <c r="P328" i="1"/>
  <c r="Q328" i="1" s="1"/>
  <c r="R328" i="1" s="1"/>
  <c r="P161" i="1"/>
  <c r="Q161" i="1" s="1"/>
  <c r="R161" i="1" s="1"/>
  <c r="M161" i="1"/>
  <c r="N161" i="1" s="1"/>
  <c r="O161" i="1" s="1"/>
  <c r="P411" i="1"/>
  <c r="Q411" i="1" s="1"/>
  <c r="R411" i="1" s="1"/>
  <c r="M411" i="1"/>
  <c r="N411" i="1" s="1"/>
  <c r="O411" i="1" s="1"/>
  <c r="P446" i="1"/>
  <c r="Q446" i="1" s="1"/>
  <c r="R446" i="1" s="1"/>
  <c r="M446" i="1"/>
  <c r="N446" i="1" s="1"/>
  <c r="O446" i="1" s="1"/>
  <c r="P387" i="1"/>
  <c r="Q387" i="1" s="1"/>
  <c r="R387" i="1" s="1"/>
  <c r="M387" i="1"/>
  <c r="N387" i="1" s="1"/>
  <c r="O387" i="1" s="1"/>
  <c r="P148" i="1"/>
  <c r="Q148" i="1" s="1"/>
  <c r="R148" i="1" s="1"/>
  <c r="M148" i="1"/>
  <c r="N148" i="1" s="1"/>
  <c r="O148" i="1" s="1"/>
  <c r="P149" i="1"/>
  <c r="Q149" i="1" s="1"/>
  <c r="R149" i="1" s="1"/>
  <c r="M149" i="1"/>
  <c r="N149" i="1" s="1"/>
  <c r="O149" i="1" s="1"/>
  <c r="M200" i="1"/>
  <c r="N200" i="1" s="1"/>
  <c r="O200" i="1" s="1"/>
  <c r="P200" i="1"/>
  <c r="Q200" i="1" s="1"/>
  <c r="R200" i="1" s="1"/>
  <c r="P432" i="1"/>
  <c r="Q432" i="1" s="1"/>
  <c r="R432" i="1" s="1"/>
  <c r="M432" i="1"/>
  <c r="N432" i="1" s="1"/>
  <c r="O432" i="1" s="1"/>
  <c r="M210" i="1"/>
  <c r="N210" i="1" s="1"/>
  <c r="O210" i="1" s="1"/>
  <c r="P210" i="1"/>
  <c r="Q210" i="1" s="1"/>
  <c r="R210" i="1" s="1"/>
  <c r="P196" i="1"/>
  <c r="Q196" i="1" s="1"/>
  <c r="R196" i="1" s="1"/>
  <c r="M196" i="1"/>
  <c r="N196" i="1" s="1"/>
  <c r="O196" i="1" s="1"/>
  <c r="P390" i="1"/>
  <c r="Q390" i="1" s="1"/>
  <c r="R390" i="1" s="1"/>
  <c r="M390" i="1"/>
  <c r="N390" i="1" s="1"/>
  <c r="O390" i="1" s="1"/>
  <c r="P331" i="1"/>
  <c r="Q331" i="1" s="1"/>
  <c r="R331" i="1" s="1"/>
  <c r="M331" i="1"/>
  <c r="N331" i="1" s="1"/>
  <c r="O331" i="1" s="1"/>
  <c r="P220" i="1"/>
  <c r="Q220" i="1" s="1"/>
  <c r="R220" i="1" s="1"/>
  <c r="M220" i="1"/>
  <c r="N220" i="1" s="1"/>
  <c r="O220" i="1" s="1"/>
  <c r="P321" i="1"/>
  <c r="Q321" i="1" s="1"/>
  <c r="R321" i="1" s="1"/>
  <c r="M321" i="1"/>
  <c r="N321" i="1" s="1"/>
  <c r="O321" i="1" s="1"/>
  <c r="P172" i="1"/>
  <c r="Q172" i="1" s="1"/>
  <c r="R172" i="1" s="1"/>
  <c r="M172" i="1"/>
  <c r="N172" i="1" s="1"/>
  <c r="O172" i="1" s="1"/>
  <c r="P173" i="1"/>
  <c r="Q173" i="1" s="1"/>
  <c r="R173" i="1" s="1"/>
  <c r="M173" i="1"/>
  <c r="N173" i="1" s="1"/>
  <c r="O173" i="1" s="1"/>
  <c r="M225" i="1"/>
  <c r="N225" i="1" s="1"/>
  <c r="O225" i="1" s="1"/>
  <c r="P225" i="1"/>
  <c r="Q225" i="1" s="1"/>
  <c r="R225" i="1" s="1"/>
  <c r="P423" i="1"/>
  <c r="Q423" i="1" s="1"/>
  <c r="R423" i="1" s="1"/>
  <c r="M423" i="1"/>
  <c r="N423" i="1" s="1"/>
  <c r="O423" i="1" s="1"/>
  <c r="M285" i="1"/>
  <c r="N285" i="1" s="1"/>
  <c r="O285" i="1" s="1"/>
  <c r="P285" i="1"/>
  <c r="Q285" i="1" s="1"/>
  <c r="R285" i="1" s="1"/>
  <c r="P327" i="1"/>
  <c r="Q327" i="1" s="1"/>
  <c r="R327" i="1" s="1"/>
  <c r="M327" i="1"/>
  <c r="N327" i="1" s="1"/>
  <c r="O327" i="1" s="1"/>
  <c r="P211" i="1"/>
  <c r="Q211" i="1" s="1"/>
  <c r="R211" i="1" s="1"/>
  <c r="M211" i="1"/>
  <c r="N211" i="1" s="1"/>
  <c r="O211" i="1" s="1"/>
  <c r="P282" i="1"/>
  <c r="Q282" i="1" s="1"/>
  <c r="R282" i="1" s="1"/>
  <c r="M282" i="1"/>
  <c r="N282" i="1" s="1"/>
  <c r="O282" i="1" s="1"/>
  <c r="M177" i="1"/>
  <c r="N177" i="1" s="1"/>
  <c r="O177" i="1" s="1"/>
  <c r="P177" i="1"/>
  <c r="Q177" i="1" s="1"/>
  <c r="R177" i="1" s="1"/>
  <c r="M340" i="1"/>
  <c r="N340" i="1" s="1"/>
  <c r="O340" i="1" s="1"/>
  <c r="P340" i="1"/>
  <c r="Q340" i="1" s="1"/>
  <c r="R340" i="1" s="1"/>
  <c r="M186" i="1"/>
  <c r="N186" i="1" s="1"/>
  <c r="O186" i="1" s="1"/>
  <c r="P186" i="1"/>
  <c r="Q186" i="1" s="1"/>
  <c r="R186" i="1" s="1"/>
  <c r="M353" i="1"/>
  <c r="N353" i="1" s="1"/>
  <c r="O353" i="1" s="1"/>
  <c r="P353" i="1"/>
  <c r="Q353" i="1" s="1"/>
  <c r="R353" i="1" s="1"/>
  <c r="M236" i="1"/>
  <c r="N236" i="1" s="1"/>
  <c r="O236" i="1" s="1"/>
  <c r="P236" i="1"/>
  <c r="Q236" i="1" s="1"/>
  <c r="R236" i="1" s="1"/>
  <c r="P164" i="1"/>
  <c r="Q164" i="1" s="1"/>
  <c r="R164" i="1" s="1"/>
  <c r="M164" i="1"/>
  <c r="N164" i="1" s="1"/>
  <c r="O164" i="1" s="1"/>
  <c r="M249" i="1"/>
  <c r="N249" i="1" s="1"/>
  <c r="O249" i="1" s="1"/>
  <c r="P249" i="1"/>
  <c r="Q249" i="1" s="1"/>
  <c r="R249" i="1" s="1"/>
  <c r="M153" i="1"/>
  <c r="N153" i="1" s="1"/>
  <c r="O153" i="1" s="1"/>
  <c r="P153" i="1"/>
  <c r="Q153" i="1" s="1"/>
  <c r="R153" i="1" s="1"/>
  <c r="P426" i="1"/>
  <c r="Q426" i="1" s="1"/>
  <c r="R426" i="1" s="1"/>
  <c r="M426" i="1"/>
  <c r="N426" i="1" s="1"/>
  <c r="O426" i="1" s="1"/>
  <c r="P381" i="1"/>
  <c r="Q381" i="1" s="1"/>
  <c r="R381" i="1" s="1"/>
  <c r="M381" i="1"/>
  <c r="N381" i="1" s="1"/>
  <c r="O381" i="1" s="1"/>
  <c r="P355" i="1"/>
  <c r="Q355" i="1" s="1"/>
  <c r="R355" i="1" s="1"/>
  <c r="M355" i="1"/>
  <c r="N355" i="1" s="1"/>
  <c r="O355" i="1" s="1"/>
  <c r="M226" i="1"/>
  <c r="N226" i="1" s="1"/>
  <c r="O226" i="1" s="1"/>
  <c r="P226" i="1"/>
  <c r="Q226" i="1" s="1"/>
  <c r="R226" i="1" s="1"/>
  <c r="P163" i="1"/>
  <c r="Q163" i="1" s="1"/>
  <c r="R163" i="1" s="1"/>
  <c r="M163" i="1"/>
  <c r="N163" i="1" s="1"/>
  <c r="O163" i="1" s="1"/>
  <c r="P295" i="1"/>
  <c r="Q295" i="1" s="1"/>
  <c r="R295" i="1" s="1"/>
  <c r="M295" i="1"/>
  <c r="N295" i="1" s="1"/>
  <c r="O295" i="1" s="1"/>
  <c r="P213" i="1"/>
  <c r="Q213" i="1" s="1"/>
  <c r="R213" i="1" s="1"/>
  <c r="M213" i="1"/>
  <c r="N213" i="1" s="1"/>
  <c r="O213" i="1" s="1"/>
  <c r="M247" i="1"/>
  <c r="N247" i="1" s="1"/>
  <c r="O247" i="1" s="1"/>
  <c r="P247" i="1"/>
  <c r="Q247" i="1" s="1"/>
  <c r="R247" i="1" s="1"/>
  <c r="P297" i="1"/>
  <c r="Q297" i="1" s="1"/>
  <c r="R297" i="1" s="1"/>
  <c r="M297" i="1"/>
  <c r="N297" i="1" s="1"/>
  <c r="O297" i="1" s="1"/>
  <c r="M151" i="1"/>
  <c r="N151" i="1" s="1"/>
  <c r="O151" i="1" s="1"/>
  <c r="P151" i="1"/>
  <c r="Q151" i="1" s="1"/>
  <c r="R151" i="1" s="1"/>
  <c r="P296" i="1"/>
  <c r="Q296" i="1" s="1"/>
  <c r="R296" i="1" s="1"/>
  <c r="M296" i="1"/>
  <c r="N296" i="1" s="1"/>
  <c r="O296" i="1" s="1"/>
  <c r="P273" i="1"/>
  <c r="Q273" i="1" s="1"/>
  <c r="R273" i="1" s="1"/>
  <c r="M273" i="1"/>
  <c r="N273" i="1" s="1"/>
  <c r="O273" i="1" s="1"/>
  <c r="M292" i="1"/>
  <c r="N292" i="1" s="1"/>
  <c r="O292" i="1" s="1"/>
  <c r="P292" i="1"/>
  <c r="Q292" i="1" s="1"/>
  <c r="R292" i="1" s="1"/>
  <c r="M156" i="1"/>
  <c r="N156" i="1" s="1"/>
  <c r="O156" i="1" s="1"/>
  <c r="P156" i="1"/>
  <c r="Q156" i="1" s="1"/>
  <c r="R156" i="1" s="1"/>
  <c r="M252" i="1"/>
  <c r="N252" i="1" s="1"/>
  <c r="O252" i="1" s="1"/>
  <c r="P252" i="1"/>
  <c r="Q252" i="1" s="1"/>
  <c r="R252" i="1" s="1"/>
  <c r="M119" i="1"/>
  <c r="N119" i="1" s="1"/>
  <c r="O119" i="1" s="1"/>
  <c r="P119" i="1"/>
  <c r="Q119" i="1" s="1"/>
  <c r="R119" i="1" s="1"/>
  <c r="M253" i="1"/>
  <c r="N253" i="1" s="1"/>
  <c r="O253" i="1" s="1"/>
  <c r="P253" i="1"/>
  <c r="Q253" i="1" s="1"/>
  <c r="R253" i="1" s="1"/>
  <c r="P267" i="1"/>
  <c r="Q267" i="1" s="1"/>
  <c r="R267" i="1" s="1"/>
  <c r="M267" i="1"/>
  <c r="N267" i="1" s="1"/>
  <c r="O267" i="1" s="1"/>
  <c r="M305" i="1"/>
  <c r="N305" i="1" s="1"/>
  <c r="O305" i="1" s="1"/>
  <c r="P305" i="1"/>
  <c r="Q305" i="1" s="1"/>
  <c r="R305" i="1" s="1"/>
  <c r="P374" i="1"/>
  <c r="Q374" i="1" s="1"/>
  <c r="R374" i="1" s="1"/>
  <c r="M374" i="1"/>
  <c r="N374" i="1" s="1"/>
  <c r="O374" i="1" s="1"/>
  <c r="M317" i="1"/>
  <c r="N317" i="1" s="1"/>
  <c r="O317" i="1" s="1"/>
  <c r="P317" i="1"/>
  <c r="Q317" i="1" s="1"/>
  <c r="R317" i="1" s="1"/>
  <c r="M168" i="1"/>
  <c r="N168" i="1" s="1"/>
  <c r="O168" i="1" s="1"/>
  <c r="P168" i="1"/>
  <c r="Q168" i="1" s="1"/>
  <c r="R168" i="1" s="1"/>
  <c r="P441" i="1"/>
  <c r="Q441" i="1" s="1"/>
  <c r="R441" i="1" s="1"/>
  <c r="M441" i="1"/>
  <c r="N441" i="1" s="1"/>
  <c r="O441" i="1" s="1"/>
  <c r="M278" i="1"/>
  <c r="N278" i="1" s="1"/>
  <c r="O278" i="1" s="1"/>
  <c r="P278" i="1"/>
  <c r="Q278" i="1" s="1"/>
  <c r="R278" i="1" s="1"/>
  <c r="P345" i="1"/>
  <c r="Q345" i="1" s="1"/>
  <c r="R345" i="1" s="1"/>
  <c r="M345" i="1"/>
  <c r="N345" i="1" s="1"/>
  <c r="O345" i="1" s="1"/>
  <c r="P169" i="1"/>
  <c r="Q169" i="1" s="1"/>
  <c r="R169" i="1" s="1"/>
  <c r="M169" i="1"/>
  <c r="N169" i="1" s="1"/>
  <c r="O169" i="1" s="1"/>
  <c r="P133" i="1"/>
  <c r="Q133" i="1" s="1"/>
  <c r="R133" i="1" s="1"/>
  <c r="M133" i="1"/>
  <c r="N133" i="1" s="1"/>
  <c r="O133" i="1" s="1"/>
  <c r="M150" i="1"/>
  <c r="N150" i="1" s="1"/>
  <c r="O150" i="1" s="1"/>
  <c r="P150" i="1"/>
  <c r="Q150" i="1" s="1"/>
  <c r="R150" i="1" s="1"/>
  <c r="P175" i="1"/>
  <c r="Q175" i="1" s="1"/>
  <c r="R175" i="1" s="1"/>
  <c r="M175" i="1"/>
  <c r="N175" i="1" s="1"/>
  <c r="O175" i="1" s="1"/>
  <c r="P363" i="1"/>
  <c r="Q363" i="1" s="1"/>
  <c r="R363" i="1" s="1"/>
  <c r="M363" i="1"/>
  <c r="N363" i="1" s="1"/>
  <c r="O363" i="1" s="1"/>
  <c r="P205" i="1"/>
  <c r="Q205" i="1" s="1"/>
  <c r="R205" i="1" s="1"/>
  <c r="M205" i="1"/>
  <c r="N205" i="1" s="1"/>
  <c r="O205" i="1" s="1"/>
  <c r="P384" i="1"/>
  <c r="Q384" i="1" s="1"/>
  <c r="R384" i="1" s="1"/>
  <c r="M384" i="1"/>
  <c r="N384" i="1" s="1"/>
  <c r="O384" i="1" s="1"/>
  <c r="M303" i="1"/>
  <c r="N303" i="1" s="1"/>
  <c r="O303" i="1" s="1"/>
  <c r="P303" i="1"/>
  <c r="Q303" i="1" s="1"/>
  <c r="R303" i="1" s="1"/>
  <c r="P182" i="1"/>
  <c r="Q182" i="1" s="1"/>
  <c r="R182" i="1" s="1"/>
  <c r="M182" i="1"/>
  <c r="N182" i="1" s="1"/>
  <c r="O182" i="1" s="1"/>
  <c r="P212" i="1"/>
  <c r="Q212" i="1" s="1"/>
  <c r="R212" i="1" s="1"/>
  <c r="M212" i="1"/>
  <c r="N212" i="1" s="1"/>
  <c r="O212" i="1" s="1"/>
  <c r="M235" i="1"/>
  <c r="N235" i="1" s="1"/>
  <c r="O235" i="1" s="1"/>
  <c r="P235" i="1"/>
  <c r="Q235" i="1" s="1"/>
  <c r="R235" i="1" s="1"/>
  <c r="P109" i="1"/>
  <c r="Q109" i="1" s="1"/>
  <c r="R109" i="1" s="1"/>
  <c r="M109" i="1"/>
  <c r="N109" i="1" s="1"/>
  <c r="O109" i="1" s="1"/>
  <c r="M293" i="1"/>
  <c r="N293" i="1" s="1"/>
  <c r="O293" i="1" s="1"/>
  <c r="P293" i="1"/>
  <c r="Q293" i="1" s="1"/>
  <c r="R293" i="1" s="1"/>
  <c r="M248" i="1"/>
  <c r="N248" i="1" s="1"/>
  <c r="O248" i="1" s="1"/>
  <c r="P248" i="1"/>
  <c r="Q248" i="1" s="1"/>
  <c r="R248" i="1" s="1"/>
  <c r="P409" i="1"/>
  <c r="Q409" i="1" s="1"/>
  <c r="R409" i="1" s="1"/>
  <c r="M409" i="1"/>
  <c r="N409" i="1" s="1"/>
  <c r="O409" i="1" s="1"/>
  <c r="P403" i="1"/>
  <c r="Q403" i="1" s="1"/>
  <c r="R403" i="1" s="1"/>
  <c r="M403" i="1"/>
  <c r="N403" i="1" s="1"/>
  <c r="O403" i="1" s="1"/>
  <c r="M203" i="1"/>
  <c r="N203" i="1" s="1"/>
  <c r="O203" i="1" s="1"/>
  <c r="P203" i="1"/>
  <c r="Q203" i="1" s="1"/>
  <c r="R203" i="1" s="1"/>
  <c r="P294" i="1"/>
  <c r="Q294" i="1" s="1"/>
  <c r="R294" i="1" s="1"/>
  <c r="M294" i="1"/>
  <c r="N294" i="1" s="1"/>
  <c r="O294" i="1" s="1"/>
  <c r="M86" i="1"/>
  <c r="N86" i="1" s="1"/>
  <c r="O86" i="1" s="1"/>
  <c r="P86" i="1"/>
  <c r="Q86" i="1" s="1"/>
  <c r="R86" i="1" s="1"/>
  <c r="P207" i="1"/>
  <c r="Q207" i="1" s="1"/>
  <c r="R207" i="1" s="1"/>
  <c r="M207" i="1"/>
  <c r="N207" i="1" s="1"/>
  <c r="O207" i="1" s="1"/>
  <c r="M107" i="1"/>
  <c r="N107" i="1" s="1"/>
  <c r="O107" i="1" s="1"/>
  <c r="P107" i="1"/>
  <c r="Q107" i="1" s="1"/>
  <c r="R107" i="1" s="1"/>
  <c r="P103" i="1"/>
  <c r="Q103" i="1" s="1"/>
  <c r="R103" i="1" s="1"/>
  <c r="M103" i="1"/>
  <c r="N103" i="1" s="1"/>
  <c r="O103" i="1" s="1"/>
  <c r="P189" i="1"/>
  <c r="Q189" i="1" s="1"/>
  <c r="R189" i="1" s="1"/>
  <c r="M189" i="1"/>
  <c r="N189" i="1" s="1"/>
  <c r="O189" i="1" s="1"/>
  <c r="M256" i="1"/>
  <c r="N256" i="1" s="1"/>
  <c r="O256" i="1" s="1"/>
  <c r="P256" i="1"/>
  <c r="Q256" i="1" s="1"/>
  <c r="R256" i="1" s="1"/>
  <c r="P97" i="1"/>
  <c r="Q97" i="1" s="1"/>
  <c r="R97" i="1" s="1"/>
  <c r="M97" i="1"/>
  <c r="N97" i="1" s="1"/>
  <c r="O97" i="1" s="1"/>
  <c r="M131" i="1"/>
  <c r="N131" i="1" s="1"/>
  <c r="O131" i="1" s="1"/>
  <c r="P131" i="1"/>
  <c r="Q131" i="1" s="1"/>
  <c r="R131" i="1" s="1"/>
  <c r="P369" i="1"/>
  <c r="Q369" i="1" s="1"/>
  <c r="R369" i="1" s="1"/>
  <c r="M369" i="1"/>
  <c r="N369" i="1" s="1"/>
  <c r="O369" i="1" s="1"/>
  <c r="M316" i="1"/>
  <c r="N316" i="1" s="1"/>
  <c r="O316" i="1" s="1"/>
  <c r="P316" i="1"/>
  <c r="Q316" i="1" s="1"/>
  <c r="R316" i="1" s="1"/>
  <c r="M251" i="1"/>
  <c r="N251" i="1" s="1"/>
  <c r="O251" i="1" s="1"/>
  <c r="P251" i="1"/>
  <c r="Q251" i="1" s="1"/>
  <c r="R251" i="1" s="1"/>
  <c r="P382" i="1"/>
  <c r="Q382" i="1" s="1"/>
  <c r="R382" i="1" s="1"/>
  <c r="M382" i="1"/>
  <c r="N382" i="1" s="1"/>
  <c r="O382" i="1" s="1"/>
  <c r="M95" i="1"/>
  <c r="N95" i="1" s="1"/>
  <c r="O95" i="1" s="1"/>
  <c r="P95" i="1"/>
  <c r="Q95" i="1" s="1"/>
  <c r="R95" i="1" s="1"/>
  <c r="M125" i="1"/>
  <c r="N125" i="1" s="1"/>
  <c r="O125" i="1" s="1"/>
  <c r="P125" i="1"/>
  <c r="Q125" i="1" s="1"/>
  <c r="R125" i="1" s="1"/>
  <c r="M341" i="1"/>
  <c r="N341" i="1" s="1"/>
  <c r="O341" i="1" s="1"/>
  <c r="P341" i="1"/>
  <c r="Q341" i="1" s="1"/>
  <c r="R341" i="1" s="1"/>
  <c r="M237" i="1"/>
  <c r="N237" i="1" s="1"/>
  <c r="O237" i="1" s="1"/>
  <c r="P237" i="1"/>
  <c r="Q237" i="1" s="1"/>
  <c r="R237" i="1" s="1"/>
  <c r="P214" i="1"/>
  <c r="Q214" i="1" s="1"/>
  <c r="R214" i="1" s="1"/>
  <c r="M214" i="1"/>
  <c r="N214" i="1" s="1"/>
  <c r="O214" i="1" s="1"/>
  <c r="P391" i="1"/>
  <c r="Q391" i="1" s="1"/>
  <c r="R391" i="1" s="1"/>
  <c r="M391" i="1"/>
  <c r="N391" i="1" s="1"/>
  <c r="O391" i="1" s="1"/>
  <c r="P378" i="1"/>
  <c r="Q378" i="1" s="1"/>
  <c r="R378" i="1" s="1"/>
  <c r="M378" i="1"/>
  <c r="N378" i="1" s="1"/>
  <c r="O378" i="1" s="1"/>
  <c r="P146" i="1"/>
  <c r="Q146" i="1" s="1"/>
  <c r="R146" i="1" s="1"/>
  <c r="M146" i="1"/>
  <c r="N146" i="1" s="1"/>
  <c r="O146" i="1" s="1"/>
  <c r="P185" i="1"/>
  <c r="Q185" i="1" s="1"/>
  <c r="R185" i="1" s="1"/>
  <c r="M185" i="1"/>
  <c r="N185" i="1" s="1"/>
  <c r="O185" i="1" s="1"/>
  <c r="P445" i="1"/>
  <c r="Q445" i="1" s="1"/>
  <c r="R445" i="1" s="1"/>
  <c r="M445" i="1"/>
  <c r="N445" i="1" s="1"/>
  <c r="O445" i="1" s="1"/>
  <c r="M198" i="1"/>
  <c r="N198" i="1" s="1"/>
  <c r="O198" i="1" s="1"/>
  <c r="P198" i="1"/>
  <c r="Q198" i="1" s="1"/>
  <c r="R198" i="1" s="1"/>
  <c r="P176" i="1"/>
  <c r="Q176" i="1" s="1"/>
  <c r="R176" i="1" s="1"/>
  <c r="M176" i="1"/>
  <c r="N176" i="1" s="1"/>
  <c r="O176" i="1" s="1"/>
  <c r="M222" i="1"/>
  <c r="N222" i="1" s="1"/>
  <c r="O222" i="1" s="1"/>
  <c r="P222" i="1"/>
  <c r="Q222" i="1" s="1"/>
  <c r="R222" i="1" s="1"/>
  <c r="M87" i="1"/>
  <c r="N87" i="1" s="1"/>
  <c r="O87" i="1" s="1"/>
  <c r="P87" i="1"/>
  <c r="Q87" i="1" s="1"/>
  <c r="R87" i="1" s="1"/>
  <c r="M158" i="1"/>
  <c r="N158" i="1" s="1"/>
  <c r="O158" i="1" s="1"/>
  <c r="P158" i="1"/>
  <c r="Q158" i="1" s="1"/>
  <c r="R158" i="1" s="1"/>
  <c r="M101" i="1"/>
  <c r="N101" i="1" s="1"/>
  <c r="O101" i="1" s="1"/>
  <c r="P101" i="1"/>
  <c r="Q101" i="1" s="1"/>
  <c r="R101" i="1" s="1"/>
  <c r="M30" i="1"/>
  <c r="N30" i="1" s="1"/>
  <c r="O30" i="1" s="1"/>
  <c r="P30" i="1"/>
  <c r="Q30" i="1" s="1"/>
  <c r="R30" i="1" s="1"/>
  <c r="P435" i="1"/>
  <c r="Q435" i="1" s="1"/>
  <c r="R435" i="1" s="1"/>
  <c r="M435" i="1"/>
  <c r="N435" i="1" s="1"/>
  <c r="O435" i="1" s="1"/>
  <c r="P330" i="1"/>
  <c r="Q330" i="1" s="1"/>
  <c r="R330" i="1" s="1"/>
  <c r="M330" i="1"/>
  <c r="N330" i="1" s="1"/>
  <c r="O330" i="1" s="1"/>
  <c r="P217" i="1"/>
  <c r="Q217" i="1" s="1"/>
  <c r="R217" i="1" s="1"/>
  <c r="M217" i="1"/>
  <c r="N217" i="1" s="1"/>
  <c r="O217" i="1" s="1"/>
  <c r="M197" i="1"/>
  <c r="N197" i="1" s="1"/>
  <c r="O197" i="1" s="1"/>
  <c r="P197" i="1"/>
  <c r="Q197" i="1" s="1"/>
  <c r="R197" i="1" s="1"/>
  <c r="P183" i="1"/>
  <c r="Q183" i="1" s="1"/>
  <c r="R183" i="1" s="1"/>
  <c r="M183" i="1"/>
  <c r="N183" i="1" s="1"/>
  <c r="O183" i="1" s="1"/>
  <c r="M227" i="1"/>
  <c r="N227" i="1" s="1"/>
  <c r="O227" i="1" s="1"/>
  <c r="P227" i="1"/>
  <c r="Q227" i="1" s="1"/>
  <c r="R227" i="1" s="1"/>
  <c r="M352" i="1"/>
  <c r="N352" i="1" s="1"/>
  <c r="O352" i="1" s="1"/>
  <c r="P352" i="1"/>
  <c r="Q352" i="1" s="1"/>
  <c r="R352" i="1" s="1"/>
  <c r="M208" i="1"/>
  <c r="N208" i="1" s="1"/>
  <c r="O208" i="1" s="1"/>
  <c r="P208" i="1"/>
  <c r="Q208" i="1" s="1"/>
  <c r="R208" i="1" s="1"/>
  <c r="P370" i="1"/>
  <c r="Q370" i="1" s="1"/>
  <c r="R370" i="1" s="1"/>
  <c r="M370" i="1"/>
  <c r="N370" i="1" s="1"/>
  <c r="O370" i="1" s="1"/>
  <c r="M174" i="1"/>
  <c r="N174" i="1" s="1"/>
  <c r="O174" i="1" s="1"/>
  <c r="P174" i="1"/>
  <c r="Q174" i="1" s="1"/>
  <c r="R174" i="1" s="1"/>
  <c r="M233" i="1"/>
  <c r="N233" i="1" s="1"/>
  <c r="O233" i="1" s="1"/>
  <c r="P233" i="1"/>
  <c r="Q233" i="1" s="1"/>
  <c r="R233" i="1" s="1"/>
  <c r="P261" i="1"/>
  <c r="Q261" i="1" s="1"/>
  <c r="R261" i="1" s="1"/>
  <c r="M261" i="1"/>
  <c r="N261" i="1" s="1"/>
  <c r="O261" i="1" s="1"/>
  <c r="P90" i="1"/>
  <c r="Q90" i="1" s="1"/>
  <c r="R90" i="1" s="1"/>
  <c r="M90" i="1"/>
  <c r="N90" i="1" s="1"/>
  <c r="O90" i="1" s="1"/>
  <c r="P347" i="1"/>
  <c r="Q347" i="1" s="1"/>
  <c r="R347" i="1" s="1"/>
  <c r="M347" i="1"/>
  <c r="N347" i="1" s="1"/>
  <c r="O347" i="1" s="1"/>
  <c r="P181" i="1"/>
  <c r="Q181" i="1" s="1"/>
  <c r="R181" i="1" s="1"/>
  <c r="M181" i="1"/>
  <c r="N181" i="1" s="1"/>
  <c r="O181" i="1" s="1"/>
  <c r="P307" i="1"/>
  <c r="Q307" i="1" s="1"/>
  <c r="R307" i="1" s="1"/>
  <c r="M307" i="1"/>
  <c r="N307" i="1" s="1"/>
  <c r="O307" i="1" s="1"/>
  <c r="P354" i="1"/>
  <c r="Q354" i="1" s="1"/>
  <c r="R354" i="1" s="1"/>
  <c r="M354" i="1"/>
  <c r="N354" i="1" s="1"/>
  <c r="O354" i="1" s="1"/>
  <c r="P364" i="1"/>
  <c r="Q364" i="1" s="1"/>
  <c r="R364" i="1" s="1"/>
  <c r="M364" i="1"/>
  <c r="N364" i="1" s="1"/>
  <c r="O364" i="1" s="1"/>
  <c r="P167" i="1"/>
  <c r="Q167" i="1" s="1"/>
  <c r="R167" i="1" s="1"/>
  <c r="M167" i="1"/>
  <c r="N167" i="1" s="1"/>
  <c r="O167" i="1" s="1"/>
  <c r="M230" i="1"/>
  <c r="N230" i="1" s="1"/>
  <c r="O230" i="1" s="1"/>
  <c r="P230" i="1"/>
  <c r="Q230" i="1" s="1"/>
  <c r="R230" i="1" s="1"/>
  <c r="M268" i="1"/>
  <c r="N268" i="1" s="1"/>
  <c r="O268" i="1" s="1"/>
  <c r="P268" i="1"/>
  <c r="Q268" i="1" s="1"/>
  <c r="R268" i="1" s="1"/>
  <c r="M329" i="1"/>
  <c r="N329" i="1" s="1"/>
  <c r="O329" i="1" s="1"/>
  <c r="P329" i="1"/>
  <c r="Q329" i="1" s="1"/>
  <c r="R329" i="1" s="1"/>
  <c r="P322" i="1"/>
  <c r="Q322" i="1" s="1"/>
  <c r="R322" i="1" s="1"/>
  <c r="M322" i="1"/>
  <c r="N322" i="1" s="1"/>
  <c r="O322" i="1" s="1"/>
  <c r="P162" i="1"/>
  <c r="Q162" i="1" s="1"/>
  <c r="R162" i="1" s="1"/>
  <c r="M162" i="1"/>
  <c r="N162" i="1" s="1"/>
  <c r="O162" i="1" s="1"/>
  <c r="P218" i="1"/>
  <c r="Q218" i="1" s="1"/>
  <c r="R218" i="1" s="1"/>
  <c r="M218" i="1"/>
  <c r="N218" i="1" s="1"/>
  <c r="O218" i="1" s="1"/>
  <c r="P277" i="1"/>
  <c r="Q277" i="1" s="1"/>
  <c r="R277" i="1" s="1"/>
  <c r="M277" i="1"/>
  <c r="N277" i="1" s="1"/>
  <c r="O277" i="1" s="1"/>
  <c r="P343" i="1"/>
  <c r="Q343" i="1" s="1"/>
  <c r="R343" i="1" s="1"/>
  <c r="M343" i="1"/>
  <c r="N343" i="1" s="1"/>
  <c r="O343" i="1" s="1"/>
  <c r="M160" i="1"/>
  <c r="N160" i="1" s="1"/>
  <c r="O160" i="1" s="1"/>
  <c r="P160" i="1"/>
  <c r="Q160" i="1" s="1"/>
  <c r="R160" i="1" s="1"/>
  <c r="P393" i="1"/>
  <c r="Q393" i="1" s="1"/>
  <c r="R393" i="1" s="1"/>
  <c r="M393" i="1"/>
  <c r="N393" i="1" s="1"/>
  <c r="O393" i="1" s="1"/>
  <c r="M234" i="1"/>
  <c r="N234" i="1" s="1"/>
  <c r="O234" i="1" s="1"/>
  <c r="P234" i="1"/>
  <c r="Q234" i="1" s="1"/>
  <c r="R234" i="1" s="1"/>
  <c r="P266" i="1"/>
  <c r="Q266" i="1" s="1"/>
  <c r="R266" i="1" s="1"/>
  <c r="M266" i="1"/>
  <c r="N266" i="1" s="1"/>
  <c r="O266" i="1" s="1"/>
  <c r="P152" i="1"/>
  <c r="Q152" i="1" s="1"/>
  <c r="R152" i="1" s="1"/>
  <c r="M152" i="1"/>
  <c r="N152" i="1" s="1"/>
  <c r="O152" i="1" s="1"/>
  <c r="M143" i="1"/>
  <c r="N143" i="1" s="1"/>
  <c r="O143" i="1" s="1"/>
  <c r="P143" i="1"/>
  <c r="Q143" i="1" s="1"/>
  <c r="R143" i="1" s="1"/>
  <c r="P402" i="1"/>
  <c r="Q402" i="1" s="1"/>
  <c r="R402" i="1" s="1"/>
  <c r="M402" i="1"/>
  <c r="N402" i="1" s="1"/>
  <c r="O402" i="1" s="1"/>
  <c r="P397" i="1"/>
  <c r="Q397" i="1" s="1"/>
  <c r="R397" i="1" s="1"/>
  <c r="M397" i="1"/>
  <c r="N397" i="1" s="1"/>
  <c r="O397" i="1" s="1"/>
  <c r="P414" i="1"/>
  <c r="Q414" i="1" s="1"/>
  <c r="R414" i="1" s="1"/>
  <c r="M414" i="1"/>
  <c r="N414" i="1" s="1"/>
  <c r="O414" i="1" s="1"/>
  <c r="P219" i="1"/>
  <c r="Q219" i="1" s="1"/>
  <c r="R219" i="1" s="1"/>
  <c r="M219" i="1"/>
  <c r="N219" i="1" s="1"/>
  <c r="O219" i="1" s="1"/>
  <c r="M255" i="1"/>
  <c r="N255" i="1" s="1"/>
  <c r="O255" i="1" s="1"/>
  <c r="P255" i="1"/>
  <c r="Q255" i="1" s="1"/>
  <c r="R255" i="1" s="1"/>
  <c r="P325" i="1"/>
  <c r="Q325" i="1" s="1"/>
  <c r="R325" i="1" s="1"/>
  <c r="M325" i="1"/>
  <c r="N325" i="1" s="1"/>
  <c r="O325" i="1" s="1"/>
  <c r="M265" i="1"/>
  <c r="N265" i="1" s="1"/>
  <c r="O265" i="1" s="1"/>
  <c r="P265" i="1"/>
  <c r="Q265" i="1" s="1"/>
  <c r="R265" i="1" s="1"/>
  <c r="P270" i="1"/>
  <c r="Q270" i="1" s="1"/>
  <c r="R270" i="1" s="1"/>
  <c r="M270" i="1"/>
  <c r="N270" i="1" s="1"/>
  <c r="O270" i="1" s="1"/>
  <c r="M165" i="1"/>
  <c r="N165" i="1" s="1"/>
  <c r="O165" i="1" s="1"/>
  <c r="P165" i="1"/>
  <c r="Q165" i="1" s="1"/>
  <c r="R165" i="1" s="1"/>
  <c r="P444" i="1"/>
  <c r="Q444" i="1" s="1"/>
  <c r="R444" i="1" s="1"/>
  <c r="M444" i="1"/>
  <c r="N444" i="1" s="1"/>
  <c r="O444" i="1" s="1"/>
  <c r="P438" i="1"/>
  <c r="Q438" i="1" s="1"/>
  <c r="R438" i="1" s="1"/>
  <c r="M438" i="1"/>
  <c r="N438" i="1" s="1"/>
  <c r="O438" i="1" s="1"/>
  <c r="P314" i="1"/>
  <c r="Q314" i="1" s="1"/>
  <c r="R314" i="1" s="1"/>
  <c r="M314" i="1"/>
  <c r="N314" i="1" s="1"/>
  <c r="O314" i="1" s="1"/>
  <c r="P171" i="1"/>
  <c r="Q171" i="1" s="1"/>
  <c r="R171" i="1" s="1"/>
  <c r="M171" i="1"/>
  <c r="N171" i="1" s="1"/>
  <c r="O171" i="1" s="1"/>
  <c r="P306" i="1"/>
  <c r="Q306" i="1" s="1"/>
  <c r="R306" i="1" s="1"/>
  <c r="M306" i="1"/>
  <c r="N306" i="1" s="1"/>
  <c r="O306" i="1" s="1"/>
  <c r="P194" i="1"/>
  <c r="Q194" i="1" s="1"/>
  <c r="R194" i="1" s="1"/>
  <c r="M194" i="1"/>
  <c r="N194" i="1" s="1"/>
  <c r="O194" i="1" s="1"/>
  <c r="P260" i="1"/>
  <c r="Q260" i="1" s="1"/>
  <c r="R260" i="1" s="1"/>
  <c r="M260" i="1"/>
  <c r="N260" i="1" s="1"/>
  <c r="O260" i="1" s="1"/>
  <c r="P127" i="1"/>
  <c r="Q127" i="1" s="1"/>
  <c r="R127" i="1" s="1"/>
  <c r="M127" i="1"/>
  <c r="N127" i="1" s="1"/>
  <c r="O127" i="1" s="1"/>
  <c r="P417" i="1"/>
  <c r="Q417" i="1" s="1"/>
  <c r="R417" i="1" s="1"/>
  <c r="M417" i="1"/>
  <c r="N417" i="1" s="1"/>
  <c r="O417" i="1" s="1"/>
  <c r="P333" i="1"/>
  <c r="Q333" i="1" s="1"/>
  <c r="R333" i="1" s="1"/>
  <c r="M333" i="1"/>
  <c r="N333" i="1" s="1"/>
  <c r="O333" i="1" s="1"/>
  <c r="P283" i="1"/>
  <c r="Q283" i="1" s="1"/>
  <c r="R283" i="1" s="1"/>
  <c r="M283" i="1"/>
  <c r="N283" i="1" s="1"/>
  <c r="O283" i="1" s="1"/>
  <c r="M250" i="1"/>
  <c r="N250" i="1" s="1"/>
  <c r="O250" i="1" s="1"/>
  <c r="P250" i="1"/>
  <c r="Q250" i="1" s="1"/>
  <c r="R250" i="1" s="1"/>
  <c r="P191" i="1"/>
  <c r="Q191" i="1" s="1"/>
  <c r="R191" i="1" s="1"/>
  <c r="M191" i="1"/>
  <c r="N191" i="1" s="1"/>
  <c r="O191" i="1" s="1"/>
  <c r="P399" i="1"/>
  <c r="Q399" i="1" s="1"/>
  <c r="R399" i="1" s="1"/>
  <c r="M399" i="1"/>
  <c r="N399" i="1" s="1"/>
  <c r="O399" i="1" s="1"/>
  <c r="P318" i="1"/>
  <c r="Q318" i="1" s="1"/>
  <c r="R318" i="1" s="1"/>
  <c r="M318" i="1"/>
  <c r="N318" i="1" s="1"/>
  <c r="O318" i="1" s="1"/>
  <c r="M238" i="1"/>
  <c r="N238" i="1" s="1"/>
  <c r="O238" i="1" s="1"/>
  <c r="P238" i="1"/>
  <c r="Q238" i="1" s="1"/>
  <c r="R238" i="1" s="1"/>
  <c r="P310" i="1"/>
  <c r="Q310" i="1" s="1"/>
  <c r="R310" i="1" s="1"/>
  <c r="M310" i="1"/>
  <c r="N310" i="1" s="1"/>
  <c r="O310" i="1" s="1"/>
  <c r="P121" i="1"/>
  <c r="Q121" i="1" s="1"/>
  <c r="R121" i="1" s="1"/>
  <c r="M121" i="1"/>
  <c r="N121" i="1" s="1"/>
  <c r="O121" i="1" s="1"/>
</calcChain>
</file>

<file path=xl/sharedStrings.xml><?xml version="1.0" encoding="utf-8"?>
<sst xmlns="http://schemas.openxmlformats.org/spreadsheetml/2006/main" count="30" uniqueCount="30">
  <si>
    <t>하한</t>
  </si>
  <si>
    <t>상한</t>
  </si>
  <si>
    <t>배대지비용</t>
  </si>
  <si>
    <t>카드수수료</t>
  </si>
  <si>
    <t>관부가세</t>
  </si>
  <si>
    <t>부가세</t>
  </si>
  <si>
    <t>곱하기마진</t>
  </si>
  <si>
    <t>더하기마진</t>
  </si>
  <si>
    <t/>
  </si>
  <si>
    <t>마진율 설정값</t>
  </si>
  <si>
    <t>최대 마진율(저가 cap)</t>
  </si>
  <si>
    <t>최소 마진율(고가 floor)</t>
  </si>
  <si>
    <t>고정마진액(원)</t>
  </si>
  <si>
    <t>100만원 이하 평균마진율(검증)</t>
  </si>
  <si>
    <t>전체 445구간 평균마진율(참고)</t>
  </si>
  <si>
    <t>더하기마진 설정값</t>
  </si>
  <si>
    <t>시작금액(최저가, 원)</t>
  </si>
  <si>
    <t>증가율(상승 기울기)</t>
  </si>
  <si>
    <t>상한(최대 고정마진, 원)</t>
  </si>
  <si>
    <t>총마진액(G×B+H)</t>
  </si>
  <si>
    <t>마켓수수료 설정값</t>
  </si>
  <si>
    <t>스토어(스마트스토어) 수수료율</t>
  </si>
  <si>
    <t>기타마켓 수수료율</t>
  </si>
  <si>
    <t>기준가(원가+배송비+관부가세+마진)</t>
  </si>
  <si>
    <t>스마트스토어(6%)판매가</t>
    <phoneticPr fontId="2" type="noConversion"/>
  </si>
  <si>
    <t>스마트스토어 총마진액</t>
  </si>
  <si>
    <t>스마트스토어 마진율</t>
  </si>
  <si>
    <t>오픈마켓(13%)판매가</t>
    <phoneticPr fontId="2" type="noConversion"/>
  </si>
  <si>
    <t>오픈마켓 총마진액</t>
  </si>
  <si>
    <t>오픈마켓 마진율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</si>
</sst>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%"/>
    <numFmt numFmtId="177" formatCode="_(* #,##0_);_(* \(#,##0\);_(* &quot;-&quot;_);_(@_)"/>
  </numFmts>
  <fonts count="8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2"/>
      <scheme val="minor"/>
    </font>
    <font>
      <sz val="12"/>
      <color rgb="FF0000FF"/>
      <name val="맑은 고딕"/>
      <family val="2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</cellStyleXfs>
  <cellXfs count="15">
    <xf numFmtId="0" fontId="0" fillId="0" borderId="0" xfId="0" applyNumberFormat="1"/>
    <xf numFmtId="41" fontId="0" fillId="0" borderId="1" xfId="1" applyFont="1" applyBorder="1">
      <alignment vertical="center"/>
    </xf>
    <xf numFmtId="9" fontId="0" fillId="0" borderId="0" xfId="2" applyFont="1" applyAlignment="1"/>
    <xf numFmtId="41" fontId="0" fillId="0" borderId="0" xfId="0" applyNumberFormat="1"/>
    <xf numFmtId="9" fontId="4" fillId="0" borderId="0" xfId="0" applyNumberFormat="1" applyFont="1"/>
    <xf numFmtId="3" fontId="4" fillId="0" borderId="0" xfId="0" applyNumberFormat="1" applyFont="1"/>
    <xf numFmtId="176" fontId="0" fillId="0" borderId="0" xfId="0" applyNumberFormat="1"/>
    <xf numFmtId="176" fontId="4" fillId="0" borderId="0" xfId="0" applyNumberFormat="1" applyFont="1"/>
    <xf numFmtId="177" fontId="0" fillId="0" borderId="0" xfId="0" applyNumberFormat="1"/>
    <xf numFmtId="0" fontId="0" fillId="0" borderId="0" xfId="0"/>
    <xf numFmtId="0" fontId="3" fillId="0" borderId="0" xfId="0" applyFont="1"/>
    <xf numFmtId="0" fontId="5" fillId="0" borderId="0" xfId="0" applyFont="1"/>
    <xf numFmtId="177" fontId="6" fillId="0" borderId="0" xfId="0" applyNumberFormat="1" applyFont="1"/>
    <xf numFmtId="176" fontId="6" fillId="0" borderId="0" xfId="0" applyNumberFormat="1" applyFont="1"/>
    <xf numFmtId="0" fontId="7" fillId="2" borderId="0" xfId="3" applyAlignment="1"/>
  </cellXfs>
  <cellStyles count="4">
    <cellStyle name="백분율" xfId="2" builtinId="5"/>
    <cellStyle name="보통" xfId="3" builtinId="28"/>
    <cellStyle name="쉼표 [0]" xfId="1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2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3A476B-4AE1-40DA-A495-F2B266B5081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39a6b2e-44ba-4796-bdd9-cdbf3c4918f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6"/>
  <sheetViews>
    <sheetView tabSelected="1" workbookViewId="0">
      <selection activeCell="J16" sqref="J16"/>
    </sheetView>
  </sheetViews>
  <sheetFormatPr defaultRowHeight="17.25" x14ac:dyDescent="0.3"/>
  <cols>
    <col min="1" max="1" width="12" style="9" customWidth="1"/>
    <col min="2" max="2" width="11.5546875" style="9" customWidth="1"/>
    <col min="3" max="4" width="8.88671875" style="9"/>
    <col min="5" max="5" width="10.88671875" style="9" customWidth="1"/>
    <col min="6" max="9" width="8.88671875" style="9"/>
    <col min="10" max="10" width="28.44140625" style="9" customWidth="1"/>
    <col min="11" max="11" width="8.88671875" style="9"/>
    <col min="12" max="12" width="11.33203125" style="9" customWidth="1"/>
    <col min="13" max="13" width="19.44140625" style="9" customWidth="1"/>
    <col min="14" max="14" width="21" style="9" bestFit="1" customWidth="1"/>
    <col min="15" max="15" width="19" style="9" bestFit="1" customWidth="1"/>
    <col min="16" max="16" width="21" style="9" customWidth="1"/>
    <col min="17" max="17" width="17.109375" style="9" bestFit="1" customWidth="1"/>
    <col min="18" max="18" width="15.109375" style="9" bestFit="1" customWidth="1"/>
    <col min="19" max="16384" width="8.88671875" style="9"/>
  </cols>
  <sheetData>
    <row r="1" spans="1:18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9" t="s">
        <v>19</v>
      </c>
      <c r="J1" s="10" t="s">
        <v>9</v>
      </c>
      <c r="L1" s="10" t="s">
        <v>23</v>
      </c>
      <c r="M1" s="10" t="s">
        <v>24</v>
      </c>
      <c r="N1" s="11" t="s">
        <v>25</v>
      </c>
      <c r="O1" s="11" t="s">
        <v>26</v>
      </c>
      <c r="P1" s="10" t="s">
        <v>27</v>
      </c>
      <c r="Q1" s="11" t="s">
        <v>28</v>
      </c>
      <c r="R1" s="11" t="s">
        <v>29</v>
      </c>
    </row>
    <row r="2" spans="1:18" x14ac:dyDescent="0.3">
      <c r="A2" s="1">
        <v>1</v>
      </c>
      <c r="B2" s="1">
        <v>10000</v>
      </c>
      <c r="C2" s="9">
        <v>15900</v>
      </c>
      <c r="D2" s="9" t="s">
        <v>8</v>
      </c>
      <c r="E2" s="9">
        <v>0</v>
      </c>
      <c r="F2" s="9">
        <v>0</v>
      </c>
      <c r="G2" s="2">
        <f>MIN($K$2,MAX($K$3,$K$4/B2+$K$3))</f>
        <v>0.35</v>
      </c>
      <c r="H2" s="8">
        <f>MIN($K$11,$K$9+$K$10*(B2-$B$2))</f>
        <v>5000</v>
      </c>
      <c r="I2" s="8">
        <f>B2*G2+H2</f>
        <v>8500</v>
      </c>
      <c r="J2" s="9" t="s">
        <v>10</v>
      </c>
      <c r="K2" s="4">
        <v>0.35</v>
      </c>
      <c r="L2" s="8">
        <f>B2+C2+E2+F2+I2</f>
        <v>34400</v>
      </c>
      <c r="M2" s="8">
        <f>L2/(1-$K$14)</f>
        <v>36595.744680851065</v>
      </c>
      <c r="N2" s="12">
        <f>M2*(1-$K$14)-B2-C2-E2-F2</f>
        <v>8500</v>
      </c>
      <c r="O2" s="13">
        <f>N2/M2</f>
        <v>0.23226744186046511</v>
      </c>
      <c r="P2" s="8">
        <f>L2/(1-$K$15)</f>
        <v>39540.229885057473</v>
      </c>
      <c r="Q2" s="12">
        <f>P2*(1-$K$15)-B2-C2-E2-F2</f>
        <v>8500</v>
      </c>
      <c r="R2" s="13">
        <f>Q2/P2</f>
        <v>0.21497093023255812</v>
      </c>
    </row>
    <row r="3" spans="1:18" x14ac:dyDescent="0.3">
      <c r="A3" s="1">
        <v>10001</v>
      </c>
      <c r="B3" s="1">
        <v>20000</v>
      </c>
      <c r="C3" s="9">
        <v>15900</v>
      </c>
      <c r="E3" s="9">
        <v>0</v>
      </c>
      <c r="F3" s="9">
        <v>0</v>
      </c>
      <c r="G3" s="2">
        <f t="shared" ref="G3:G66" si="0">MIN($K$2,MAX($K$3,$K$4/B3+$K$3))</f>
        <v>0.35</v>
      </c>
      <c r="H3" s="8">
        <f t="shared" ref="H3:H66" si="1">MIN($K$11,$K$9+$K$10*(B3-$B$2))</f>
        <v>5250</v>
      </c>
      <c r="I3" s="8">
        <f t="shared" ref="I3:I66" si="2">B3*G3+H3</f>
        <v>12250</v>
      </c>
      <c r="J3" s="9" t="s">
        <v>11</v>
      </c>
      <c r="K3" s="4">
        <v>0.08</v>
      </c>
      <c r="L3" s="8">
        <f t="shared" ref="L3:L66" si="3">B3+C3+E3+F3+I3</f>
        <v>48150</v>
      </c>
      <c r="M3" s="8">
        <f t="shared" ref="M3:M66" si="4">L3/(1-$K$14)</f>
        <v>51223.404255319154</v>
      </c>
      <c r="N3" s="12">
        <f t="shared" ref="N3:N66" si="5">M3*(1-$K$14)-B3-C3-E3-F3</f>
        <v>12250</v>
      </c>
      <c r="O3" s="13">
        <f t="shared" ref="O3:O66" si="6">N3/M3</f>
        <v>0.23914849428868118</v>
      </c>
      <c r="P3" s="8">
        <f t="shared" ref="P3:P66" si="7">L3/(1-$K$15)</f>
        <v>55344.827586206899</v>
      </c>
      <c r="Q3" s="12">
        <f t="shared" ref="Q3:Q66" si="8">P3*(1-$K$15)-B3-C3-E3-F3</f>
        <v>12250</v>
      </c>
      <c r="R3" s="13">
        <f t="shared" ref="R3:R66" si="9">Q3/P3</f>
        <v>0.22133956386292833</v>
      </c>
    </row>
    <row r="4" spans="1:18" x14ac:dyDescent="0.3">
      <c r="A4" s="1">
        <v>20001</v>
      </c>
      <c r="B4" s="1">
        <v>30000</v>
      </c>
      <c r="C4" s="9">
        <v>15900</v>
      </c>
      <c r="E4" s="9">
        <v>0</v>
      </c>
      <c r="F4" s="9">
        <v>0</v>
      </c>
      <c r="G4" s="2">
        <f t="shared" si="0"/>
        <v>0.35</v>
      </c>
      <c r="H4" s="8">
        <f t="shared" si="1"/>
        <v>5500</v>
      </c>
      <c r="I4" s="8">
        <f t="shared" si="2"/>
        <v>16000</v>
      </c>
      <c r="J4" s="9" t="s">
        <v>12</v>
      </c>
      <c r="K4" s="5">
        <v>13000</v>
      </c>
      <c r="L4" s="8">
        <f t="shared" si="3"/>
        <v>61900</v>
      </c>
      <c r="M4" s="8">
        <f t="shared" si="4"/>
        <v>65851.063829787236</v>
      </c>
      <c r="N4" s="12">
        <f t="shared" si="5"/>
        <v>16000</v>
      </c>
      <c r="O4" s="13">
        <f t="shared" si="6"/>
        <v>0.24297253634894991</v>
      </c>
      <c r="P4" s="8">
        <f t="shared" si="7"/>
        <v>71149.425287356324</v>
      </c>
      <c r="Q4" s="12">
        <f t="shared" si="8"/>
        <v>16000</v>
      </c>
      <c r="R4" s="13">
        <f t="shared" si="9"/>
        <v>0.22487883683360257</v>
      </c>
    </row>
    <row r="5" spans="1:18" x14ac:dyDescent="0.3">
      <c r="A5" s="1">
        <v>30001</v>
      </c>
      <c r="B5" s="1">
        <v>40000</v>
      </c>
      <c r="C5" s="9">
        <v>15900</v>
      </c>
      <c r="E5" s="9">
        <v>0</v>
      </c>
      <c r="F5" s="9">
        <v>0</v>
      </c>
      <c r="G5" s="2">
        <f t="shared" si="0"/>
        <v>0.35</v>
      </c>
      <c r="H5" s="8">
        <f t="shared" si="1"/>
        <v>5750</v>
      </c>
      <c r="I5" s="8">
        <f t="shared" si="2"/>
        <v>19750</v>
      </c>
      <c r="J5" s="9" t="s">
        <v>13</v>
      </c>
      <c r="K5" s="6">
        <f>AVERAGEIF(B2:B446,"&lt;=1000000",G2:G446)</f>
        <v>0.15021260536499731</v>
      </c>
      <c r="L5" s="8">
        <f t="shared" si="3"/>
        <v>75650</v>
      </c>
      <c r="M5" s="8">
        <f t="shared" si="4"/>
        <v>80478.723404255317</v>
      </c>
      <c r="N5" s="12">
        <f t="shared" si="5"/>
        <v>19750</v>
      </c>
      <c r="O5" s="13">
        <f t="shared" si="6"/>
        <v>0.24540647719762063</v>
      </c>
      <c r="P5" s="8">
        <f t="shared" si="7"/>
        <v>86954.022988505749</v>
      </c>
      <c r="Q5" s="12">
        <f t="shared" si="8"/>
        <v>19750</v>
      </c>
      <c r="R5" s="13">
        <f t="shared" si="9"/>
        <v>0.22713152676801057</v>
      </c>
    </row>
    <row r="6" spans="1:18" x14ac:dyDescent="0.3">
      <c r="A6" s="1">
        <v>40001</v>
      </c>
      <c r="B6" s="1">
        <v>50000</v>
      </c>
      <c r="C6" s="9">
        <v>15900</v>
      </c>
      <c r="E6" s="9">
        <v>0</v>
      </c>
      <c r="F6" s="9">
        <v>0</v>
      </c>
      <c r="G6" s="2">
        <f t="shared" si="0"/>
        <v>0.34</v>
      </c>
      <c r="H6" s="8">
        <f t="shared" si="1"/>
        <v>6000</v>
      </c>
      <c r="I6" s="8">
        <f t="shared" si="2"/>
        <v>23000</v>
      </c>
      <c r="J6" s="9" t="s">
        <v>14</v>
      </c>
      <c r="K6" s="6">
        <f>AVERAGE(G2:G446)</f>
        <v>9.1836010182608396E-2</v>
      </c>
      <c r="L6" s="8">
        <f t="shared" si="3"/>
        <v>88900</v>
      </c>
      <c r="M6" s="8">
        <f t="shared" si="4"/>
        <v>94574.468085106389</v>
      </c>
      <c r="N6" s="12">
        <f t="shared" si="5"/>
        <v>23000</v>
      </c>
      <c r="O6" s="13">
        <f t="shared" si="6"/>
        <v>0.24319460067491561</v>
      </c>
      <c r="P6" s="8">
        <f t="shared" si="7"/>
        <v>102183.908045977</v>
      </c>
      <c r="Q6" s="12">
        <f t="shared" si="8"/>
        <v>23000</v>
      </c>
      <c r="R6" s="13">
        <f t="shared" si="9"/>
        <v>0.22508436445444321</v>
      </c>
    </row>
    <row r="7" spans="1:18" x14ac:dyDescent="0.3">
      <c r="A7" s="1">
        <v>50001</v>
      </c>
      <c r="B7" s="1">
        <v>60000</v>
      </c>
      <c r="C7" s="9">
        <v>15900</v>
      </c>
      <c r="E7" s="9">
        <v>0</v>
      </c>
      <c r="F7" s="9">
        <v>0</v>
      </c>
      <c r="G7" s="2">
        <f t="shared" si="0"/>
        <v>0.29666666666666669</v>
      </c>
      <c r="H7" s="8">
        <f t="shared" si="1"/>
        <v>6250</v>
      </c>
      <c r="I7" s="8">
        <f t="shared" si="2"/>
        <v>24050</v>
      </c>
      <c r="L7" s="8">
        <f t="shared" si="3"/>
        <v>99950</v>
      </c>
      <c r="M7" s="8">
        <f t="shared" si="4"/>
        <v>106329.78723404255</v>
      </c>
      <c r="N7" s="12">
        <f t="shared" si="5"/>
        <v>24050</v>
      </c>
      <c r="O7" s="13">
        <f t="shared" si="6"/>
        <v>0.22618309154577287</v>
      </c>
      <c r="P7" s="8">
        <f t="shared" si="7"/>
        <v>114885.05747126437</v>
      </c>
      <c r="Q7" s="12">
        <f t="shared" si="8"/>
        <v>24050</v>
      </c>
      <c r="R7" s="13">
        <f t="shared" si="9"/>
        <v>0.20933966983491745</v>
      </c>
    </row>
    <row r="8" spans="1:18" x14ac:dyDescent="0.3">
      <c r="A8" s="1">
        <v>60001</v>
      </c>
      <c r="B8" s="1">
        <v>70000</v>
      </c>
      <c r="C8" s="9">
        <v>15900</v>
      </c>
      <c r="E8" s="9">
        <v>0</v>
      </c>
      <c r="F8" s="9">
        <v>0</v>
      </c>
      <c r="G8" s="2">
        <f t="shared" si="0"/>
        <v>0.26571428571428574</v>
      </c>
      <c r="H8" s="8">
        <f t="shared" si="1"/>
        <v>6500</v>
      </c>
      <c r="I8" s="8">
        <f t="shared" si="2"/>
        <v>25100</v>
      </c>
      <c r="J8" s="10" t="s">
        <v>15</v>
      </c>
      <c r="L8" s="8">
        <f t="shared" si="3"/>
        <v>111000</v>
      </c>
      <c r="M8" s="8">
        <f t="shared" si="4"/>
        <v>118085.10638297873</v>
      </c>
      <c r="N8" s="12">
        <f t="shared" si="5"/>
        <v>25100</v>
      </c>
      <c r="O8" s="13">
        <f t="shared" si="6"/>
        <v>0.21255855855855854</v>
      </c>
      <c r="P8" s="8">
        <f t="shared" si="7"/>
        <v>127586.20689655172</v>
      </c>
      <c r="Q8" s="12">
        <f t="shared" si="8"/>
        <v>25100</v>
      </c>
      <c r="R8" s="13">
        <f t="shared" si="9"/>
        <v>0.19672972972972974</v>
      </c>
    </row>
    <row r="9" spans="1:18" x14ac:dyDescent="0.3">
      <c r="A9" s="1">
        <v>70001</v>
      </c>
      <c r="B9" s="1">
        <v>80000</v>
      </c>
      <c r="C9" s="9">
        <v>15900</v>
      </c>
      <c r="E9" s="9">
        <v>0</v>
      </c>
      <c r="F9" s="9">
        <v>0</v>
      </c>
      <c r="G9" s="2">
        <f t="shared" si="0"/>
        <v>0.24249999999999999</v>
      </c>
      <c r="H9" s="8">
        <f t="shared" si="1"/>
        <v>6750</v>
      </c>
      <c r="I9" s="8">
        <f t="shared" si="2"/>
        <v>26150</v>
      </c>
      <c r="J9" s="9" t="s">
        <v>16</v>
      </c>
      <c r="K9" s="5">
        <v>5000</v>
      </c>
      <c r="L9" s="8">
        <f t="shared" si="3"/>
        <v>122050</v>
      </c>
      <c r="M9" s="8">
        <f t="shared" si="4"/>
        <v>129840.42553191489</v>
      </c>
      <c r="N9" s="12">
        <f t="shared" si="5"/>
        <v>26150</v>
      </c>
      <c r="O9" s="13">
        <f t="shared" si="6"/>
        <v>0.20140106513723885</v>
      </c>
      <c r="P9" s="8">
        <f t="shared" si="7"/>
        <v>140287.35632183909</v>
      </c>
      <c r="Q9" s="12">
        <f t="shared" si="8"/>
        <v>26150.000000000015</v>
      </c>
      <c r="R9" s="13">
        <f t="shared" si="9"/>
        <v>0.18640311347808283</v>
      </c>
    </row>
    <row r="10" spans="1:18" x14ac:dyDescent="0.3">
      <c r="A10" s="1">
        <v>80001</v>
      </c>
      <c r="B10" s="1">
        <v>90000</v>
      </c>
      <c r="C10" s="9">
        <v>15900</v>
      </c>
      <c r="E10" s="9">
        <v>0</v>
      </c>
      <c r="F10" s="9">
        <v>0</v>
      </c>
      <c r="G10" s="2">
        <f t="shared" si="0"/>
        <v>0.22444444444444445</v>
      </c>
      <c r="H10" s="8">
        <f t="shared" si="1"/>
        <v>7000</v>
      </c>
      <c r="I10" s="8">
        <f t="shared" si="2"/>
        <v>27200</v>
      </c>
      <c r="J10" s="9" t="s">
        <v>17</v>
      </c>
      <c r="K10" s="7">
        <v>2.5000000000000001E-2</v>
      </c>
      <c r="L10" s="8">
        <f t="shared" si="3"/>
        <v>133100</v>
      </c>
      <c r="M10" s="8">
        <f t="shared" si="4"/>
        <v>141595.74468085106</v>
      </c>
      <c r="N10" s="12">
        <f t="shared" si="5"/>
        <v>27200</v>
      </c>
      <c r="O10" s="13">
        <f t="shared" si="6"/>
        <v>0.19209616829451542</v>
      </c>
      <c r="P10" s="8">
        <f t="shared" si="7"/>
        <v>152988.50574712644</v>
      </c>
      <c r="Q10" s="12">
        <f t="shared" si="8"/>
        <v>27200</v>
      </c>
      <c r="R10" s="13">
        <f t="shared" si="9"/>
        <v>0.17779113448534936</v>
      </c>
    </row>
    <row r="11" spans="1:18" x14ac:dyDescent="0.3">
      <c r="A11" s="1">
        <v>90001</v>
      </c>
      <c r="B11" s="1">
        <v>100000</v>
      </c>
      <c r="C11" s="9">
        <v>15900</v>
      </c>
      <c r="E11" s="9">
        <v>0</v>
      </c>
      <c r="F11" s="9">
        <v>0</v>
      </c>
      <c r="G11" s="2">
        <f t="shared" si="0"/>
        <v>0.21000000000000002</v>
      </c>
      <c r="H11" s="8">
        <f t="shared" si="1"/>
        <v>7250</v>
      </c>
      <c r="I11" s="8">
        <f t="shared" si="2"/>
        <v>28250.000000000004</v>
      </c>
      <c r="J11" s="9" t="s">
        <v>18</v>
      </c>
      <c r="K11" s="5">
        <v>30000</v>
      </c>
      <c r="L11" s="8">
        <f t="shared" si="3"/>
        <v>144150</v>
      </c>
      <c r="M11" s="8">
        <f t="shared" si="4"/>
        <v>153351.06382978725</v>
      </c>
      <c r="N11" s="12">
        <f t="shared" si="5"/>
        <v>28250</v>
      </c>
      <c r="O11" s="13">
        <f t="shared" si="6"/>
        <v>0.18421782865071104</v>
      </c>
      <c r="P11" s="8">
        <f t="shared" si="7"/>
        <v>165689.6551724138</v>
      </c>
      <c r="Q11" s="12">
        <f t="shared" si="8"/>
        <v>28250</v>
      </c>
      <c r="R11" s="13">
        <f t="shared" si="9"/>
        <v>0.17049947970863683</v>
      </c>
    </row>
    <row r="12" spans="1:18" x14ac:dyDescent="0.3">
      <c r="A12" s="1">
        <v>100001</v>
      </c>
      <c r="B12" s="1">
        <v>110000</v>
      </c>
      <c r="C12" s="9">
        <v>15900</v>
      </c>
      <c r="E12" s="9">
        <v>0</v>
      </c>
      <c r="F12" s="9">
        <v>0</v>
      </c>
      <c r="G12" s="2">
        <f t="shared" si="0"/>
        <v>0.19818181818181818</v>
      </c>
      <c r="H12" s="8">
        <f t="shared" si="1"/>
        <v>7500</v>
      </c>
      <c r="I12" s="8">
        <f t="shared" si="2"/>
        <v>29300</v>
      </c>
      <c r="L12" s="8">
        <f t="shared" si="3"/>
        <v>155200</v>
      </c>
      <c r="M12" s="8">
        <f t="shared" si="4"/>
        <v>165106.38297872341</v>
      </c>
      <c r="N12" s="12">
        <f t="shared" si="5"/>
        <v>29300</v>
      </c>
      <c r="O12" s="13">
        <f t="shared" si="6"/>
        <v>0.17746134020618556</v>
      </c>
      <c r="P12" s="8">
        <f t="shared" si="7"/>
        <v>178390.80459770115</v>
      </c>
      <c r="Q12" s="12">
        <f t="shared" si="8"/>
        <v>29300</v>
      </c>
      <c r="R12" s="13">
        <f t="shared" si="9"/>
        <v>0.16424613402061855</v>
      </c>
    </row>
    <row r="13" spans="1:18" x14ac:dyDescent="0.3">
      <c r="A13" s="1">
        <v>110001</v>
      </c>
      <c r="B13" s="1">
        <v>120000</v>
      </c>
      <c r="C13" s="9">
        <v>15900</v>
      </c>
      <c r="E13" s="9">
        <v>0</v>
      </c>
      <c r="F13" s="9">
        <v>0</v>
      </c>
      <c r="G13" s="2">
        <f t="shared" si="0"/>
        <v>0.18833333333333335</v>
      </c>
      <c r="H13" s="8">
        <f t="shared" si="1"/>
        <v>7750</v>
      </c>
      <c r="I13" s="8">
        <f t="shared" si="2"/>
        <v>30350.000000000004</v>
      </c>
      <c r="J13" s="10" t="s">
        <v>20</v>
      </c>
      <c r="L13" s="8">
        <f t="shared" si="3"/>
        <v>166250</v>
      </c>
      <c r="M13" s="8">
        <f t="shared" si="4"/>
        <v>176861.70212765958</v>
      </c>
      <c r="N13" s="12">
        <f t="shared" si="5"/>
        <v>30350</v>
      </c>
      <c r="O13" s="13">
        <f t="shared" si="6"/>
        <v>0.17160300751879698</v>
      </c>
      <c r="P13" s="8">
        <f t="shared" si="7"/>
        <v>191091.9540229885</v>
      </c>
      <c r="Q13" s="12">
        <f t="shared" si="8"/>
        <v>30350</v>
      </c>
      <c r="R13" s="13">
        <f t="shared" si="9"/>
        <v>0.15882406015037595</v>
      </c>
    </row>
    <row r="14" spans="1:18" x14ac:dyDescent="0.3">
      <c r="A14" s="1">
        <v>120001</v>
      </c>
      <c r="B14" s="1">
        <v>130000</v>
      </c>
      <c r="C14" s="9">
        <v>15900</v>
      </c>
      <c r="E14" s="9">
        <v>0</v>
      </c>
      <c r="F14" s="9">
        <v>0</v>
      </c>
      <c r="G14" s="2">
        <f t="shared" si="0"/>
        <v>0.18</v>
      </c>
      <c r="H14" s="8">
        <f t="shared" si="1"/>
        <v>8000</v>
      </c>
      <c r="I14" s="8">
        <f t="shared" si="2"/>
        <v>31400</v>
      </c>
      <c r="J14" s="9" t="s">
        <v>21</v>
      </c>
      <c r="K14" s="4">
        <v>0.06</v>
      </c>
      <c r="L14" s="8">
        <f t="shared" si="3"/>
        <v>177300</v>
      </c>
      <c r="M14" s="8">
        <f t="shared" si="4"/>
        <v>188617.02127659577</v>
      </c>
      <c r="N14" s="12">
        <f t="shared" si="5"/>
        <v>31400</v>
      </c>
      <c r="O14" s="13">
        <f t="shared" si="6"/>
        <v>0.1664749012972363</v>
      </c>
      <c r="P14" s="8">
        <f t="shared" si="7"/>
        <v>203793.10344827586</v>
      </c>
      <c r="Q14" s="12">
        <f t="shared" si="8"/>
        <v>31400</v>
      </c>
      <c r="R14" s="13">
        <f t="shared" si="9"/>
        <v>0.15407783417935703</v>
      </c>
    </row>
    <row r="15" spans="1:18" x14ac:dyDescent="0.3">
      <c r="A15" s="1">
        <v>130001</v>
      </c>
      <c r="B15" s="1">
        <v>140000</v>
      </c>
      <c r="C15" s="9">
        <v>15900</v>
      </c>
      <c r="E15" s="9">
        <v>0</v>
      </c>
      <c r="F15" s="9">
        <v>0</v>
      </c>
      <c r="G15" s="2">
        <f t="shared" si="0"/>
        <v>0.17285714285714288</v>
      </c>
      <c r="H15" s="8">
        <f t="shared" si="1"/>
        <v>8250</v>
      </c>
      <c r="I15" s="8">
        <f t="shared" si="2"/>
        <v>32450.000000000004</v>
      </c>
      <c r="J15" s="9" t="s">
        <v>22</v>
      </c>
      <c r="K15" s="4">
        <v>0.13</v>
      </c>
      <c r="L15" s="8">
        <f t="shared" si="3"/>
        <v>188350</v>
      </c>
      <c r="M15" s="8">
        <f t="shared" si="4"/>
        <v>200372.34042553193</v>
      </c>
      <c r="N15" s="12">
        <f t="shared" si="5"/>
        <v>32450</v>
      </c>
      <c r="O15" s="13">
        <f t="shared" si="6"/>
        <v>0.1619485001327316</v>
      </c>
      <c r="P15" s="8">
        <f t="shared" si="7"/>
        <v>216494.25287356321</v>
      </c>
      <c r="Q15" s="12">
        <f t="shared" si="8"/>
        <v>32450</v>
      </c>
      <c r="R15" s="13">
        <f t="shared" si="9"/>
        <v>0.14988850544199628</v>
      </c>
    </row>
    <row r="16" spans="1:18" x14ac:dyDescent="0.3">
      <c r="A16" s="1">
        <v>140001</v>
      </c>
      <c r="B16" s="1">
        <v>150000</v>
      </c>
      <c r="C16" s="9">
        <v>15900</v>
      </c>
      <c r="E16" s="9">
        <v>0</v>
      </c>
      <c r="F16" s="9">
        <v>0</v>
      </c>
      <c r="G16" s="2">
        <f t="shared" si="0"/>
        <v>0.16666666666666669</v>
      </c>
      <c r="H16" s="8">
        <f t="shared" si="1"/>
        <v>8500</v>
      </c>
      <c r="I16" s="8">
        <f t="shared" si="2"/>
        <v>33500</v>
      </c>
      <c r="L16" s="8">
        <f t="shared" si="3"/>
        <v>199400</v>
      </c>
      <c r="M16" s="8">
        <f t="shared" si="4"/>
        <v>212127.6595744681</v>
      </c>
      <c r="N16" s="12">
        <f t="shared" si="5"/>
        <v>33500</v>
      </c>
      <c r="O16" s="13">
        <f t="shared" si="6"/>
        <v>0.15792377131394181</v>
      </c>
      <c r="P16" s="8">
        <f t="shared" si="7"/>
        <v>229195.40229885059</v>
      </c>
      <c r="Q16" s="12">
        <f t="shared" si="8"/>
        <v>33500</v>
      </c>
      <c r="R16" s="13">
        <f t="shared" si="9"/>
        <v>0.14616349047141422</v>
      </c>
    </row>
    <row r="17" spans="1:18" x14ac:dyDescent="0.3">
      <c r="A17" s="1">
        <v>150001</v>
      </c>
      <c r="B17" s="1">
        <v>160000</v>
      </c>
      <c r="C17" s="9">
        <v>15900</v>
      </c>
      <c r="E17" s="9">
        <v>0</v>
      </c>
      <c r="F17" s="9">
        <v>0</v>
      </c>
      <c r="G17" s="2">
        <f t="shared" si="0"/>
        <v>0.16125</v>
      </c>
      <c r="H17" s="8">
        <f t="shared" si="1"/>
        <v>8750</v>
      </c>
      <c r="I17" s="8">
        <f t="shared" si="2"/>
        <v>34550</v>
      </c>
      <c r="L17" s="8">
        <f t="shared" si="3"/>
        <v>210450</v>
      </c>
      <c r="M17" s="8">
        <f t="shared" si="4"/>
        <v>223882.97872340426</v>
      </c>
      <c r="N17" s="12">
        <f t="shared" si="5"/>
        <v>34550</v>
      </c>
      <c r="O17" s="13">
        <f t="shared" si="6"/>
        <v>0.1543216916132098</v>
      </c>
      <c r="P17" s="8">
        <f t="shared" si="7"/>
        <v>241896.55172413794</v>
      </c>
      <c r="Q17" s="12">
        <f t="shared" si="8"/>
        <v>34550</v>
      </c>
      <c r="R17" s="13">
        <f t="shared" si="9"/>
        <v>0.14282965074839629</v>
      </c>
    </row>
    <row r="18" spans="1:18" x14ac:dyDescent="0.3">
      <c r="A18" s="1">
        <v>160001</v>
      </c>
      <c r="B18" s="1">
        <v>170000</v>
      </c>
      <c r="C18" s="9">
        <v>15900</v>
      </c>
      <c r="E18" s="9">
        <v>0</v>
      </c>
      <c r="F18" s="9">
        <v>0</v>
      </c>
      <c r="G18" s="2">
        <f t="shared" si="0"/>
        <v>0.15647058823529414</v>
      </c>
      <c r="H18" s="8">
        <f t="shared" si="1"/>
        <v>9000</v>
      </c>
      <c r="I18" s="8">
        <f t="shared" si="2"/>
        <v>35600</v>
      </c>
      <c r="L18" s="8">
        <f t="shared" si="3"/>
        <v>221500</v>
      </c>
      <c r="M18" s="8">
        <f t="shared" si="4"/>
        <v>235638.29787234045</v>
      </c>
      <c r="N18" s="12">
        <f t="shared" si="5"/>
        <v>35600</v>
      </c>
      <c r="O18" s="13">
        <f t="shared" si="6"/>
        <v>0.151079006772009</v>
      </c>
      <c r="P18" s="8">
        <f t="shared" si="7"/>
        <v>254597.70114942529</v>
      </c>
      <c r="Q18" s="12">
        <f t="shared" si="8"/>
        <v>35600</v>
      </c>
      <c r="R18" s="13">
        <f t="shared" si="9"/>
        <v>0.13982844243792325</v>
      </c>
    </row>
    <row r="19" spans="1:18" x14ac:dyDescent="0.3">
      <c r="A19" s="1">
        <v>170001</v>
      </c>
      <c r="B19" s="1">
        <v>180000</v>
      </c>
      <c r="C19" s="9">
        <v>15900</v>
      </c>
      <c r="E19" s="9">
        <v>0</v>
      </c>
      <c r="F19" s="9">
        <v>0</v>
      </c>
      <c r="G19" s="2">
        <f t="shared" si="0"/>
        <v>0.1522222222222222</v>
      </c>
      <c r="H19" s="8">
        <f t="shared" si="1"/>
        <v>9250</v>
      </c>
      <c r="I19" s="8">
        <f t="shared" si="2"/>
        <v>36650</v>
      </c>
      <c r="L19" s="8">
        <f t="shared" si="3"/>
        <v>232550</v>
      </c>
      <c r="M19" s="8">
        <f t="shared" si="4"/>
        <v>247393.61702127662</v>
      </c>
      <c r="N19" s="12">
        <f t="shared" si="5"/>
        <v>36650</v>
      </c>
      <c r="O19" s="13">
        <f t="shared" si="6"/>
        <v>0.14814448505697697</v>
      </c>
      <c r="P19" s="8">
        <f t="shared" si="7"/>
        <v>267298.85057471262</v>
      </c>
      <c r="Q19" s="12">
        <f t="shared" si="8"/>
        <v>36649.999999999971</v>
      </c>
      <c r="R19" s="13">
        <f t="shared" si="9"/>
        <v>0.13711244893571264</v>
      </c>
    </row>
    <row r="20" spans="1:18" x14ac:dyDescent="0.3">
      <c r="A20" s="1">
        <v>180001</v>
      </c>
      <c r="B20" s="1">
        <v>190000</v>
      </c>
      <c r="C20" s="9">
        <v>15900</v>
      </c>
      <c r="E20" s="9">
        <v>0</v>
      </c>
      <c r="F20" s="9">
        <v>0</v>
      </c>
      <c r="G20" s="2">
        <f t="shared" si="0"/>
        <v>0.14842105263157895</v>
      </c>
      <c r="H20" s="8">
        <f t="shared" si="1"/>
        <v>9500</v>
      </c>
      <c r="I20" s="8">
        <f t="shared" si="2"/>
        <v>37700</v>
      </c>
      <c r="L20" s="8">
        <f t="shared" si="3"/>
        <v>243600</v>
      </c>
      <c r="M20" s="8">
        <f t="shared" si="4"/>
        <v>259148.93617021278</v>
      </c>
      <c r="N20" s="12">
        <f t="shared" si="5"/>
        <v>37700</v>
      </c>
      <c r="O20" s="13">
        <f t="shared" si="6"/>
        <v>0.14547619047619048</v>
      </c>
      <c r="P20" s="8">
        <f t="shared" si="7"/>
        <v>280000</v>
      </c>
      <c r="Q20" s="12">
        <f t="shared" si="8"/>
        <v>37700</v>
      </c>
      <c r="R20" s="13">
        <f t="shared" si="9"/>
        <v>0.13464285714285715</v>
      </c>
    </row>
    <row r="21" spans="1:18" x14ac:dyDescent="0.3">
      <c r="A21" s="1">
        <v>190001</v>
      </c>
      <c r="B21" s="1">
        <v>200000</v>
      </c>
      <c r="C21" s="9">
        <v>15900</v>
      </c>
      <c r="E21" s="9">
        <v>0</v>
      </c>
      <c r="F21" s="9">
        <v>0</v>
      </c>
      <c r="G21" s="2">
        <f t="shared" si="0"/>
        <v>0.14500000000000002</v>
      </c>
      <c r="H21" s="8">
        <f t="shared" si="1"/>
        <v>9750</v>
      </c>
      <c r="I21" s="8">
        <f t="shared" si="2"/>
        <v>38750</v>
      </c>
      <c r="L21" s="8">
        <f t="shared" si="3"/>
        <v>254650</v>
      </c>
      <c r="M21" s="8">
        <f t="shared" si="4"/>
        <v>270904.25531914894</v>
      </c>
      <c r="N21" s="12">
        <f t="shared" si="5"/>
        <v>38750</v>
      </c>
      <c r="O21" s="13">
        <f t="shared" si="6"/>
        <v>0.1430394659336344</v>
      </c>
      <c r="P21" s="8">
        <f t="shared" si="7"/>
        <v>292701.14942528738</v>
      </c>
      <c r="Q21" s="12">
        <f t="shared" si="8"/>
        <v>38750.000000000029</v>
      </c>
      <c r="R21" s="13">
        <f t="shared" si="9"/>
        <v>0.13238759081091703</v>
      </c>
    </row>
    <row r="22" spans="1:18" x14ac:dyDescent="0.3">
      <c r="A22" s="1">
        <v>200001</v>
      </c>
      <c r="B22" s="1">
        <v>210000</v>
      </c>
      <c r="C22" s="9">
        <v>15900</v>
      </c>
      <c r="E22" s="9">
        <v>0</v>
      </c>
      <c r="F22" s="9">
        <v>0</v>
      </c>
      <c r="G22" s="2">
        <f t="shared" si="0"/>
        <v>0.14190476190476192</v>
      </c>
      <c r="H22" s="8">
        <f t="shared" si="1"/>
        <v>10000</v>
      </c>
      <c r="I22" s="8">
        <f t="shared" si="2"/>
        <v>39800</v>
      </c>
      <c r="L22" s="8">
        <f t="shared" si="3"/>
        <v>265700</v>
      </c>
      <c r="M22" s="8">
        <f t="shared" si="4"/>
        <v>282659.57446808513</v>
      </c>
      <c r="N22" s="12">
        <f t="shared" si="5"/>
        <v>39800</v>
      </c>
      <c r="O22" s="13">
        <f t="shared" si="6"/>
        <v>0.14080541964621751</v>
      </c>
      <c r="P22" s="8">
        <f t="shared" si="7"/>
        <v>305402.29885057471</v>
      </c>
      <c r="Q22" s="12">
        <f t="shared" si="8"/>
        <v>39800</v>
      </c>
      <c r="R22" s="13">
        <f t="shared" si="9"/>
        <v>0.13031990967256304</v>
      </c>
    </row>
    <row r="23" spans="1:18" x14ac:dyDescent="0.3">
      <c r="A23" s="1">
        <v>210001</v>
      </c>
      <c r="B23" s="1">
        <v>220000</v>
      </c>
      <c r="C23" s="9">
        <v>15900</v>
      </c>
      <c r="E23" s="9">
        <v>0</v>
      </c>
      <c r="F23" s="9">
        <v>0</v>
      </c>
      <c r="G23" s="2">
        <f t="shared" si="0"/>
        <v>0.1390909090909091</v>
      </c>
      <c r="H23" s="8">
        <f t="shared" si="1"/>
        <v>10250</v>
      </c>
      <c r="I23" s="8">
        <f t="shared" si="2"/>
        <v>40850</v>
      </c>
      <c r="L23" s="8">
        <f t="shared" si="3"/>
        <v>276750</v>
      </c>
      <c r="M23" s="8">
        <f t="shared" si="4"/>
        <v>294414.89361702127</v>
      </c>
      <c r="N23" s="12">
        <f t="shared" si="5"/>
        <v>40850</v>
      </c>
      <c r="O23" s="13">
        <f t="shared" si="6"/>
        <v>0.13874977416440831</v>
      </c>
      <c r="P23" s="8">
        <f t="shared" si="7"/>
        <v>318103.44827586209</v>
      </c>
      <c r="Q23" s="12">
        <f t="shared" si="8"/>
        <v>40850</v>
      </c>
      <c r="R23" s="13">
        <f t="shared" si="9"/>
        <v>0.12841734417344172</v>
      </c>
    </row>
    <row r="24" spans="1:18" x14ac:dyDescent="0.3">
      <c r="A24" s="1">
        <v>220001</v>
      </c>
      <c r="B24" s="1">
        <v>230000</v>
      </c>
      <c r="C24" s="9">
        <v>15900</v>
      </c>
      <c r="E24" s="9">
        <v>0</v>
      </c>
      <c r="F24" s="9">
        <v>0</v>
      </c>
      <c r="G24" s="2">
        <f t="shared" si="0"/>
        <v>0.13652173913043478</v>
      </c>
      <c r="H24" s="8">
        <f t="shared" si="1"/>
        <v>10500</v>
      </c>
      <c r="I24" s="8">
        <f t="shared" si="2"/>
        <v>41900</v>
      </c>
      <c r="L24" s="8">
        <f t="shared" si="3"/>
        <v>287800</v>
      </c>
      <c r="M24" s="8">
        <f t="shared" si="4"/>
        <v>306170.21276595746</v>
      </c>
      <c r="N24" s="12">
        <f t="shared" si="5"/>
        <v>41900</v>
      </c>
      <c r="O24" s="13">
        <f t="shared" si="6"/>
        <v>0.13685198054204309</v>
      </c>
      <c r="P24" s="8">
        <f t="shared" si="7"/>
        <v>330804.59770114941</v>
      </c>
      <c r="Q24" s="12">
        <f t="shared" si="8"/>
        <v>41900</v>
      </c>
      <c r="R24" s="13">
        <f t="shared" si="9"/>
        <v>0.12666087560806116</v>
      </c>
    </row>
    <row r="25" spans="1:18" x14ac:dyDescent="0.3">
      <c r="A25" s="1">
        <v>230001</v>
      </c>
      <c r="B25" s="1">
        <v>240000</v>
      </c>
      <c r="C25" s="9">
        <v>15900</v>
      </c>
      <c r="E25" s="9">
        <v>0</v>
      </c>
      <c r="F25" s="9">
        <v>0</v>
      </c>
      <c r="G25" s="2">
        <f t="shared" si="0"/>
        <v>0.13416666666666666</v>
      </c>
      <c r="H25" s="8">
        <f t="shared" si="1"/>
        <v>10750</v>
      </c>
      <c r="I25" s="8">
        <f t="shared" si="2"/>
        <v>42950</v>
      </c>
      <c r="L25" s="8">
        <f t="shared" si="3"/>
        <v>298850</v>
      </c>
      <c r="M25" s="8">
        <f t="shared" si="4"/>
        <v>317925.53191489365</v>
      </c>
      <c r="N25" s="12">
        <f t="shared" si="5"/>
        <v>42950</v>
      </c>
      <c r="O25" s="13">
        <f t="shared" si="6"/>
        <v>0.13509452902794042</v>
      </c>
      <c r="P25" s="8">
        <f t="shared" si="7"/>
        <v>343505.74712643679</v>
      </c>
      <c r="Q25" s="12">
        <f t="shared" si="8"/>
        <v>42950</v>
      </c>
      <c r="R25" s="13">
        <f t="shared" si="9"/>
        <v>0.12503429814288103</v>
      </c>
    </row>
    <row r="26" spans="1:18" x14ac:dyDescent="0.3">
      <c r="A26" s="1">
        <v>240001</v>
      </c>
      <c r="B26" s="1">
        <v>250000</v>
      </c>
      <c r="C26" s="9">
        <v>15900</v>
      </c>
      <c r="E26" s="9">
        <v>0</v>
      </c>
      <c r="F26" s="9">
        <v>0</v>
      </c>
      <c r="G26" s="2">
        <f t="shared" si="0"/>
        <v>0.13200000000000001</v>
      </c>
      <c r="H26" s="8">
        <f t="shared" si="1"/>
        <v>11000</v>
      </c>
      <c r="I26" s="8">
        <f t="shared" si="2"/>
        <v>44000</v>
      </c>
      <c r="L26" s="8">
        <f t="shared" si="3"/>
        <v>309900</v>
      </c>
      <c r="M26" s="8">
        <f t="shared" si="4"/>
        <v>329680.85106382979</v>
      </c>
      <c r="N26" s="12">
        <f t="shared" si="5"/>
        <v>44000</v>
      </c>
      <c r="O26" s="13">
        <f t="shared" si="6"/>
        <v>0.1334624072281381</v>
      </c>
      <c r="P26" s="8">
        <f t="shared" si="7"/>
        <v>356206.89655172412</v>
      </c>
      <c r="Q26" s="12">
        <f t="shared" si="8"/>
        <v>44000</v>
      </c>
      <c r="R26" s="13">
        <f t="shared" si="9"/>
        <v>0.12352371732817038</v>
      </c>
    </row>
    <row r="27" spans="1:18" x14ac:dyDescent="0.3">
      <c r="A27" s="1">
        <v>250001</v>
      </c>
      <c r="B27" s="1">
        <v>260000</v>
      </c>
      <c r="C27" s="9">
        <v>15900</v>
      </c>
      <c r="E27" s="9">
        <v>0</v>
      </c>
      <c r="F27" s="9">
        <v>0</v>
      </c>
      <c r="G27" s="2">
        <f t="shared" si="0"/>
        <v>0.13</v>
      </c>
      <c r="H27" s="8">
        <f t="shared" si="1"/>
        <v>11250</v>
      </c>
      <c r="I27" s="8">
        <f t="shared" si="2"/>
        <v>45050</v>
      </c>
      <c r="L27" s="8">
        <f t="shared" si="3"/>
        <v>320950</v>
      </c>
      <c r="M27" s="8">
        <f t="shared" si="4"/>
        <v>341436.17021276598</v>
      </c>
      <c r="N27" s="12">
        <f t="shared" si="5"/>
        <v>45050</v>
      </c>
      <c r="O27" s="13">
        <f t="shared" si="6"/>
        <v>0.13194267019785014</v>
      </c>
      <c r="P27" s="8">
        <f t="shared" si="7"/>
        <v>368908.0459770115</v>
      </c>
      <c r="Q27" s="12">
        <f t="shared" si="8"/>
        <v>45050</v>
      </c>
      <c r="R27" s="13">
        <f t="shared" si="9"/>
        <v>0.1221171522043932</v>
      </c>
    </row>
    <row r="28" spans="1:18" x14ac:dyDescent="0.3">
      <c r="A28" s="1">
        <v>260001</v>
      </c>
      <c r="B28" s="1">
        <v>270000</v>
      </c>
      <c r="C28" s="9">
        <v>15900</v>
      </c>
      <c r="E28" s="9">
        <v>0</v>
      </c>
      <c r="F28" s="9">
        <v>0</v>
      </c>
      <c r="G28" s="2">
        <f t="shared" si="0"/>
        <v>0.12814814814814815</v>
      </c>
      <c r="H28" s="8">
        <f t="shared" si="1"/>
        <v>11500</v>
      </c>
      <c r="I28" s="8">
        <f t="shared" si="2"/>
        <v>46100</v>
      </c>
      <c r="L28" s="8">
        <f t="shared" si="3"/>
        <v>332000</v>
      </c>
      <c r="M28" s="8">
        <f t="shared" si="4"/>
        <v>353191.48936170217</v>
      </c>
      <c r="N28" s="12">
        <f t="shared" si="5"/>
        <v>46100</v>
      </c>
      <c r="O28" s="13">
        <f t="shared" si="6"/>
        <v>0.13052409638554216</v>
      </c>
      <c r="P28" s="8">
        <f t="shared" si="7"/>
        <v>381609.19540229888</v>
      </c>
      <c r="Q28" s="12">
        <f t="shared" si="8"/>
        <v>46100</v>
      </c>
      <c r="R28" s="13">
        <f t="shared" si="9"/>
        <v>0.12080421686746987</v>
      </c>
    </row>
    <row r="29" spans="1:18" x14ac:dyDescent="0.3">
      <c r="A29" s="1">
        <v>270001</v>
      </c>
      <c r="B29" s="1">
        <v>280000</v>
      </c>
      <c r="C29" s="9">
        <v>15900</v>
      </c>
      <c r="E29" s="9">
        <v>0</v>
      </c>
      <c r="F29" s="9">
        <v>0</v>
      </c>
      <c r="G29" s="2">
        <f t="shared" si="0"/>
        <v>0.12642857142857145</v>
      </c>
      <c r="H29" s="8">
        <f t="shared" si="1"/>
        <v>11750</v>
      </c>
      <c r="I29" s="8">
        <f t="shared" si="2"/>
        <v>47150.000000000007</v>
      </c>
      <c r="L29" s="8">
        <f t="shared" si="3"/>
        <v>343050</v>
      </c>
      <c r="M29" s="8">
        <f t="shared" si="4"/>
        <v>364946.80851063831</v>
      </c>
      <c r="N29" s="12">
        <f t="shared" si="5"/>
        <v>47150</v>
      </c>
      <c r="O29" s="13">
        <f t="shared" si="6"/>
        <v>0.12919691007141815</v>
      </c>
      <c r="P29" s="8">
        <f t="shared" si="7"/>
        <v>394310.3448275862</v>
      </c>
      <c r="Q29" s="12">
        <f t="shared" si="8"/>
        <v>47150</v>
      </c>
      <c r="R29" s="13">
        <f t="shared" si="9"/>
        <v>0.11957586357673809</v>
      </c>
    </row>
    <row r="30" spans="1:18" x14ac:dyDescent="0.3">
      <c r="A30" s="1">
        <v>280001</v>
      </c>
      <c r="B30" s="1">
        <v>290000</v>
      </c>
      <c r="C30" s="9">
        <v>15900</v>
      </c>
      <c r="E30" s="9">
        <v>0</v>
      </c>
      <c r="F30" s="9">
        <v>0</v>
      </c>
      <c r="G30" s="2">
        <f t="shared" si="0"/>
        <v>0.12482758620689655</v>
      </c>
      <c r="H30" s="8">
        <f t="shared" si="1"/>
        <v>12000</v>
      </c>
      <c r="I30" s="8">
        <f t="shared" si="2"/>
        <v>48200</v>
      </c>
      <c r="L30" s="8">
        <f t="shared" si="3"/>
        <v>354100</v>
      </c>
      <c r="M30" s="8">
        <f t="shared" si="4"/>
        <v>376702.1276595745</v>
      </c>
      <c r="N30" s="12">
        <f t="shared" si="5"/>
        <v>48200</v>
      </c>
      <c r="O30" s="13">
        <f t="shared" si="6"/>
        <v>0.12795255577520473</v>
      </c>
      <c r="P30" s="8">
        <f t="shared" si="7"/>
        <v>407011.49425287358</v>
      </c>
      <c r="Q30" s="12">
        <f t="shared" si="8"/>
        <v>48200</v>
      </c>
      <c r="R30" s="13">
        <f t="shared" si="9"/>
        <v>0.11842417396215757</v>
      </c>
    </row>
    <row r="31" spans="1:18" x14ac:dyDescent="0.3">
      <c r="A31" s="1">
        <v>290001</v>
      </c>
      <c r="B31" s="1">
        <v>300000</v>
      </c>
      <c r="C31" s="9">
        <v>15900</v>
      </c>
      <c r="E31" s="9">
        <v>0</v>
      </c>
      <c r="F31" s="9">
        <v>0</v>
      </c>
      <c r="G31" s="2">
        <f t="shared" si="0"/>
        <v>0.12333333333333334</v>
      </c>
      <c r="H31" s="8">
        <f t="shared" si="1"/>
        <v>12250</v>
      </c>
      <c r="I31" s="8">
        <f t="shared" si="2"/>
        <v>49250</v>
      </c>
      <c r="L31" s="8">
        <f t="shared" si="3"/>
        <v>365150</v>
      </c>
      <c r="M31" s="8">
        <f t="shared" si="4"/>
        <v>388457.44680851063</v>
      </c>
      <c r="N31" s="12">
        <f t="shared" si="5"/>
        <v>49250</v>
      </c>
      <c r="O31" s="13">
        <f t="shared" si="6"/>
        <v>0.12678351362453785</v>
      </c>
      <c r="P31" s="8">
        <f t="shared" si="7"/>
        <v>419712.64367816091</v>
      </c>
      <c r="Q31" s="12">
        <f t="shared" si="8"/>
        <v>49250</v>
      </c>
      <c r="R31" s="13">
        <f t="shared" si="9"/>
        <v>0.11734218814185951</v>
      </c>
    </row>
    <row r="32" spans="1:18" x14ac:dyDescent="0.3">
      <c r="A32" s="1">
        <v>300001</v>
      </c>
      <c r="B32" s="1">
        <v>310000</v>
      </c>
      <c r="C32" s="9">
        <v>15900</v>
      </c>
      <c r="E32" s="3">
        <f>B32*13%</f>
        <v>40300</v>
      </c>
      <c r="F32" s="3">
        <f>(B32+E32)*10%</f>
        <v>35030</v>
      </c>
      <c r="G32" s="2">
        <f t="shared" si="0"/>
        <v>0.12193548387096775</v>
      </c>
      <c r="H32" s="8">
        <f t="shared" si="1"/>
        <v>12500</v>
      </c>
      <c r="I32" s="8">
        <f t="shared" si="2"/>
        <v>50300</v>
      </c>
      <c r="L32" s="8">
        <f t="shared" si="3"/>
        <v>451530</v>
      </c>
      <c r="M32" s="8">
        <f t="shared" si="4"/>
        <v>480351.06382978725</v>
      </c>
      <c r="N32" s="12">
        <f t="shared" si="5"/>
        <v>50300</v>
      </c>
      <c r="O32" s="13">
        <f t="shared" si="6"/>
        <v>0.10471507983965628</v>
      </c>
      <c r="P32" s="8">
        <f t="shared" si="7"/>
        <v>519000</v>
      </c>
      <c r="Q32" s="12">
        <f t="shared" si="8"/>
        <v>50300</v>
      </c>
      <c r="R32" s="13">
        <f t="shared" si="9"/>
        <v>9.691714836223507E-2</v>
      </c>
    </row>
    <row r="33" spans="1:18" x14ac:dyDescent="0.3">
      <c r="A33" s="1">
        <v>310001</v>
      </c>
      <c r="B33" s="1">
        <v>320000</v>
      </c>
      <c r="C33" s="9">
        <v>15900</v>
      </c>
      <c r="E33" s="3">
        <f t="shared" ref="E33:E96" si="10">B33*13%</f>
        <v>41600</v>
      </c>
      <c r="F33" s="3">
        <f t="shared" ref="F33:F96" si="11">(B33+E33)*10%</f>
        <v>36160</v>
      </c>
      <c r="G33" s="2">
        <f t="shared" si="0"/>
        <v>0.12062500000000001</v>
      </c>
      <c r="H33" s="8">
        <f t="shared" si="1"/>
        <v>12750</v>
      </c>
      <c r="I33" s="8">
        <f t="shared" si="2"/>
        <v>51350</v>
      </c>
      <c r="L33" s="8">
        <f t="shared" si="3"/>
        <v>465010</v>
      </c>
      <c r="M33" s="8">
        <f t="shared" si="4"/>
        <v>494691.48936170217</v>
      </c>
      <c r="N33" s="12">
        <f t="shared" si="5"/>
        <v>51350</v>
      </c>
      <c r="O33" s="13">
        <f t="shared" si="6"/>
        <v>0.10380206877271456</v>
      </c>
      <c r="P33" s="8">
        <f t="shared" si="7"/>
        <v>534494.25287356321</v>
      </c>
      <c r="Q33" s="12">
        <f t="shared" si="8"/>
        <v>51350</v>
      </c>
      <c r="R33" s="13">
        <f t="shared" si="9"/>
        <v>9.6072127481129435E-2</v>
      </c>
    </row>
    <row r="34" spans="1:18" x14ac:dyDescent="0.3">
      <c r="A34" s="1">
        <v>320001</v>
      </c>
      <c r="B34" s="1">
        <v>330000</v>
      </c>
      <c r="C34" s="9">
        <v>15900</v>
      </c>
      <c r="E34" s="3">
        <f t="shared" si="10"/>
        <v>42900</v>
      </c>
      <c r="F34" s="3">
        <f t="shared" si="11"/>
        <v>37290</v>
      </c>
      <c r="G34" s="2">
        <f t="shared" si="0"/>
        <v>0.11939393939393939</v>
      </c>
      <c r="H34" s="8">
        <f t="shared" si="1"/>
        <v>13000</v>
      </c>
      <c r="I34" s="8">
        <f t="shared" si="2"/>
        <v>52400</v>
      </c>
      <c r="L34" s="8">
        <f t="shared" si="3"/>
        <v>478490</v>
      </c>
      <c r="M34" s="8">
        <f t="shared" si="4"/>
        <v>509031.91489361704</v>
      </c>
      <c r="N34" s="12">
        <f t="shared" si="5"/>
        <v>52400</v>
      </c>
      <c r="O34" s="13">
        <f t="shared" si="6"/>
        <v>0.10294050032393572</v>
      </c>
      <c r="P34" s="8">
        <f t="shared" si="7"/>
        <v>549988.50574712642</v>
      </c>
      <c r="Q34" s="12">
        <f t="shared" si="8"/>
        <v>52400</v>
      </c>
      <c r="R34" s="13">
        <f t="shared" si="9"/>
        <v>9.527471838491923E-2</v>
      </c>
    </row>
    <row r="35" spans="1:18" x14ac:dyDescent="0.3">
      <c r="A35" s="1">
        <v>330001</v>
      </c>
      <c r="B35" s="1">
        <v>340000</v>
      </c>
      <c r="C35" s="9">
        <v>15900</v>
      </c>
      <c r="E35" s="3">
        <f t="shared" si="10"/>
        <v>44200</v>
      </c>
      <c r="F35" s="3">
        <f t="shared" si="11"/>
        <v>38420</v>
      </c>
      <c r="G35" s="2">
        <f t="shared" si="0"/>
        <v>0.11823529411764706</v>
      </c>
      <c r="H35" s="8">
        <f t="shared" si="1"/>
        <v>13250</v>
      </c>
      <c r="I35" s="8">
        <f t="shared" si="2"/>
        <v>53450</v>
      </c>
      <c r="L35" s="8">
        <f t="shared" si="3"/>
        <v>491970</v>
      </c>
      <c r="M35" s="8">
        <f t="shared" si="4"/>
        <v>523372.34042553196</v>
      </c>
      <c r="N35" s="12">
        <f t="shared" si="5"/>
        <v>53450</v>
      </c>
      <c r="O35" s="13">
        <f t="shared" si="6"/>
        <v>0.10212614590320547</v>
      </c>
      <c r="P35" s="8">
        <f t="shared" si="7"/>
        <v>565482.75862068962</v>
      </c>
      <c r="Q35" s="12">
        <f t="shared" si="8"/>
        <v>53449.999999999942</v>
      </c>
      <c r="R35" s="13">
        <f t="shared" si="9"/>
        <v>9.4521007378498598E-2</v>
      </c>
    </row>
    <row r="36" spans="1:18" x14ac:dyDescent="0.3">
      <c r="A36" s="1">
        <v>340001</v>
      </c>
      <c r="B36" s="1">
        <v>350000</v>
      </c>
      <c r="C36" s="9">
        <v>15900</v>
      </c>
      <c r="E36" s="3">
        <f t="shared" si="10"/>
        <v>45500</v>
      </c>
      <c r="F36" s="3">
        <f t="shared" si="11"/>
        <v>39550</v>
      </c>
      <c r="G36" s="2">
        <f t="shared" si="0"/>
        <v>0.11714285714285715</v>
      </c>
      <c r="H36" s="8">
        <f t="shared" si="1"/>
        <v>13500</v>
      </c>
      <c r="I36" s="8">
        <f t="shared" si="2"/>
        <v>54500</v>
      </c>
      <c r="L36" s="8">
        <f t="shared" si="3"/>
        <v>505450</v>
      </c>
      <c r="M36" s="8">
        <f t="shared" si="4"/>
        <v>537712.76595744689</v>
      </c>
      <c r="N36" s="12">
        <f t="shared" si="5"/>
        <v>54500.000000000058</v>
      </c>
      <c r="O36" s="13">
        <f t="shared" si="6"/>
        <v>0.10135522801464052</v>
      </c>
      <c r="P36" s="8">
        <f t="shared" si="7"/>
        <v>580977.01149425283</v>
      </c>
      <c r="Q36" s="12">
        <f t="shared" si="8"/>
        <v>54499.999999999942</v>
      </c>
      <c r="R36" s="13">
        <f t="shared" si="9"/>
        <v>9.3807498268869235E-2</v>
      </c>
    </row>
    <row r="37" spans="1:18" x14ac:dyDescent="0.3">
      <c r="A37" s="1">
        <v>350001</v>
      </c>
      <c r="B37" s="1">
        <v>360000</v>
      </c>
      <c r="C37" s="9">
        <v>15900</v>
      </c>
      <c r="E37" s="3">
        <f t="shared" si="10"/>
        <v>46800</v>
      </c>
      <c r="F37" s="3">
        <f t="shared" si="11"/>
        <v>40680</v>
      </c>
      <c r="G37" s="2">
        <f t="shared" si="0"/>
        <v>0.11611111111111111</v>
      </c>
      <c r="H37" s="8">
        <f t="shared" si="1"/>
        <v>13750</v>
      </c>
      <c r="I37" s="8">
        <f t="shared" si="2"/>
        <v>55550</v>
      </c>
      <c r="L37" s="8">
        <f t="shared" si="3"/>
        <v>518930</v>
      </c>
      <c r="M37" s="8">
        <f t="shared" si="4"/>
        <v>552053.19148936169</v>
      </c>
      <c r="N37" s="12">
        <f t="shared" si="5"/>
        <v>55549.999999999942</v>
      </c>
      <c r="O37" s="13">
        <f t="shared" si="6"/>
        <v>0.1006243616672768</v>
      </c>
      <c r="P37" s="8">
        <f t="shared" si="7"/>
        <v>596471.26436781604</v>
      </c>
      <c r="Q37" s="12">
        <f t="shared" si="8"/>
        <v>55549.999999999942</v>
      </c>
      <c r="R37" s="13">
        <f t="shared" si="9"/>
        <v>9.3131058138862577E-2</v>
      </c>
    </row>
    <row r="38" spans="1:18" x14ac:dyDescent="0.3">
      <c r="A38" s="1">
        <v>360001</v>
      </c>
      <c r="B38" s="1">
        <v>370000</v>
      </c>
      <c r="C38" s="9">
        <v>15900</v>
      </c>
      <c r="E38" s="3">
        <f t="shared" si="10"/>
        <v>48100</v>
      </c>
      <c r="F38" s="3">
        <f t="shared" si="11"/>
        <v>41810</v>
      </c>
      <c r="G38" s="2">
        <f t="shared" si="0"/>
        <v>0.11513513513513514</v>
      </c>
      <c r="H38" s="8">
        <f t="shared" si="1"/>
        <v>14000</v>
      </c>
      <c r="I38" s="8">
        <f t="shared" si="2"/>
        <v>56600</v>
      </c>
      <c r="L38" s="8">
        <f t="shared" si="3"/>
        <v>532410</v>
      </c>
      <c r="M38" s="8">
        <f t="shared" si="4"/>
        <v>566393.61702127662</v>
      </c>
      <c r="N38" s="12">
        <f t="shared" si="5"/>
        <v>56600</v>
      </c>
      <c r="O38" s="13">
        <f t="shared" si="6"/>
        <v>9.9930504686238042E-2</v>
      </c>
      <c r="P38" s="8">
        <f t="shared" si="7"/>
        <v>611965.51724137936</v>
      </c>
      <c r="Q38" s="12">
        <f t="shared" si="8"/>
        <v>56600</v>
      </c>
      <c r="R38" s="13">
        <f t="shared" si="9"/>
        <v>9.2488871358539462E-2</v>
      </c>
    </row>
    <row r="39" spans="1:18" x14ac:dyDescent="0.3">
      <c r="A39" s="1">
        <v>370001</v>
      </c>
      <c r="B39" s="1">
        <v>380000</v>
      </c>
      <c r="C39" s="9">
        <v>15900</v>
      </c>
      <c r="E39" s="3">
        <f t="shared" si="10"/>
        <v>49400</v>
      </c>
      <c r="F39" s="3">
        <f t="shared" si="11"/>
        <v>42940</v>
      </c>
      <c r="G39" s="2">
        <f t="shared" si="0"/>
        <v>0.11421052631578948</v>
      </c>
      <c r="H39" s="8">
        <f t="shared" si="1"/>
        <v>14250</v>
      </c>
      <c r="I39" s="8">
        <f t="shared" si="2"/>
        <v>57650.000000000007</v>
      </c>
      <c r="L39" s="8">
        <f t="shared" si="3"/>
        <v>545890</v>
      </c>
      <c r="M39" s="8">
        <f t="shared" si="4"/>
        <v>580734.04255319154</v>
      </c>
      <c r="N39" s="12">
        <f t="shared" si="5"/>
        <v>57650</v>
      </c>
      <c r="O39" s="13">
        <f t="shared" si="6"/>
        <v>9.927091538588359E-2</v>
      </c>
      <c r="P39" s="8">
        <f t="shared" si="7"/>
        <v>627459.77011494257</v>
      </c>
      <c r="Q39" s="12">
        <f t="shared" si="8"/>
        <v>57650</v>
      </c>
      <c r="R39" s="13">
        <f t="shared" si="9"/>
        <v>9.1878400410339067E-2</v>
      </c>
    </row>
    <row r="40" spans="1:18" x14ac:dyDescent="0.3">
      <c r="A40" s="1">
        <v>380001</v>
      </c>
      <c r="B40" s="1">
        <v>390000</v>
      </c>
      <c r="C40" s="9">
        <v>15900</v>
      </c>
      <c r="E40" s="3">
        <f t="shared" si="10"/>
        <v>50700</v>
      </c>
      <c r="F40" s="3">
        <f t="shared" si="11"/>
        <v>44070</v>
      </c>
      <c r="G40" s="2">
        <f t="shared" si="0"/>
        <v>0.11333333333333334</v>
      </c>
      <c r="H40" s="8">
        <f t="shared" si="1"/>
        <v>14500</v>
      </c>
      <c r="I40" s="8">
        <f t="shared" si="2"/>
        <v>58700</v>
      </c>
      <c r="L40" s="8">
        <f t="shared" si="3"/>
        <v>559370</v>
      </c>
      <c r="M40" s="8">
        <f t="shared" si="4"/>
        <v>595074.46808510646</v>
      </c>
      <c r="N40" s="12">
        <f t="shared" si="5"/>
        <v>58700</v>
      </c>
      <c r="O40" s="13">
        <f t="shared" si="6"/>
        <v>9.8643116363051273E-2</v>
      </c>
      <c r="P40" s="8">
        <f t="shared" si="7"/>
        <v>642954.02298850578</v>
      </c>
      <c r="Q40" s="12">
        <f t="shared" si="8"/>
        <v>58700</v>
      </c>
      <c r="R40" s="13">
        <f t="shared" si="9"/>
        <v>9.1297352378568744E-2</v>
      </c>
    </row>
    <row r="41" spans="1:18" x14ac:dyDescent="0.3">
      <c r="A41" s="1">
        <v>390001</v>
      </c>
      <c r="B41" s="1">
        <v>400000</v>
      </c>
      <c r="C41" s="9">
        <v>15900</v>
      </c>
      <c r="E41" s="3">
        <f t="shared" si="10"/>
        <v>52000</v>
      </c>
      <c r="F41" s="3">
        <f t="shared" si="11"/>
        <v>45200</v>
      </c>
      <c r="G41" s="2">
        <f t="shared" si="0"/>
        <v>0.1125</v>
      </c>
      <c r="H41" s="8">
        <f t="shared" si="1"/>
        <v>14750</v>
      </c>
      <c r="I41" s="8">
        <f t="shared" si="2"/>
        <v>59750</v>
      </c>
      <c r="L41" s="8">
        <f t="shared" si="3"/>
        <v>572850</v>
      </c>
      <c r="M41" s="8">
        <f t="shared" si="4"/>
        <v>609414.89361702127</v>
      </c>
      <c r="N41" s="12">
        <f t="shared" si="5"/>
        <v>59750</v>
      </c>
      <c r="O41" s="13">
        <f t="shared" si="6"/>
        <v>9.8044863402286811E-2</v>
      </c>
      <c r="P41" s="8">
        <f t="shared" si="7"/>
        <v>658448.27586206899</v>
      </c>
      <c r="Q41" s="12">
        <f t="shared" si="8"/>
        <v>59750</v>
      </c>
      <c r="R41" s="13">
        <f t="shared" si="9"/>
        <v>9.0743650170201626E-2</v>
      </c>
    </row>
    <row r="42" spans="1:18" x14ac:dyDescent="0.3">
      <c r="A42" s="1">
        <v>400001</v>
      </c>
      <c r="B42" s="1">
        <v>410000</v>
      </c>
      <c r="C42" s="9">
        <v>15900</v>
      </c>
      <c r="E42" s="3">
        <f t="shared" si="10"/>
        <v>53300</v>
      </c>
      <c r="F42" s="3">
        <f t="shared" si="11"/>
        <v>46330</v>
      </c>
      <c r="G42" s="2">
        <f t="shared" si="0"/>
        <v>0.11170731707317073</v>
      </c>
      <c r="H42" s="8">
        <f t="shared" si="1"/>
        <v>15000</v>
      </c>
      <c r="I42" s="8">
        <f t="shared" si="2"/>
        <v>60800</v>
      </c>
      <c r="L42" s="8">
        <f t="shared" si="3"/>
        <v>586330</v>
      </c>
      <c r="M42" s="8">
        <f t="shared" si="4"/>
        <v>623755.31914893619</v>
      </c>
      <c r="N42" s="12">
        <f t="shared" si="5"/>
        <v>60800</v>
      </c>
      <c r="O42" s="13">
        <f t="shared" si="6"/>
        <v>9.7474118670373339E-2</v>
      </c>
      <c r="P42" s="8">
        <f t="shared" si="7"/>
        <v>673942.52873563219</v>
      </c>
      <c r="Q42" s="12">
        <f t="shared" si="8"/>
        <v>60800</v>
      </c>
      <c r="R42" s="13">
        <f t="shared" si="9"/>
        <v>9.0215407705558304E-2</v>
      </c>
    </row>
    <row r="43" spans="1:18" x14ac:dyDescent="0.3">
      <c r="A43" s="1">
        <v>410001</v>
      </c>
      <c r="B43" s="1">
        <v>420000</v>
      </c>
      <c r="C43" s="9">
        <v>15900</v>
      </c>
      <c r="E43" s="3">
        <f t="shared" si="10"/>
        <v>54600</v>
      </c>
      <c r="F43" s="3">
        <f t="shared" si="11"/>
        <v>47460</v>
      </c>
      <c r="G43" s="2">
        <f t="shared" si="0"/>
        <v>0.11095238095238096</v>
      </c>
      <c r="H43" s="8">
        <f t="shared" si="1"/>
        <v>15250</v>
      </c>
      <c r="I43" s="8">
        <f t="shared" si="2"/>
        <v>61850</v>
      </c>
      <c r="L43" s="8">
        <f t="shared" si="3"/>
        <v>599810</v>
      </c>
      <c r="M43" s="8">
        <f t="shared" si="4"/>
        <v>638095.74468085112</v>
      </c>
      <c r="N43" s="12">
        <f t="shared" si="5"/>
        <v>61850</v>
      </c>
      <c r="O43" s="13">
        <f t="shared" si="6"/>
        <v>9.692902752538303E-2</v>
      </c>
      <c r="P43" s="8">
        <f t="shared" si="7"/>
        <v>689436.7816091954</v>
      </c>
      <c r="Q43" s="12">
        <f t="shared" si="8"/>
        <v>61850</v>
      </c>
      <c r="R43" s="13">
        <f t="shared" si="9"/>
        <v>8.9710908454343874E-2</v>
      </c>
    </row>
    <row r="44" spans="1:18" x14ac:dyDescent="0.3">
      <c r="A44" s="1">
        <v>420001</v>
      </c>
      <c r="B44" s="1">
        <v>430000</v>
      </c>
      <c r="C44" s="9">
        <v>15900</v>
      </c>
      <c r="E44" s="3">
        <f t="shared" si="10"/>
        <v>55900</v>
      </c>
      <c r="F44" s="3">
        <f t="shared" si="11"/>
        <v>48590</v>
      </c>
      <c r="G44" s="2">
        <f t="shared" si="0"/>
        <v>0.11023255813953489</v>
      </c>
      <c r="H44" s="8">
        <f t="shared" si="1"/>
        <v>15500</v>
      </c>
      <c r="I44" s="8">
        <f t="shared" si="2"/>
        <v>62900</v>
      </c>
      <c r="L44" s="8">
        <f t="shared" si="3"/>
        <v>613290</v>
      </c>
      <c r="M44" s="8">
        <f t="shared" si="4"/>
        <v>652436.17021276604</v>
      </c>
      <c r="N44" s="12">
        <f t="shared" si="5"/>
        <v>62900</v>
      </c>
      <c r="O44" s="13">
        <f t="shared" si="6"/>
        <v>9.640789838412496E-2</v>
      </c>
      <c r="P44" s="8">
        <f t="shared" si="7"/>
        <v>704931.03448275861</v>
      </c>
      <c r="Q44" s="12">
        <f t="shared" si="8"/>
        <v>62900</v>
      </c>
      <c r="R44" s="13">
        <f t="shared" si="9"/>
        <v>8.9228586802328425E-2</v>
      </c>
    </row>
    <row r="45" spans="1:18" x14ac:dyDescent="0.3">
      <c r="A45" s="1">
        <v>430001</v>
      </c>
      <c r="B45" s="1">
        <v>440000</v>
      </c>
      <c r="C45" s="9">
        <v>15900</v>
      </c>
      <c r="E45" s="3">
        <f t="shared" si="10"/>
        <v>57200</v>
      </c>
      <c r="F45" s="3">
        <f t="shared" si="11"/>
        <v>49720</v>
      </c>
      <c r="G45" s="2">
        <f t="shared" si="0"/>
        <v>0.10954545454545454</v>
      </c>
      <c r="H45" s="8">
        <f t="shared" si="1"/>
        <v>15750</v>
      </c>
      <c r="I45" s="8">
        <f t="shared" si="2"/>
        <v>63950</v>
      </c>
      <c r="L45" s="8">
        <f t="shared" si="3"/>
        <v>626770</v>
      </c>
      <c r="M45" s="8">
        <f t="shared" si="4"/>
        <v>666776.59574468085</v>
      </c>
      <c r="N45" s="12">
        <f t="shared" si="5"/>
        <v>63950</v>
      </c>
      <c r="O45" s="13">
        <f t="shared" si="6"/>
        <v>9.5909185187548859E-2</v>
      </c>
      <c r="P45" s="8">
        <f t="shared" si="7"/>
        <v>720425.28735632182</v>
      </c>
      <c r="Q45" s="12">
        <f t="shared" si="8"/>
        <v>63950</v>
      </c>
      <c r="R45" s="13">
        <f t="shared" si="9"/>
        <v>8.8767011822518629E-2</v>
      </c>
    </row>
    <row r="46" spans="1:18" x14ac:dyDescent="0.3">
      <c r="A46" s="1">
        <v>440001</v>
      </c>
      <c r="B46" s="1">
        <v>450000</v>
      </c>
      <c r="C46" s="9">
        <v>15900</v>
      </c>
      <c r="E46" s="3">
        <f t="shared" si="10"/>
        <v>58500</v>
      </c>
      <c r="F46" s="3">
        <f t="shared" si="11"/>
        <v>50850</v>
      </c>
      <c r="G46" s="2">
        <f t="shared" si="0"/>
        <v>0.1088888888888889</v>
      </c>
      <c r="H46" s="8">
        <f t="shared" si="1"/>
        <v>16000</v>
      </c>
      <c r="I46" s="8">
        <f t="shared" si="2"/>
        <v>65000</v>
      </c>
      <c r="L46" s="8">
        <f t="shared" si="3"/>
        <v>640250</v>
      </c>
      <c r="M46" s="8">
        <f t="shared" si="4"/>
        <v>681117.02127659577</v>
      </c>
      <c r="N46" s="12">
        <f t="shared" si="5"/>
        <v>65000</v>
      </c>
      <c r="O46" s="13">
        <f t="shared" si="6"/>
        <v>9.5431472081218272E-2</v>
      </c>
      <c r="P46" s="8">
        <f t="shared" si="7"/>
        <v>735919.54022988502</v>
      </c>
      <c r="Q46" s="12">
        <f t="shared" si="8"/>
        <v>65000</v>
      </c>
      <c r="R46" s="13">
        <f t="shared" si="9"/>
        <v>8.832487309644671E-2</v>
      </c>
    </row>
    <row r="47" spans="1:18" x14ac:dyDescent="0.3">
      <c r="A47" s="1">
        <v>450001</v>
      </c>
      <c r="B47" s="1">
        <v>460000</v>
      </c>
      <c r="C47" s="9">
        <v>15900</v>
      </c>
      <c r="E47" s="3">
        <f t="shared" si="10"/>
        <v>59800</v>
      </c>
      <c r="F47" s="3">
        <f t="shared" si="11"/>
        <v>51980</v>
      </c>
      <c r="G47" s="2">
        <f t="shared" si="0"/>
        <v>0.1082608695652174</v>
      </c>
      <c r="H47" s="8">
        <f t="shared" si="1"/>
        <v>16250</v>
      </c>
      <c r="I47" s="8">
        <f t="shared" si="2"/>
        <v>66050</v>
      </c>
      <c r="L47" s="8">
        <f t="shared" si="3"/>
        <v>653730</v>
      </c>
      <c r="M47" s="8">
        <f t="shared" si="4"/>
        <v>695457.44680851069</v>
      </c>
      <c r="N47" s="12">
        <f t="shared" si="5"/>
        <v>66050</v>
      </c>
      <c r="O47" s="13">
        <f t="shared" si="6"/>
        <v>9.4973459991127829E-2</v>
      </c>
      <c r="P47" s="8">
        <f t="shared" si="7"/>
        <v>751413.79310344823</v>
      </c>
      <c r="Q47" s="12">
        <f t="shared" si="8"/>
        <v>66050</v>
      </c>
      <c r="R47" s="13">
        <f t="shared" si="9"/>
        <v>8.7900968289660875E-2</v>
      </c>
    </row>
    <row r="48" spans="1:18" x14ac:dyDescent="0.3">
      <c r="A48" s="1">
        <v>460001</v>
      </c>
      <c r="B48" s="1">
        <v>470000</v>
      </c>
      <c r="C48" s="9">
        <v>15900</v>
      </c>
      <c r="E48" s="3">
        <f t="shared" si="10"/>
        <v>61100</v>
      </c>
      <c r="F48" s="3">
        <f t="shared" si="11"/>
        <v>53110</v>
      </c>
      <c r="G48" s="2">
        <f t="shared" si="0"/>
        <v>0.10765957446808511</v>
      </c>
      <c r="H48" s="8">
        <f t="shared" si="1"/>
        <v>16500</v>
      </c>
      <c r="I48" s="8">
        <f t="shared" si="2"/>
        <v>67100</v>
      </c>
      <c r="L48" s="8">
        <f t="shared" si="3"/>
        <v>667210</v>
      </c>
      <c r="M48" s="8">
        <f t="shared" si="4"/>
        <v>709797.87234042562</v>
      </c>
      <c r="N48" s="12">
        <f t="shared" si="5"/>
        <v>67100</v>
      </c>
      <c r="O48" s="13">
        <f t="shared" si="6"/>
        <v>9.4533954826816133E-2</v>
      </c>
      <c r="P48" s="8">
        <f t="shared" si="7"/>
        <v>766908.04597701156</v>
      </c>
      <c r="Q48" s="12">
        <f t="shared" si="8"/>
        <v>67100</v>
      </c>
      <c r="R48" s="13">
        <f t="shared" si="9"/>
        <v>8.7494192233329826E-2</v>
      </c>
    </row>
    <row r="49" spans="1:18" x14ac:dyDescent="0.3">
      <c r="A49" s="1">
        <v>470001</v>
      </c>
      <c r="B49" s="1">
        <v>480000</v>
      </c>
      <c r="C49" s="9">
        <v>15900</v>
      </c>
      <c r="E49" s="3">
        <f t="shared" si="10"/>
        <v>62400</v>
      </c>
      <c r="F49" s="3">
        <f t="shared" si="11"/>
        <v>54240</v>
      </c>
      <c r="G49" s="2">
        <f t="shared" si="0"/>
        <v>0.10708333333333334</v>
      </c>
      <c r="H49" s="8">
        <f t="shared" si="1"/>
        <v>16750</v>
      </c>
      <c r="I49" s="8">
        <f t="shared" si="2"/>
        <v>68150</v>
      </c>
      <c r="L49" s="8">
        <f t="shared" si="3"/>
        <v>680690</v>
      </c>
      <c r="M49" s="8">
        <f t="shared" si="4"/>
        <v>724138.29787234042</v>
      </c>
      <c r="N49" s="12">
        <f t="shared" si="5"/>
        <v>68150</v>
      </c>
      <c r="O49" s="13">
        <f t="shared" si="6"/>
        <v>9.411185708619195E-2</v>
      </c>
      <c r="P49" s="8">
        <f t="shared" si="7"/>
        <v>782402.29885057476</v>
      </c>
      <c r="Q49" s="12">
        <f t="shared" si="8"/>
        <v>68150</v>
      </c>
      <c r="R49" s="13">
        <f t="shared" si="9"/>
        <v>8.710352730317765E-2</v>
      </c>
    </row>
    <row r="50" spans="1:18" x14ac:dyDescent="0.3">
      <c r="A50" s="1">
        <v>480001</v>
      </c>
      <c r="B50" s="1">
        <v>490000</v>
      </c>
      <c r="C50" s="9">
        <v>15900</v>
      </c>
      <c r="E50" s="3">
        <f t="shared" si="10"/>
        <v>63700</v>
      </c>
      <c r="F50" s="3">
        <f t="shared" si="11"/>
        <v>55370</v>
      </c>
      <c r="G50" s="2">
        <f t="shared" si="0"/>
        <v>0.10653061224489796</v>
      </c>
      <c r="H50" s="8">
        <f t="shared" si="1"/>
        <v>17000</v>
      </c>
      <c r="I50" s="8">
        <f t="shared" si="2"/>
        <v>69200</v>
      </c>
      <c r="L50" s="8">
        <f t="shared" si="3"/>
        <v>694170</v>
      </c>
      <c r="M50" s="8">
        <f t="shared" si="4"/>
        <v>738478.72340425535</v>
      </c>
      <c r="N50" s="12">
        <f t="shared" si="5"/>
        <v>69200</v>
      </c>
      <c r="O50" s="13">
        <f t="shared" si="6"/>
        <v>9.3706152671535786E-2</v>
      </c>
      <c r="P50" s="8">
        <f t="shared" si="7"/>
        <v>797896.55172413797</v>
      </c>
      <c r="Q50" s="12">
        <f t="shared" si="8"/>
        <v>69200</v>
      </c>
      <c r="R50" s="13">
        <f t="shared" si="9"/>
        <v>8.6728034919400149E-2</v>
      </c>
    </row>
    <row r="51" spans="1:18" x14ac:dyDescent="0.3">
      <c r="A51" s="1">
        <v>490001</v>
      </c>
      <c r="B51" s="1">
        <v>500000</v>
      </c>
      <c r="C51" s="9">
        <v>15900</v>
      </c>
      <c r="E51" s="3">
        <f t="shared" si="10"/>
        <v>65000</v>
      </c>
      <c r="F51" s="3">
        <f t="shared" si="11"/>
        <v>56500</v>
      </c>
      <c r="G51" s="2">
        <f t="shared" si="0"/>
        <v>0.106</v>
      </c>
      <c r="H51" s="8">
        <f t="shared" si="1"/>
        <v>17250</v>
      </c>
      <c r="I51" s="8">
        <f t="shared" si="2"/>
        <v>70250</v>
      </c>
      <c r="L51" s="8">
        <f t="shared" si="3"/>
        <v>707650</v>
      </c>
      <c r="M51" s="8">
        <f t="shared" si="4"/>
        <v>752819.14893617027</v>
      </c>
      <c r="N51" s="12">
        <f t="shared" si="5"/>
        <v>70250</v>
      </c>
      <c r="O51" s="13">
        <f t="shared" si="6"/>
        <v>9.331590475517558E-2</v>
      </c>
      <c r="P51" s="8">
        <f t="shared" si="7"/>
        <v>813390.80459770118</v>
      </c>
      <c r="Q51" s="12">
        <f t="shared" si="8"/>
        <v>70250</v>
      </c>
      <c r="R51" s="13">
        <f t="shared" si="9"/>
        <v>8.6366848018088041E-2</v>
      </c>
    </row>
    <row r="52" spans="1:18" x14ac:dyDescent="0.3">
      <c r="A52" s="1">
        <v>500001</v>
      </c>
      <c r="B52" s="1">
        <v>510000</v>
      </c>
      <c r="C52" s="9">
        <v>15900</v>
      </c>
      <c r="E52" s="3">
        <f t="shared" si="10"/>
        <v>66300</v>
      </c>
      <c r="F52" s="3">
        <f t="shared" si="11"/>
        <v>57630</v>
      </c>
      <c r="G52" s="2">
        <f t="shared" si="0"/>
        <v>0.10549019607843138</v>
      </c>
      <c r="H52" s="8">
        <f t="shared" si="1"/>
        <v>17500</v>
      </c>
      <c r="I52" s="8">
        <f t="shared" si="2"/>
        <v>71300</v>
      </c>
      <c r="L52" s="8">
        <f t="shared" si="3"/>
        <v>721130</v>
      </c>
      <c r="M52" s="8">
        <f t="shared" si="4"/>
        <v>767159.57446808519</v>
      </c>
      <c r="N52" s="12">
        <f t="shared" si="5"/>
        <v>71300</v>
      </c>
      <c r="O52" s="13">
        <f t="shared" si="6"/>
        <v>9.2940246557486159E-2</v>
      </c>
      <c r="P52" s="8">
        <f t="shared" si="7"/>
        <v>828885.05747126439</v>
      </c>
      <c r="Q52" s="12">
        <f t="shared" si="8"/>
        <v>71300</v>
      </c>
      <c r="R52" s="13">
        <f t="shared" si="9"/>
        <v>8.6019164367035064E-2</v>
      </c>
    </row>
    <row r="53" spans="1:18" x14ac:dyDescent="0.3">
      <c r="A53" s="1">
        <v>510001</v>
      </c>
      <c r="B53" s="1">
        <v>520000</v>
      </c>
      <c r="C53" s="9">
        <v>15900</v>
      </c>
      <c r="E53" s="3">
        <f t="shared" si="10"/>
        <v>67600</v>
      </c>
      <c r="F53" s="3">
        <f t="shared" si="11"/>
        <v>58760</v>
      </c>
      <c r="G53" s="2">
        <f t="shared" si="0"/>
        <v>0.10500000000000001</v>
      </c>
      <c r="H53" s="8">
        <f t="shared" si="1"/>
        <v>17750</v>
      </c>
      <c r="I53" s="8">
        <f t="shared" si="2"/>
        <v>72350</v>
      </c>
      <c r="L53" s="8">
        <f t="shared" si="3"/>
        <v>734610</v>
      </c>
      <c r="M53" s="8">
        <f t="shared" si="4"/>
        <v>781500</v>
      </c>
      <c r="N53" s="12">
        <f t="shared" si="5"/>
        <v>72350</v>
      </c>
      <c r="O53" s="13">
        <f t="shared" si="6"/>
        <v>9.2578374920025588E-2</v>
      </c>
      <c r="P53" s="8">
        <f t="shared" si="7"/>
        <v>844379.31034482759</v>
      </c>
      <c r="Q53" s="12">
        <f t="shared" si="8"/>
        <v>72350</v>
      </c>
      <c r="R53" s="13">
        <f t="shared" si="9"/>
        <v>8.56842406174705E-2</v>
      </c>
    </row>
    <row r="54" spans="1:18" x14ac:dyDescent="0.3">
      <c r="A54" s="1">
        <v>520001</v>
      </c>
      <c r="B54" s="1">
        <v>530000</v>
      </c>
      <c r="C54" s="9">
        <v>15900</v>
      </c>
      <c r="E54" s="3">
        <f t="shared" si="10"/>
        <v>68900</v>
      </c>
      <c r="F54" s="3">
        <f t="shared" si="11"/>
        <v>59890</v>
      </c>
      <c r="G54" s="2">
        <f t="shared" si="0"/>
        <v>0.10452830188679246</v>
      </c>
      <c r="H54" s="8">
        <f t="shared" si="1"/>
        <v>18000</v>
      </c>
      <c r="I54" s="8">
        <f t="shared" si="2"/>
        <v>73400</v>
      </c>
      <c r="L54" s="8">
        <f t="shared" si="3"/>
        <v>748090</v>
      </c>
      <c r="M54" s="8">
        <f t="shared" si="4"/>
        <v>795840.42553191492</v>
      </c>
      <c r="N54" s="12">
        <f t="shared" si="5"/>
        <v>73400</v>
      </c>
      <c r="O54" s="13">
        <f t="shared" si="6"/>
        <v>9.2229544573513872E-2</v>
      </c>
      <c r="P54" s="8">
        <f t="shared" si="7"/>
        <v>859873.5632183908</v>
      </c>
      <c r="Q54" s="12">
        <f t="shared" si="8"/>
        <v>73400</v>
      </c>
      <c r="R54" s="13">
        <f t="shared" si="9"/>
        <v>8.5361386998890509E-2</v>
      </c>
    </row>
    <row r="55" spans="1:18" x14ac:dyDescent="0.3">
      <c r="A55" s="1">
        <v>530001</v>
      </c>
      <c r="B55" s="1">
        <v>540000</v>
      </c>
      <c r="C55" s="9">
        <v>15900</v>
      </c>
      <c r="E55" s="3">
        <f t="shared" si="10"/>
        <v>70200</v>
      </c>
      <c r="F55" s="3">
        <f t="shared" si="11"/>
        <v>61020</v>
      </c>
      <c r="G55" s="2">
        <f t="shared" si="0"/>
        <v>0.10407407407407407</v>
      </c>
      <c r="H55" s="8">
        <f t="shared" si="1"/>
        <v>18250</v>
      </c>
      <c r="I55" s="8">
        <f t="shared" si="2"/>
        <v>74450</v>
      </c>
      <c r="L55" s="8">
        <f t="shared" si="3"/>
        <v>761570</v>
      </c>
      <c r="M55" s="8">
        <f t="shared" si="4"/>
        <v>810180.85106382985</v>
      </c>
      <c r="N55" s="12">
        <f t="shared" si="5"/>
        <v>74450</v>
      </c>
      <c r="O55" s="13">
        <f t="shared" si="6"/>
        <v>9.1893063014562015E-2</v>
      </c>
      <c r="P55" s="8">
        <f t="shared" si="7"/>
        <v>875367.81609195401</v>
      </c>
      <c r="Q55" s="12">
        <f t="shared" si="8"/>
        <v>74450</v>
      </c>
      <c r="R55" s="13">
        <f t="shared" si="9"/>
        <v>8.5049962577307403E-2</v>
      </c>
    </row>
    <row r="56" spans="1:18" x14ac:dyDescent="0.3">
      <c r="A56" s="1">
        <v>540001</v>
      </c>
      <c r="B56" s="1">
        <v>550000</v>
      </c>
      <c r="C56" s="9">
        <v>15900</v>
      </c>
      <c r="E56" s="3">
        <f t="shared" si="10"/>
        <v>71500</v>
      </c>
      <c r="F56" s="3">
        <f t="shared" si="11"/>
        <v>62150</v>
      </c>
      <c r="G56" s="2">
        <f t="shared" si="0"/>
        <v>0.10363636363636364</v>
      </c>
      <c r="H56" s="8">
        <f t="shared" si="1"/>
        <v>18500</v>
      </c>
      <c r="I56" s="8">
        <f t="shared" si="2"/>
        <v>75500</v>
      </c>
      <c r="L56" s="8">
        <f t="shared" si="3"/>
        <v>775050</v>
      </c>
      <c r="M56" s="8">
        <f t="shared" si="4"/>
        <v>824521.27659574477</v>
      </c>
      <c r="N56" s="12">
        <f t="shared" si="5"/>
        <v>75500</v>
      </c>
      <c r="O56" s="13">
        <f t="shared" si="6"/>
        <v>9.1568285917037598E-2</v>
      </c>
      <c r="P56" s="8">
        <f t="shared" si="7"/>
        <v>890862.06896551722</v>
      </c>
      <c r="Q56" s="12">
        <f t="shared" si="8"/>
        <v>75500</v>
      </c>
      <c r="R56" s="13">
        <f t="shared" si="9"/>
        <v>8.4749371008322041E-2</v>
      </c>
    </row>
    <row r="57" spans="1:18" x14ac:dyDescent="0.3">
      <c r="A57" s="1">
        <v>550001</v>
      </c>
      <c r="B57" s="1">
        <v>600000</v>
      </c>
      <c r="C57" s="9">
        <v>15900</v>
      </c>
      <c r="E57" s="3">
        <f t="shared" si="10"/>
        <v>78000</v>
      </c>
      <c r="F57" s="3">
        <f t="shared" si="11"/>
        <v>67800</v>
      </c>
      <c r="G57" s="2">
        <f t="shared" si="0"/>
        <v>0.10166666666666667</v>
      </c>
      <c r="H57" s="8">
        <f t="shared" si="1"/>
        <v>19750</v>
      </c>
      <c r="I57" s="8">
        <f t="shared" si="2"/>
        <v>80750</v>
      </c>
      <c r="L57" s="8">
        <f t="shared" si="3"/>
        <v>842450</v>
      </c>
      <c r="M57" s="8">
        <f t="shared" si="4"/>
        <v>896223.40425531915</v>
      </c>
      <c r="N57" s="12">
        <f t="shared" si="5"/>
        <v>80750</v>
      </c>
      <c r="O57" s="13">
        <f t="shared" si="6"/>
        <v>9.0100302688586861E-2</v>
      </c>
      <c r="P57" s="8">
        <f t="shared" si="7"/>
        <v>968333.33333333337</v>
      </c>
      <c r="Q57" s="12">
        <f t="shared" si="8"/>
        <v>80750</v>
      </c>
      <c r="R57" s="13">
        <f t="shared" si="9"/>
        <v>8.3390705679862301E-2</v>
      </c>
    </row>
    <row r="58" spans="1:18" x14ac:dyDescent="0.3">
      <c r="A58" s="1">
        <v>600001</v>
      </c>
      <c r="B58" s="1">
        <v>650000</v>
      </c>
      <c r="C58" s="9">
        <v>15900</v>
      </c>
      <c r="E58" s="3">
        <f t="shared" si="10"/>
        <v>84500</v>
      </c>
      <c r="F58" s="3">
        <f t="shared" si="11"/>
        <v>73450</v>
      </c>
      <c r="G58" s="2">
        <f t="shared" si="0"/>
        <v>0.1</v>
      </c>
      <c r="H58" s="8">
        <f t="shared" si="1"/>
        <v>21000</v>
      </c>
      <c r="I58" s="8">
        <f t="shared" si="2"/>
        <v>86000</v>
      </c>
      <c r="L58" s="8">
        <f t="shared" si="3"/>
        <v>909850</v>
      </c>
      <c r="M58" s="8">
        <f t="shared" si="4"/>
        <v>967925.53191489365</v>
      </c>
      <c r="N58" s="12">
        <f t="shared" si="5"/>
        <v>86000</v>
      </c>
      <c r="O58" s="13">
        <f t="shared" si="6"/>
        <v>8.8849810408309055E-2</v>
      </c>
      <c r="P58" s="8">
        <f t="shared" si="7"/>
        <v>1045804.5977011494</v>
      </c>
      <c r="Q58" s="12">
        <f t="shared" si="8"/>
        <v>86000</v>
      </c>
      <c r="R58" s="13">
        <f t="shared" si="9"/>
        <v>8.2233335165137117E-2</v>
      </c>
    </row>
    <row r="59" spans="1:18" x14ac:dyDescent="0.3">
      <c r="A59" s="1">
        <v>650001</v>
      </c>
      <c r="B59" s="1">
        <v>700000</v>
      </c>
      <c r="C59" s="9">
        <v>15900</v>
      </c>
      <c r="E59" s="3">
        <f t="shared" si="10"/>
        <v>91000</v>
      </c>
      <c r="F59" s="3">
        <f t="shared" si="11"/>
        <v>79100</v>
      </c>
      <c r="G59" s="2">
        <f t="shared" si="0"/>
        <v>9.8571428571428574E-2</v>
      </c>
      <c r="H59" s="8">
        <f t="shared" si="1"/>
        <v>22250</v>
      </c>
      <c r="I59" s="8">
        <f t="shared" si="2"/>
        <v>91250</v>
      </c>
      <c r="L59" s="8">
        <f t="shared" si="3"/>
        <v>977250</v>
      </c>
      <c r="M59" s="8">
        <f t="shared" si="4"/>
        <v>1039627.6595744682</v>
      </c>
      <c r="N59" s="12">
        <f t="shared" si="5"/>
        <v>91250</v>
      </c>
      <c r="O59" s="13">
        <f t="shared" si="6"/>
        <v>8.7771808646712704E-2</v>
      </c>
      <c r="P59" s="8">
        <f t="shared" si="7"/>
        <v>1123275.8620689656</v>
      </c>
      <c r="Q59" s="12">
        <f t="shared" si="8"/>
        <v>91250</v>
      </c>
      <c r="R59" s="13">
        <f t="shared" si="9"/>
        <v>8.123561013046815E-2</v>
      </c>
    </row>
    <row r="60" spans="1:18" x14ac:dyDescent="0.3">
      <c r="A60" s="1">
        <v>700001</v>
      </c>
      <c r="B60" s="1">
        <v>750000</v>
      </c>
      <c r="C60" s="9">
        <v>15900</v>
      </c>
      <c r="E60" s="3">
        <f t="shared" si="10"/>
        <v>97500</v>
      </c>
      <c r="F60" s="3">
        <f t="shared" si="11"/>
        <v>84750</v>
      </c>
      <c r="G60" s="2">
        <f t="shared" si="0"/>
        <v>9.7333333333333327E-2</v>
      </c>
      <c r="H60" s="8">
        <f t="shared" si="1"/>
        <v>23500</v>
      </c>
      <c r="I60" s="8">
        <f t="shared" si="2"/>
        <v>96500</v>
      </c>
      <c r="L60" s="8">
        <f t="shared" si="3"/>
        <v>1044650</v>
      </c>
      <c r="M60" s="8">
        <f t="shared" si="4"/>
        <v>1111329.7872340425</v>
      </c>
      <c r="N60" s="12">
        <f t="shared" si="5"/>
        <v>96499.999999999884</v>
      </c>
      <c r="O60" s="13">
        <f t="shared" si="6"/>
        <v>8.6832910544201308E-2</v>
      </c>
      <c r="P60" s="8">
        <f t="shared" si="7"/>
        <v>1200747.1264367816</v>
      </c>
      <c r="Q60" s="12">
        <f t="shared" si="8"/>
        <v>96500</v>
      </c>
      <c r="R60" s="13">
        <f t="shared" si="9"/>
        <v>8.0366629971760875E-2</v>
      </c>
    </row>
    <row r="61" spans="1:18" x14ac:dyDescent="0.3">
      <c r="A61" s="1">
        <v>750001</v>
      </c>
      <c r="B61" s="1">
        <v>800000</v>
      </c>
      <c r="C61" s="9">
        <v>15900</v>
      </c>
      <c r="E61" s="3">
        <f t="shared" si="10"/>
        <v>104000</v>
      </c>
      <c r="F61" s="3">
        <f t="shared" si="11"/>
        <v>90400</v>
      </c>
      <c r="G61" s="2">
        <f t="shared" si="0"/>
        <v>9.6250000000000002E-2</v>
      </c>
      <c r="H61" s="8">
        <f t="shared" si="1"/>
        <v>24750</v>
      </c>
      <c r="I61" s="8">
        <f t="shared" si="2"/>
        <v>101750</v>
      </c>
      <c r="L61" s="8">
        <f t="shared" si="3"/>
        <v>1112050</v>
      </c>
      <c r="M61" s="8">
        <f t="shared" si="4"/>
        <v>1183031.9148936172</v>
      </c>
      <c r="N61" s="12">
        <f t="shared" si="5"/>
        <v>101750</v>
      </c>
      <c r="O61" s="13">
        <f t="shared" si="6"/>
        <v>8.6007823389236085E-2</v>
      </c>
      <c r="P61" s="8">
        <f t="shared" si="7"/>
        <v>1278218.3908045976</v>
      </c>
      <c r="Q61" s="12">
        <f t="shared" si="8"/>
        <v>101750</v>
      </c>
      <c r="R61" s="13">
        <f t="shared" si="9"/>
        <v>7.9602985477271709E-2</v>
      </c>
    </row>
    <row r="62" spans="1:18" x14ac:dyDescent="0.3">
      <c r="A62" s="1">
        <v>800001</v>
      </c>
      <c r="B62" s="1">
        <v>850000</v>
      </c>
      <c r="C62" s="9">
        <v>15900</v>
      </c>
      <c r="E62" s="3">
        <f t="shared" si="10"/>
        <v>110500</v>
      </c>
      <c r="F62" s="3">
        <f t="shared" si="11"/>
        <v>96050</v>
      </c>
      <c r="G62" s="2">
        <f t="shared" si="0"/>
        <v>9.5294117647058821E-2</v>
      </c>
      <c r="H62" s="8">
        <f t="shared" si="1"/>
        <v>26000</v>
      </c>
      <c r="I62" s="8">
        <f t="shared" si="2"/>
        <v>107000</v>
      </c>
      <c r="L62" s="8">
        <f t="shared" si="3"/>
        <v>1179450</v>
      </c>
      <c r="M62" s="8">
        <f t="shared" si="4"/>
        <v>1254734.0425531915</v>
      </c>
      <c r="N62" s="12">
        <f t="shared" si="5"/>
        <v>107000</v>
      </c>
      <c r="O62" s="13">
        <f t="shared" si="6"/>
        <v>8.5277035906566614E-2</v>
      </c>
      <c r="P62" s="8">
        <f t="shared" si="7"/>
        <v>1355689.6551724139</v>
      </c>
      <c r="Q62" s="12">
        <f t="shared" si="8"/>
        <v>107000</v>
      </c>
      <c r="R62" s="13">
        <f t="shared" si="9"/>
        <v>7.8926618339056329E-2</v>
      </c>
    </row>
    <row r="63" spans="1:18" x14ac:dyDescent="0.3">
      <c r="A63" s="1">
        <v>850001</v>
      </c>
      <c r="B63" s="1">
        <v>900000</v>
      </c>
      <c r="C63" s="9">
        <v>15900</v>
      </c>
      <c r="E63" s="3">
        <f t="shared" si="10"/>
        <v>117000</v>
      </c>
      <c r="F63" s="3">
        <f t="shared" si="11"/>
        <v>101700</v>
      </c>
      <c r="G63" s="2">
        <f t="shared" si="0"/>
        <v>9.4444444444444442E-2</v>
      </c>
      <c r="H63" s="8">
        <f t="shared" si="1"/>
        <v>27250</v>
      </c>
      <c r="I63" s="8">
        <f t="shared" si="2"/>
        <v>112250</v>
      </c>
      <c r="L63" s="8">
        <f t="shared" si="3"/>
        <v>1246850</v>
      </c>
      <c r="M63" s="8">
        <f t="shared" si="4"/>
        <v>1326436.1702127659</v>
      </c>
      <c r="N63" s="12">
        <f t="shared" si="5"/>
        <v>112250</v>
      </c>
      <c r="O63" s="13">
        <f t="shared" si="6"/>
        <v>8.4625255644223449E-2</v>
      </c>
      <c r="P63" s="8">
        <f t="shared" si="7"/>
        <v>1433160.91954023</v>
      </c>
      <c r="Q63" s="12">
        <f t="shared" si="8"/>
        <v>112250</v>
      </c>
      <c r="R63" s="13">
        <f t="shared" si="9"/>
        <v>7.832337490475999E-2</v>
      </c>
    </row>
    <row r="64" spans="1:18" x14ac:dyDescent="0.3">
      <c r="A64" s="1">
        <v>900001</v>
      </c>
      <c r="B64" s="1">
        <v>950000</v>
      </c>
      <c r="C64" s="9">
        <v>15900</v>
      </c>
      <c r="E64" s="3">
        <f t="shared" si="10"/>
        <v>123500</v>
      </c>
      <c r="F64" s="3">
        <f t="shared" si="11"/>
        <v>107350</v>
      </c>
      <c r="G64" s="2">
        <f t="shared" si="0"/>
        <v>9.3684210526315786E-2</v>
      </c>
      <c r="H64" s="8">
        <f t="shared" si="1"/>
        <v>28500</v>
      </c>
      <c r="I64" s="8">
        <f t="shared" si="2"/>
        <v>117500</v>
      </c>
      <c r="L64" s="8">
        <f t="shared" si="3"/>
        <v>1314250</v>
      </c>
      <c r="M64" s="8">
        <f t="shared" si="4"/>
        <v>1398138.2978723405</v>
      </c>
      <c r="N64" s="12">
        <f t="shared" si="5"/>
        <v>117500</v>
      </c>
      <c r="O64" s="13">
        <f t="shared" si="6"/>
        <v>8.4040327182803867E-2</v>
      </c>
      <c r="P64" s="8">
        <f t="shared" si="7"/>
        <v>1510632.183908046</v>
      </c>
      <c r="Q64" s="12">
        <f t="shared" si="8"/>
        <v>117500</v>
      </c>
      <c r="R64" s="13">
        <f t="shared" si="9"/>
        <v>7.7782004945786576E-2</v>
      </c>
    </row>
    <row r="65" spans="1:18" x14ac:dyDescent="0.3">
      <c r="A65" s="1">
        <v>950001</v>
      </c>
      <c r="B65" s="1">
        <v>1000000</v>
      </c>
      <c r="C65" s="9">
        <v>15900</v>
      </c>
      <c r="E65" s="3">
        <f t="shared" si="10"/>
        <v>130000</v>
      </c>
      <c r="F65" s="3">
        <f t="shared" si="11"/>
        <v>113000</v>
      </c>
      <c r="G65" s="2">
        <f t="shared" si="0"/>
        <v>9.2999999999999999E-2</v>
      </c>
      <c r="H65" s="8">
        <f t="shared" si="1"/>
        <v>29750</v>
      </c>
      <c r="I65" s="8">
        <f t="shared" si="2"/>
        <v>122750</v>
      </c>
      <c r="L65" s="8">
        <f t="shared" si="3"/>
        <v>1381650</v>
      </c>
      <c r="M65" s="8">
        <f t="shared" si="4"/>
        <v>1469840.4255319149</v>
      </c>
      <c r="N65" s="12">
        <f t="shared" si="5"/>
        <v>122750</v>
      </c>
      <c r="O65" s="13">
        <f t="shared" si="6"/>
        <v>8.351246697788875E-2</v>
      </c>
      <c r="P65" s="8">
        <f t="shared" si="7"/>
        <v>1588103.448275862</v>
      </c>
      <c r="Q65" s="12">
        <f t="shared" si="8"/>
        <v>122750</v>
      </c>
      <c r="R65" s="13">
        <f t="shared" si="9"/>
        <v>7.729345347953534E-2</v>
      </c>
    </row>
    <row r="66" spans="1:18" x14ac:dyDescent="0.3">
      <c r="A66" s="1">
        <v>1000001</v>
      </c>
      <c r="B66" s="1">
        <v>1050000</v>
      </c>
      <c r="C66" s="9">
        <v>15900</v>
      </c>
      <c r="E66" s="3">
        <f t="shared" si="10"/>
        <v>136500</v>
      </c>
      <c r="F66" s="3">
        <f t="shared" si="11"/>
        <v>118650</v>
      </c>
      <c r="G66" s="2">
        <f t="shared" si="0"/>
        <v>9.2380952380952383E-2</v>
      </c>
      <c r="H66" s="8">
        <f t="shared" si="1"/>
        <v>30000</v>
      </c>
      <c r="I66" s="8">
        <f t="shared" si="2"/>
        <v>127000</v>
      </c>
      <c r="L66" s="8">
        <f t="shared" si="3"/>
        <v>1448050</v>
      </c>
      <c r="M66" s="8">
        <f t="shared" si="4"/>
        <v>1540478.7234042555</v>
      </c>
      <c r="N66" s="12">
        <f t="shared" si="5"/>
        <v>127000</v>
      </c>
      <c r="O66" s="13">
        <f t="shared" si="6"/>
        <v>8.2441904630364965E-2</v>
      </c>
      <c r="P66" s="8">
        <f t="shared" si="7"/>
        <v>1664425.2873563219</v>
      </c>
      <c r="Q66" s="12">
        <f t="shared" si="8"/>
        <v>127000</v>
      </c>
      <c r="R66" s="13">
        <f t="shared" si="9"/>
        <v>7.6302613860018645E-2</v>
      </c>
    </row>
    <row r="67" spans="1:18" x14ac:dyDescent="0.3">
      <c r="A67" s="1">
        <v>1050001</v>
      </c>
      <c r="B67" s="1">
        <v>1100000</v>
      </c>
      <c r="C67" s="9">
        <v>15900</v>
      </c>
      <c r="E67" s="3">
        <f t="shared" si="10"/>
        <v>143000</v>
      </c>
      <c r="F67" s="3">
        <f t="shared" si="11"/>
        <v>124300</v>
      </c>
      <c r="G67" s="2">
        <f t="shared" ref="G67:G130" si="12">MIN($K$2,MAX($K$3,$K$4/B67+$K$3))</f>
        <v>9.1818181818181827E-2</v>
      </c>
      <c r="H67" s="8">
        <f t="shared" ref="H67:H130" si="13">MIN($K$11,$K$9+$K$10*(B67-$B$2))</f>
        <v>30000</v>
      </c>
      <c r="I67" s="8">
        <f t="shared" ref="I67:I130" si="14">B67*G67+H67</f>
        <v>131000.00000000001</v>
      </c>
      <c r="L67" s="8">
        <f t="shared" ref="L67:L130" si="15">B67+C67+E67+F67+I67</f>
        <v>1514200</v>
      </c>
      <c r="M67" s="8">
        <f t="shared" ref="M67:M130" si="16">L67/(1-$K$14)</f>
        <v>1610851.0638297873</v>
      </c>
      <c r="N67" s="12">
        <f t="shared" ref="N67:N130" si="17">M67*(1-$K$14)-B67-C67-E67-F67</f>
        <v>131000</v>
      </c>
      <c r="O67" s="13">
        <f t="shared" ref="O67:O130" si="18">N67/M67</f>
        <v>8.1323471139875841E-2</v>
      </c>
      <c r="P67" s="8">
        <f t="shared" ref="P67:P130" si="19">L67/(1-$K$15)</f>
        <v>1740459.7701149425</v>
      </c>
      <c r="Q67" s="12">
        <f t="shared" ref="Q67:Q130" si="20">P67*(1-$K$15)-B67-C67-E67-F67</f>
        <v>131000</v>
      </c>
      <c r="R67" s="13">
        <f t="shared" ref="R67:R130" si="21">Q67/P67</f>
        <v>7.5267467969885093E-2</v>
      </c>
    </row>
    <row r="68" spans="1:18" x14ac:dyDescent="0.3">
      <c r="A68" s="1">
        <v>1100001</v>
      </c>
      <c r="B68" s="1">
        <v>1150000</v>
      </c>
      <c r="C68" s="9">
        <v>15900</v>
      </c>
      <c r="E68" s="3">
        <f t="shared" si="10"/>
        <v>149500</v>
      </c>
      <c r="F68" s="3">
        <f t="shared" si="11"/>
        <v>129950</v>
      </c>
      <c r="G68" s="2">
        <f t="shared" si="12"/>
        <v>9.1304347826086957E-2</v>
      </c>
      <c r="H68" s="8">
        <f t="shared" si="13"/>
        <v>30000</v>
      </c>
      <c r="I68" s="8">
        <f t="shared" si="14"/>
        <v>135000</v>
      </c>
      <c r="L68" s="8">
        <f t="shared" si="15"/>
        <v>1580350</v>
      </c>
      <c r="M68" s="8">
        <f t="shared" si="16"/>
        <v>1681223.4042553192</v>
      </c>
      <c r="N68" s="12">
        <f t="shared" si="17"/>
        <v>135000</v>
      </c>
      <c r="O68" s="13">
        <f t="shared" si="18"/>
        <v>8.0298668016578603E-2</v>
      </c>
      <c r="P68" s="8">
        <f t="shared" si="19"/>
        <v>1816494.2528735632</v>
      </c>
      <c r="Q68" s="12">
        <f t="shared" si="20"/>
        <v>135000</v>
      </c>
      <c r="R68" s="13">
        <f t="shared" si="21"/>
        <v>7.4318979972790841E-2</v>
      </c>
    </row>
    <row r="69" spans="1:18" x14ac:dyDescent="0.3">
      <c r="A69" s="1">
        <v>1150001</v>
      </c>
      <c r="B69" s="1">
        <v>1200000</v>
      </c>
      <c r="C69" s="9">
        <v>15900</v>
      </c>
      <c r="E69" s="3">
        <f t="shared" si="10"/>
        <v>156000</v>
      </c>
      <c r="F69" s="3">
        <f t="shared" si="11"/>
        <v>135600</v>
      </c>
      <c r="G69" s="2">
        <f t="shared" si="12"/>
        <v>9.0833333333333335E-2</v>
      </c>
      <c r="H69" s="8">
        <f t="shared" si="13"/>
        <v>30000</v>
      </c>
      <c r="I69" s="8">
        <f t="shared" si="14"/>
        <v>139000</v>
      </c>
      <c r="L69" s="8">
        <f t="shared" si="15"/>
        <v>1646500</v>
      </c>
      <c r="M69" s="8">
        <f t="shared" si="16"/>
        <v>1751595.7446808512</v>
      </c>
      <c r="N69" s="12">
        <f t="shared" si="17"/>
        <v>139000</v>
      </c>
      <c r="O69" s="13">
        <f t="shared" si="18"/>
        <v>7.9356210142726993E-2</v>
      </c>
      <c r="P69" s="8">
        <f t="shared" si="19"/>
        <v>1892528.735632184</v>
      </c>
      <c r="Q69" s="12">
        <f t="shared" si="20"/>
        <v>139000</v>
      </c>
      <c r="R69" s="13">
        <f t="shared" si="21"/>
        <v>7.3446705132098389E-2</v>
      </c>
    </row>
    <row r="70" spans="1:18" x14ac:dyDescent="0.3">
      <c r="A70" s="1">
        <v>1200001</v>
      </c>
      <c r="B70" s="1">
        <v>1250000</v>
      </c>
      <c r="C70" s="9">
        <v>15900</v>
      </c>
      <c r="E70" s="3">
        <f t="shared" si="10"/>
        <v>162500</v>
      </c>
      <c r="F70" s="3">
        <f t="shared" si="11"/>
        <v>141250</v>
      </c>
      <c r="G70" s="2">
        <f t="shared" si="12"/>
        <v>9.0400000000000008E-2</v>
      </c>
      <c r="H70" s="8">
        <f t="shared" si="13"/>
        <v>30000</v>
      </c>
      <c r="I70" s="8">
        <f t="shared" si="14"/>
        <v>143000</v>
      </c>
      <c r="L70" s="8">
        <f t="shared" si="15"/>
        <v>1712650</v>
      </c>
      <c r="M70" s="8">
        <f t="shared" si="16"/>
        <v>1821968.0851063831</v>
      </c>
      <c r="N70" s="12">
        <f t="shared" si="17"/>
        <v>143000</v>
      </c>
      <c r="O70" s="13">
        <f t="shared" si="18"/>
        <v>7.8486555922109014E-2</v>
      </c>
      <c r="P70" s="8">
        <f t="shared" si="19"/>
        <v>1968563.2183908047</v>
      </c>
      <c r="Q70" s="12">
        <f t="shared" si="20"/>
        <v>143000</v>
      </c>
      <c r="R70" s="13">
        <f t="shared" si="21"/>
        <v>7.2641812395994501E-2</v>
      </c>
    </row>
    <row r="71" spans="1:18" x14ac:dyDescent="0.3">
      <c r="A71" s="1">
        <v>1250001</v>
      </c>
      <c r="B71" s="1">
        <v>1300000</v>
      </c>
      <c r="C71" s="9">
        <v>15900</v>
      </c>
      <c r="E71" s="3">
        <f t="shared" si="10"/>
        <v>169000</v>
      </c>
      <c r="F71" s="3">
        <f t="shared" si="11"/>
        <v>146900</v>
      </c>
      <c r="G71" s="2">
        <f t="shared" si="12"/>
        <v>0.09</v>
      </c>
      <c r="H71" s="8">
        <f t="shared" si="13"/>
        <v>30000</v>
      </c>
      <c r="I71" s="8">
        <f t="shared" si="14"/>
        <v>147000</v>
      </c>
      <c r="L71" s="8">
        <f t="shared" si="15"/>
        <v>1778800</v>
      </c>
      <c r="M71" s="8">
        <f t="shared" si="16"/>
        <v>1892340.4255319149</v>
      </c>
      <c r="N71" s="12">
        <f t="shared" si="17"/>
        <v>147000</v>
      </c>
      <c r="O71" s="13">
        <f t="shared" si="18"/>
        <v>7.7681583089723408E-2</v>
      </c>
      <c r="P71" s="8">
        <f t="shared" si="19"/>
        <v>2044597.7011494252</v>
      </c>
      <c r="Q71" s="12">
        <f t="shared" si="20"/>
        <v>147000</v>
      </c>
      <c r="R71" s="13">
        <f t="shared" si="21"/>
        <v>7.1896784348999321E-2</v>
      </c>
    </row>
    <row r="72" spans="1:18" x14ac:dyDescent="0.3">
      <c r="A72" s="1">
        <v>1300001</v>
      </c>
      <c r="B72" s="1">
        <v>1350000</v>
      </c>
      <c r="C72" s="9">
        <v>15900</v>
      </c>
      <c r="E72" s="3">
        <f t="shared" si="10"/>
        <v>175500</v>
      </c>
      <c r="F72" s="3">
        <f t="shared" si="11"/>
        <v>152550</v>
      </c>
      <c r="G72" s="2">
        <f t="shared" si="12"/>
        <v>8.9629629629629629E-2</v>
      </c>
      <c r="H72" s="8">
        <f t="shared" si="13"/>
        <v>30000</v>
      </c>
      <c r="I72" s="8">
        <f t="shared" si="14"/>
        <v>151000</v>
      </c>
      <c r="L72" s="8">
        <f t="shared" si="15"/>
        <v>1844950</v>
      </c>
      <c r="M72" s="8">
        <f t="shared" si="16"/>
        <v>1962712.765957447</v>
      </c>
      <c r="N72" s="12">
        <f t="shared" si="17"/>
        <v>151000</v>
      </c>
      <c r="O72" s="13">
        <f t="shared" si="18"/>
        <v>7.6934334263801182E-2</v>
      </c>
      <c r="P72" s="8">
        <f t="shared" si="19"/>
        <v>2120632.1839080458</v>
      </c>
      <c r="Q72" s="12">
        <f t="shared" si="20"/>
        <v>150999.99999999977</v>
      </c>
      <c r="R72" s="13">
        <f t="shared" si="21"/>
        <v>7.1205181712241425E-2</v>
      </c>
    </row>
    <row r="73" spans="1:18" x14ac:dyDescent="0.3">
      <c r="A73" s="1">
        <v>1350001</v>
      </c>
      <c r="B73" s="1">
        <v>1400000</v>
      </c>
      <c r="C73" s="9">
        <v>15900</v>
      </c>
      <c r="E73" s="3">
        <f t="shared" si="10"/>
        <v>182000</v>
      </c>
      <c r="F73" s="3">
        <f t="shared" si="11"/>
        <v>158200</v>
      </c>
      <c r="G73" s="2">
        <f t="shared" si="12"/>
        <v>8.9285714285714288E-2</v>
      </c>
      <c r="H73" s="8">
        <f t="shared" si="13"/>
        <v>30000</v>
      </c>
      <c r="I73" s="8">
        <f t="shared" si="14"/>
        <v>155000</v>
      </c>
      <c r="L73" s="8">
        <f t="shared" si="15"/>
        <v>1911100</v>
      </c>
      <c r="M73" s="8">
        <f t="shared" si="16"/>
        <v>2033085.1063829788</v>
      </c>
      <c r="N73" s="12">
        <f t="shared" si="17"/>
        <v>155000</v>
      </c>
      <c r="O73" s="13">
        <f t="shared" si="18"/>
        <v>7.6238815341949664E-2</v>
      </c>
      <c r="P73" s="8">
        <f t="shared" si="19"/>
        <v>2196666.6666666665</v>
      </c>
      <c r="Q73" s="12">
        <f t="shared" si="20"/>
        <v>154999.99999999977</v>
      </c>
      <c r="R73" s="13">
        <f t="shared" si="21"/>
        <v>7.0561456752655433E-2</v>
      </c>
    </row>
    <row r="74" spans="1:18" x14ac:dyDescent="0.3">
      <c r="A74" s="1">
        <v>1400001</v>
      </c>
      <c r="B74" s="1">
        <v>1450000</v>
      </c>
      <c r="C74" s="9">
        <v>15900</v>
      </c>
      <c r="E74" s="3">
        <f t="shared" si="10"/>
        <v>188500</v>
      </c>
      <c r="F74" s="3">
        <f t="shared" si="11"/>
        <v>163850</v>
      </c>
      <c r="G74" s="2">
        <f t="shared" si="12"/>
        <v>8.8965517241379313E-2</v>
      </c>
      <c r="H74" s="8">
        <f t="shared" si="13"/>
        <v>30000</v>
      </c>
      <c r="I74" s="8">
        <f t="shared" si="14"/>
        <v>159000</v>
      </c>
      <c r="L74" s="8">
        <f t="shared" si="15"/>
        <v>1977250</v>
      </c>
      <c r="M74" s="8">
        <f t="shared" si="16"/>
        <v>2103457.4468085109</v>
      </c>
      <c r="N74" s="12">
        <f t="shared" si="17"/>
        <v>159000.00000000023</v>
      </c>
      <c r="O74" s="13">
        <f t="shared" si="18"/>
        <v>7.5589834365912351E-2</v>
      </c>
      <c r="P74" s="8">
        <f t="shared" si="19"/>
        <v>2272701.1494252873</v>
      </c>
      <c r="Q74" s="12">
        <f t="shared" si="20"/>
        <v>159000</v>
      </c>
      <c r="R74" s="13">
        <f t="shared" si="21"/>
        <v>6.9960804147174108E-2</v>
      </c>
    </row>
    <row r="75" spans="1:18" x14ac:dyDescent="0.3">
      <c r="A75" s="1">
        <v>1450001</v>
      </c>
      <c r="B75" s="1">
        <v>1500000</v>
      </c>
      <c r="C75" s="9">
        <v>15900</v>
      </c>
      <c r="E75" s="3">
        <f t="shared" si="10"/>
        <v>195000</v>
      </c>
      <c r="F75" s="3">
        <f t="shared" si="11"/>
        <v>169500</v>
      </c>
      <c r="G75" s="2">
        <f t="shared" si="12"/>
        <v>8.8666666666666671E-2</v>
      </c>
      <c r="H75" s="8">
        <f t="shared" si="13"/>
        <v>30000</v>
      </c>
      <c r="I75" s="8">
        <f t="shared" si="14"/>
        <v>163000</v>
      </c>
      <c r="L75" s="8">
        <f t="shared" si="15"/>
        <v>2043400</v>
      </c>
      <c r="M75" s="8">
        <f t="shared" si="16"/>
        <v>2173829.7872340428</v>
      </c>
      <c r="N75" s="12">
        <f t="shared" si="17"/>
        <v>163000</v>
      </c>
      <c r="O75" s="13">
        <f t="shared" si="18"/>
        <v>7.4982871684447477E-2</v>
      </c>
      <c r="P75" s="8">
        <f t="shared" si="19"/>
        <v>2348735.632183908</v>
      </c>
      <c r="Q75" s="12">
        <f t="shared" si="20"/>
        <v>163000</v>
      </c>
      <c r="R75" s="13">
        <f t="shared" si="21"/>
        <v>6.9399040814329058E-2</v>
      </c>
    </row>
    <row r="76" spans="1:18" x14ac:dyDescent="0.3">
      <c r="A76" s="1">
        <v>1500001</v>
      </c>
      <c r="B76" s="1">
        <v>1550000</v>
      </c>
      <c r="C76" s="9">
        <v>15900</v>
      </c>
      <c r="E76" s="3">
        <f t="shared" si="10"/>
        <v>201500</v>
      </c>
      <c r="F76" s="3">
        <f t="shared" si="11"/>
        <v>175150</v>
      </c>
      <c r="G76" s="2">
        <f t="shared" si="12"/>
        <v>8.8387096774193555E-2</v>
      </c>
      <c r="H76" s="8">
        <f t="shared" si="13"/>
        <v>30000</v>
      </c>
      <c r="I76" s="8">
        <f t="shared" si="14"/>
        <v>167000</v>
      </c>
      <c r="L76" s="8">
        <f t="shared" si="15"/>
        <v>2109550</v>
      </c>
      <c r="M76" s="8">
        <f t="shared" si="16"/>
        <v>2244202.1276595746</v>
      </c>
      <c r="N76" s="12">
        <f t="shared" si="17"/>
        <v>167000</v>
      </c>
      <c r="O76" s="13">
        <f t="shared" si="18"/>
        <v>7.4413974544334099E-2</v>
      </c>
      <c r="P76" s="8">
        <f t="shared" si="19"/>
        <v>2424770.1149425288</v>
      </c>
      <c r="Q76" s="12">
        <f t="shared" si="20"/>
        <v>167000</v>
      </c>
      <c r="R76" s="13">
        <f t="shared" si="21"/>
        <v>6.8872508354862416E-2</v>
      </c>
    </row>
    <row r="77" spans="1:18" x14ac:dyDescent="0.3">
      <c r="A77" s="1">
        <v>1550001</v>
      </c>
      <c r="B77" s="1">
        <v>1600000</v>
      </c>
      <c r="C77" s="9">
        <v>15900</v>
      </c>
      <c r="E77" s="3">
        <f t="shared" si="10"/>
        <v>208000</v>
      </c>
      <c r="F77" s="3">
        <f t="shared" si="11"/>
        <v>180800</v>
      </c>
      <c r="G77" s="2">
        <f t="shared" si="12"/>
        <v>8.8125000000000009E-2</v>
      </c>
      <c r="H77" s="8">
        <f t="shared" si="13"/>
        <v>30000</v>
      </c>
      <c r="I77" s="8">
        <f t="shared" si="14"/>
        <v>171000</v>
      </c>
      <c r="L77" s="8">
        <f t="shared" si="15"/>
        <v>2175700</v>
      </c>
      <c r="M77" s="8">
        <f t="shared" si="16"/>
        <v>2314574.4680851065</v>
      </c>
      <c r="N77" s="12">
        <f t="shared" si="17"/>
        <v>171000</v>
      </c>
      <c r="O77" s="13">
        <f t="shared" si="18"/>
        <v>7.3879670910511563E-2</v>
      </c>
      <c r="P77" s="8">
        <f t="shared" si="19"/>
        <v>2500804.5977011495</v>
      </c>
      <c r="Q77" s="12">
        <f t="shared" si="20"/>
        <v>171000</v>
      </c>
      <c r="R77" s="13">
        <f t="shared" si="21"/>
        <v>6.837799328951602E-2</v>
      </c>
    </row>
    <row r="78" spans="1:18" x14ac:dyDescent="0.3">
      <c r="A78" s="1">
        <v>1600001</v>
      </c>
      <c r="B78" s="1">
        <v>1650000</v>
      </c>
      <c r="C78" s="9">
        <v>15900</v>
      </c>
      <c r="E78" s="3">
        <f t="shared" si="10"/>
        <v>214500</v>
      </c>
      <c r="F78" s="3">
        <f t="shared" si="11"/>
        <v>186450</v>
      </c>
      <c r="G78" s="2">
        <f t="shared" si="12"/>
        <v>8.7878787878787876E-2</v>
      </c>
      <c r="H78" s="8">
        <f t="shared" si="13"/>
        <v>30000</v>
      </c>
      <c r="I78" s="8">
        <f t="shared" si="14"/>
        <v>175000</v>
      </c>
      <c r="L78" s="8">
        <f t="shared" si="15"/>
        <v>2241850</v>
      </c>
      <c r="M78" s="8">
        <f t="shared" si="16"/>
        <v>2384946.8085106383</v>
      </c>
      <c r="N78" s="12">
        <f t="shared" si="17"/>
        <v>175000</v>
      </c>
      <c r="O78" s="13">
        <f t="shared" si="18"/>
        <v>7.3376898543613539E-2</v>
      </c>
      <c r="P78" s="8">
        <f t="shared" si="19"/>
        <v>2576839.0804597703</v>
      </c>
      <c r="Q78" s="12">
        <f t="shared" si="20"/>
        <v>175000</v>
      </c>
      <c r="R78" s="13">
        <f t="shared" si="21"/>
        <v>6.7912661418025294E-2</v>
      </c>
    </row>
    <row r="79" spans="1:18" x14ac:dyDescent="0.3">
      <c r="A79" s="1">
        <v>1650001</v>
      </c>
      <c r="B79" s="1">
        <v>1700000</v>
      </c>
      <c r="C79" s="9">
        <v>15900</v>
      </c>
      <c r="E79" s="3">
        <f t="shared" si="10"/>
        <v>221000</v>
      </c>
      <c r="F79" s="3">
        <f t="shared" si="11"/>
        <v>192100</v>
      </c>
      <c r="G79" s="2">
        <f t="shared" si="12"/>
        <v>8.7647058823529411E-2</v>
      </c>
      <c r="H79" s="8">
        <f t="shared" si="13"/>
        <v>30000</v>
      </c>
      <c r="I79" s="8">
        <f t="shared" si="14"/>
        <v>179000</v>
      </c>
      <c r="L79" s="8">
        <f t="shared" si="15"/>
        <v>2308000</v>
      </c>
      <c r="M79" s="8">
        <f t="shared" si="16"/>
        <v>2455319.1489361702</v>
      </c>
      <c r="N79" s="12">
        <f t="shared" si="17"/>
        <v>179000</v>
      </c>
      <c r="O79" s="13">
        <f t="shared" si="18"/>
        <v>7.2902946273830163E-2</v>
      </c>
      <c r="P79" s="8">
        <f t="shared" si="19"/>
        <v>2652873.563218391</v>
      </c>
      <c r="Q79" s="12">
        <f t="shared" si="20"/>
        <v>179000</v>
      </c>
      <c r="R79" s="13">
        <f t="shared" si="21"/>
        <v>6.7474003466204496E-2</v>
      </c>
    </row>
    <row r="80" spans="1:18" x14ac:dyDescent="0.3">
      <c r="A80" s="1">
        <v>1700001</v>
      </c>
      <c r="B80" s="1">
        <v>1750000</v>
      </c>
      <c r="C80" s="9">
        <v>15900</v>
      </c>
      <c r="E80" s="3">
        <f t="shared" si="10"/>
        <v>227500</v>
      </c>
      <c r="F80" s="3">
        <f t="shared" si="11"/>
        <v>197750</v>
      </c>
      <c r="G80" s="2">
        <f t="shared" si="12"/>
        <v>8.7428571428571425E-2</v>
      </c>
      <c r="H80" s="8">
        <f t="shared" si="13"/>
        <v>30000</v>
      </c>
      <c r="I80" s="8">
        <f t="shared" si="14"/>
        <v>183000</v>
      </c>
      <c r="L80" s="8">
        <f t="shared" si="15"/>
        <v>2374150</v>
      </c>
      <c r="M80" s="8">
        <f t="shared" si="16"/>
        <v>2525691.4893617025</v>
      </c>
      <c r="N80" s="12">
        <f t="shared" si="17"/>
        <v>183000</v>
      </c>
      <c r="O80" s="13">
        <f t="shared" si="18"/>
        <v>7.2455405092348837E-2</v>
      </c>
      <c r="P80" s="8">
        <f t="shared" si="19"/>
        <v>2728908.0459770113</v>
      </c>
      <c r="Q80" s="12">
        <f t="shared" si="20"/>
        <v>183000</v>
      </c>
      <c r="R80" s="13">
        <f t="shared" si="21"/>
        <v>6.7059789819514354E-2</v>
      </c>
    </row>
    <row r="81" spans="1:18" x14ac:dyDescent="0.3">
      <c r="A81" s="1">
        <v>1750001</v>
      </c>
      <c r="B81" s="1">
        <v>1800000</v>
      </c>
      <c r="C81" s="9">
        <v>15900</v>
      </c>
      <c r="E81" s="3">
        <f t="shared" si="10"/>
        <v>234000</v>
      </c>
      <c r="F81" s="3">
        <f t="shared" si="11"/>
        <v>203400</v>
      </c>
      <c r="G81" s="2">
        <f t="shared" si="12"/>
        <v>8.7222222222222229E-2</v>
      </c>
      <c r="H81" s="8">
        <f t="shared" si="13"/>
        <v>30000</v>
      </c>
      <c r="I81" s="8">
        <f t="shared" si="14"/>
        <v>187000</v>
      </c>
      <c r="L81" s="8">
        <f t="shared" si="15"/>
        <v>2440300</v>
      </c>
      <c r="M81" s="8">
        <f t="shared" si="16"/>
        <v>2596063.8297872343</v>
      </c>
      <c r="N81" s="12">
        <f t="shared" si="17"/>
        <v>187000</v>
      </c>
      <c r="O81" s="13">
        <f t="shared" si="18"/>
        <v>7.2032127197475718E-2</v>
      </c>
      <c r="P81" s="8">
        <f t="shared" si="19"/>
        <v>2804942.5287356321</v>
      </c>
      <c r="Q81" s="12">
        <f t="shared" si="20"/>
        <v>187000</v>
      </c>
      <c r="R81" s="13">
        <f t="shared" si="21"/>
        <v>6.666803261894029E-2</v>
      </c>
    </row>
    <row r="82" spans="1:18" x14ac:dyDescent="0.3">
      <c r="A82" s="1">
        <v>1800001</v>
      </c>
      <c r="B82" s="1">
        <v>1850000</v>
      </c>
      <c r="C82" s="9">
        <v>15900</v>
      </c>
      <c r="E82" s="3">
        <f t="shared" si="10"/>
        <v>240500</v>
      </c>
      <c r="F82" s="3">
        <f t="shared" si="11"/>
        <v>209050</v>
      </c>
      <c r="G82" s="2">
        <f t="shared" si="12"/>
        <v>8.7027027027027026E-2</v>
      </c>
      <c r="H82" s="8">
        <f t="shared" si="13"/>
        <v>30000</v>
      </c>
      <c r="I82" s="8">
        <f t="shared" si="14"/>
        <v>191000</v>
      </c>
      <c r="L82" s="8">
        <f t="shared" si="15"/>
        <v>2506450</v>
      </c>
      <c r="M82" s="8">
        <f t="shared" si="16"/>
        <v>2666436.1702127662</v>
      </c>
      <c r="N82" s="12">
        <f t="shared" si="17"/>
        <v>191000</v>
      </c>
      <c r="O82" s="13">
        <f t="shared" si="18"/>
        <v>7.1631191525863266E-2</v>
      </c>
      <c r="P82" s="8">
        <f t="shared" si="19"/>
        <v>2880977.0114942528</v>
      </c>
      <c r="Q82" s="12">
        <f t="shared" si="20"/>
        <v>191000</v>
      </c>
      <c r="R82" s="13">
        <f t="shared" si="21"/>
        <v>6.6296953859043675E-2</v>
      </c>
    </row>
    <row r="83" spans="1:18" x14ac:dyDescent="0.3">
      <c r="A83" s="1">
        <v>1850001</v>
      </c>
      <c r="B83" s="1">
        <v>1900000</v>
      </c>
      <c r="C83" s="9">
        <v>15900</v>
      </c>
      <c r="E83" s="3">
        <f t="shared" si="10"/>
        <v>247000</v>
      </c>
      <c r="F83" s="3">
        <f t="shared" si="11"/>
        <v>214700</v>
      </c>
      <c r="G83" s="2">
        <f t="shared" si="12"/>
        <v>8.6842105263157901E-2</v>
      </c>
      <c r="H83" s="8">
        <f t="shared" si="13"/>
        <v>30000</v>
      </c>
      <c r="I83" s="8">
        <f t="shared" si="14"/>
        <v>195000</v>
      </c>
      <c r="L83" s="8">
        <f t="shared" si="15"/>
        <v>2572600</v>
      </c>
      <c r="M83" s="8">
        <f t="shared" si="16"/>
        <v>2736808.510638298</v>
      </c>
      <c r="N83" s="12">
        <f t="shared" si="17"/>
        <v>195000</v>
      </c>
      <c r="O83" s="13">
        <f t="shared" si="18"/>
        <v>7.1250874601570396E-2</v>
      </c>
      <c r="P83" s="8">
        <f t="shared" si="19"/>
        <v>2957011.4942528736</v>
      </c>
      <c r="Q83" s="12">
        <f t="shared" si="20"/>
        <v>195000</v>
      </c>
      <c r="R83" s="13">
        <f t="shared" si="21"/>
        <v>6.5944958407836429E-2</v>
      </c>
    </row>
    <row r="84" spans="1:18" x14ac:dyDescent="0.3">
      <c r="A84" s="1">
        <v>1900001</v>
      </c>
      <c r="B84" s="1">
        <v>1950000</v>
      </c>
      <c r="C84" s="9">
        <v>15900</v>
      </c>
      <c r="E84" s="3">
        <f t="shared" si="10"/>
        <v>253500</v>
      </c>
      <c r="F84" s="3">
        <f t="shared" si="11"/>
        <v>220350</v>
      </c>
      <c r="G84" s="2">
        <f t="shared" si="12"/>
        <v>8.666666666666667E-2</v>
      </c>
      <c r="H84" s="8">
        <f t="shared" si="13"/>
        <v>30000</v>
      </c>
      <c r="I84" s="8">
        <f t="shared" si="14"/>
        <v>199000</v>
      </c>
      <c r="L84" s="8">
        <f t="shared" si="15"/>
        <v>2638750</v>
      </c>
      <c r="M84" s="8">
        <f t="shared" si="16"/>
        <v>2807180.8510638298</v>
      </c>
      <c r="N84" s="12">
        <f t="shared" si="17"/>
        <v>199000</v>
      </c>
      <c r="O84" s="13">
        <f t="shared" si="18"/>
        <v>7.0889625769777351E-2</v>
      </c>
      <c r="P84" s="8">
        <f t="shared" si="19"/>
        <v>3033045.9770114943</v>
      </c>
      <c r="Q84" s="12">
        <f t="shared" si="20"/>
        <v>199000</v>
      </c>
      <c r="R84" s="13">
        <f t="shared" si="21"/>
        <v>6.5610611084793935E-2</v>
      </c>
    </row>
    <row r="85" spans="1:18" x14ac:dyDescent="0.3">
      <c r="A85" s="1">
        <v>1950001</v>
      </c>
      <c r="B85" s="1">
        <v>2000000</v>
      </c>
      <c r="C85" s="9">
        <v>15900</v>
      </c>
      <c r="E85" s="3">
        <f t="shared" si="10"/>
        <v>260000</v>
      </c>
      <c r="F85" s="3">
        <f t="shared" si="11"/>
        <v>226000</v>
      </c>
      <c r="G85" s="2">
        <f t="shared" si="12"/>
        <v>8.6500000000000007E-2</v>
      </c>
      <c r="H85" s="8">
        <f t="shared" si="13"/>
        <v>30000</v>
      </c>
      <c r="I85" s="8">
        <f t="shared" si="14"/>
        <v>203000.00000000003</v>
      </c>
      <c r="L85" s="8">
        <f t="shared" si="15"/>
        <v>2704900</v>
      </c>
      <c r="M85" s="8">
        <f t="shared" si="16"/>
        <v>2877553.1914893617</v>
      </c>
      <c r="N85" s="12">
        <f t="shared" si="17"/>
        <v>203000</v>
      </c>
      <c r="O85" s="13">
        <f t="shared" si="18"/>
        <v>7.054604606454952E-2</v>
      </c>
      <c r="P85" s="8">
        <f t="shared" si="19"/>
        <v>3109080.4597701151</v>
      </c>
      <c r="Q85" s="12">
        <f t="shared" si="20"/>
        <v>203000</v>
      </c>
      <c r="R85" s="13">
        <f t="shared" si="21"/>
        <v>6.5292617102295836E-2</v>
      </c>
    </row>
    <row r="86" spans="1:18" x14ac:dyDescent="0.3">
      <c r="A86" s="1">
        <v>2000001</v>
      </c>
      <c r="B86" s="1">
        <v>2050000</v>
      </c>
      <c r="C86" s="9">
        <v>15900</v>
      </c>
      <c r="E86" s="3">
        <f t="shared" si="10"/>
        <v>266500</v>
      </c>
      <c r="F86" s="3">
        <f t="shared" si="11"/>
        <v>231650</v>
      </c>
      <c r="G86" s="2">
        <f t="shared" si="12"/>
        <v>8.6341463414634154E-2</v>
      </c>
      <c r="H86" s="8">
        <f t="shared" si="13"/>
        <v>30000</v>
      </c>
      <c r="I86" s="8">
        <f t="shared" si="14"/>
        <v>207000.00000000003</v>
      </c>
      <c r="L86" s="8">
        <f t="shared" si="15"/>
        <v>2771050</v>
      </c>
      <c r="M86" s="8">
        <f t="shared" si="16"/>
        <v>2947925.531914894</v>
      </c>
      <c r="N86" s="12">
        <f t="shared" si="17"/>
        <v>207000</v>
      </c>
      <c r="O86" s="13">
        <f t="shared" si="18"/>
        <v>7.0218870103390396E-2</v>
      </c>
      <c r="P86" s="8">
        <f t="shared" si="19"/>
        <v>3185114.9425287358</v>
      </c>
      <c r="Q86" s="12">
        <f t="shared" si="20"/>
        <v>207000</v>
      </c>
      <c r="R86" s="13">
        <f t="shared" si="21"/>
        <v>6.4989805308457077E-2</v>
      </c>
    </row>
    <row r="87" spans="1:18" x14ac:dyDescent="0.3">
      <c r="A87" s="1">
        <v>2050001</v>
      </c>
      <c r="B87" s="1">
        <v>2100000</v>
      </c>
      <c r="C87" s="9">
        <v>15900</v>
      </c>
      <c r="E87" s="3">
        <f t="shared" si="10"/>
        <v>273000</v>
      </c>
      <c r="F87" s="3">
        <f t="shared" si="11"/>
        <v>237300</v>
      </c>
      <c r="G87" s="2">
        <f t="shared" si="12"/>
        <v>8.6190476190476192E-2</v>
      </c>
      <c r="H87" s="8">
        <f t="shared" si="13"/>
        <v>30000</v>
      </c>
      <c r="I87" s="8">
        <f t="shared" si="14"/>
        <v>211000</v>
      </c>
      <c r="L87" s="8">
        <f t="shared" si="15"/>
        <v>2837200</v>
      </c>
      <c r="M87" s="8">
        <f t="shared" si="16"/>
        <v>3018297.8723404258</v>
      </c>
      <c r="N87" s="12">
        <f t="shared" si="17"/>
        <v>211000</v>
      </c>
      <c r="O87" s="13">
        <f t="shared" si="18"/>
        <v>6.9906950514591837E-2</v>
      </c>
      <c r="P87" s="8">
        <f t="shared" si="19"/>
        <v>3261149.4252873561</v>
      </c>
      <c r="Q87" s="12">
        <f t="shared" si="20"/>
        <v>211000</v>
      </c>
      <c r="R87" s="13">
        <f t="shared" si="21"/>
        <v>6.4701113774143532E-2</v>
      </c>
    </row>
    <row r="88" spans="1:18" x14ac:dyDescent="0.3">
      <c r="A88" s="1">
        <v>2100001</v>
      </c>
      <c r="B88" s="1">
        <v>2150000</v>
      </c>
      <c r="C88" s="9">
        <v>15900</v>
      </c>
      <c r="E88" s="3">
        <f t="shared" si="10"/>
        <v>279500</v>
      </c>
      <c r="F88" s="3">
        <f t="shared" si="11"/>
        <v>242950</v>
      </c>
      <c r="G88" s="2">
        <f t="shared" si="12"/>
        <v>8.6046511627906982E-2</v>
      </c>
      <c r="H88" s="8">
        <f t="shared" si="13"/>
        <v>30000</v>
      </c>
      <c r="I88" s="8">
        <f t="shared" si="14"/>
        <v>215000</v>
      </c>
      <c r="L88" s="8">
        <f t="shared" si="15"/>
        <v>2903350</v>
      </c>
      <c r="M88" s="8">
        <f t="shared" si="16"/>
        <v>3088670.2127659577</v>
      </c>
      <c r="N88" s="12">
        <f t="shared" si="17"/>
        <v>215000</v>
      </c>
      <c r="O88" s="13">
        <f t="shared" si="18"/>
        <v>6.9609244493429992E-2</v>
      </c>
      <c r="P88" s="8">
        <f t="shared" si="19"/>
        <v>3337183.9080459769</v>
      </c>
      <c r="Q88" s="12">
        <f t="shared" si="20"/>
        <v>215000</v>
      </c>
      <c r="R88" s="13">
        <f t="shared" si="21"/>
        <v>6.4425577350302243E-2</v>
      </c>
    </row>
    <row r="89" spans="1:18" x14ac:dyDescent="0.3">
      <c r="A89" s="1">
        <v>2150001</v>
      </c>
      <c r="B89" s="1">
        <v>2200000</v>
      </c>
      <c r="C89" s="9">
        <v>15900</v>
      </c>
      <c r="E89" s="3">
        <f t="shared" si="10"/>
        <v>286000</v>
      </c>
      <c r="F89" s="3">
        <f t="shared" si="11"/>
        <v>248600</v>
      </c>
      <c r="G89" s="2">
        <f t="shared" si="12"/>
        <v>8.5909090909090907E-2</v>
      </c>
      <c r="H89" s="8">
        <f t="shared" si="13"/>
        <v>30000</v>
      </c>
      <c r="I89" s="8">
        <f t="shared" si="14"/>
        <v>219000</v>
      </c>
      <c r="L89" s="8">
        <f t="shared" si="15"/>
        <v>2969500</v>
      </c>
      <c r="M89" s="8">
        <f t="shared" si="16"/>
        <v>3159042.5531914895</v>
      </c>
      <c r="N89" s="12">
        <f t="shared" si="17"/>
        <v>219000</v>
      </c>
      <c r="O89" s="13">
        <f t="shared" si="18"/>
        <v>6.9324802155244988E-2</v>
      </c>
      <c r="P89" s="8">
        <f t="shared" si="19"/>
        <v>3413218.3908045976</v>
      </c>
      <c r="Q89" s="12">
        <f t="shared" si="20"/>
        <v>219000</v>
      </c>
      <c r="R89" s="13">
        <f t="shared" si="21"/>
        <v>6.4162316888365045E-2</v>
      </c>
    </row>
    <row r="90" spans="1:18" x14ac:dyDescent="0.3">
      <c r="A90" s="1">
        <v>2200001</v>
      </c>
      <c r="B90" s="1">
        <v>2250000</v>
      </c>
      <c r="C90" s="9">
        <v>15900</v>
      </c>
      <c r="E90" s="3">
        <f t="shared" si="10"/>
        <v>292500</v>
      </c>
      <c r="F90" s="3">
        <f t="shared" si="11"/>
        <v>254250</v>
      </c>
      <c r="G90" s="2">
        <f t="shared" si="12"/>
        <v>8.5777777777777786E-2</v>
      </c>
      <c r="H90" s="8">
        <f t="shared" si="13"/>
        <v>30000</v>
      </c>
      <c r="I90" s="8">
        <f t="shared" si="14"/>
        <v>223000.00000000003</v>
      </c>
      <c r="L90" s="8">
        <f t="shared" si="15"/>
        <v>3035650</v>
      </c>
      <c r="M90" s="8">
        <f t="shared" si="16"/>
        <v>3229414.8936170214</v>
      </c>
      <c r="N90" s="12">
        <f t="shared" si="17"/>
        <v>223000</v>
      </c>
      <c r="O90" s="13">
        <f t="shared" si="18"/>
        <v>6.9052756411312241E-2</v>
      </c>
      <c r="P90" s="8">
        <f t="shared" si="19"/>
        <v>3489252.8735632184</v>
      </c>
      <c r="Q90" s="12">
        <f t="shared" si="20"/>
        <v>223000</v>
      </c>
      <c r="R90" s="13">
        <f t="shared" si="21"/>
        <v>6.3910529870044308E-2</v>
      </c>
    </row>
    <row r="91" spans="1:18" x14ac:dyDescent="0.3">
      <c r="A91" s="1">
        <v>2250001</v>
      </c>
      <c r="B91" s="1">
        <v>2300000</v>
      </c>
      <c r="C91" s="9">
        <v>15900</v>
      </c>
      <c r="E91" s="3">
        <f t="shared" si="10"/>
        <v>299000</v>
      </c>
      <c r="F91" s="3">
        <f t="shared" si="11"/>
        <v>259900</v>
      </c>
      <c r="G91" s="2">
        <f t="shared" si="12"/>
        <v>8.5652173913043486E-2</v>
      </c>
      <c r="H91" s="8">
        <f t="shared" si="13"/>
        <v>30000</v>
      </c>
      <c r="I91" s="8">
        <f t="shared" si="14"/>
        <v>227000.00000000003</v>
      </c>
      <c r="L91" s="8">
        <f t="shared" si="15"/>
        <v>3101800</v>
      </c>
      <c r="M91" s="8">
        <f t="shared" si="16"/>
        <v>3299787.2340425532</v>
      </c>
      <c r="N91" s="12">
        <f t="shared" si="17"/>
        <v>227000</v>
      </c>
      <c r="O91" s="13">
        <f t="shared" si="18"/>
        <v>6.8792314140176669E-2</v>
      </c>
      <c r="P91" s="8">
        <f t="shared" si="19"/>
        <v>3565287.3563218392</v>
      </c>
      <c r="Q91" s="12">
        <f t="shared" si="20"/>
        <v>227000</v>
      </c>
      <c r="R91" s="13">
        <f t="shared" si="21"/>
        <v>6.3669482236120956E-2</v>
      </c>
    </row>
    <row r="92" spans="1:18" x14ac:dyDescent="0.3">
      <c r="A92" s="1">
        <v>2300001</v>
      </c>
      <c r="B92" s="1">
        <v>2350000</v>
      </c>
      <c r="C92" s="9">
        <v>15900</v>
      </c>
      <c r="E92" s="3">
        <f t="shared" si="10"/>
        <v>305500</v>
      </c>
      <c r="F92" s="3">
        <f t="shared" si="11"/>
        <v>265550</v>
      </c>
      <c r="G92" s="2">
        <f t="shared" si="12"/>
        <v>8.5531914893617028E-2</v>
      </c>
      <c r="H92" s="8">
        <f t="shared" si="13"/>
        <v>30000</v>
      </c>
      <c r="I92" s="8">
        <f t="shared" si="14"/>
        <v>231000.00000000003</v>
      </c>
      <c r="L92" s="8">
        <f t="shared" si="15"/>
        <v>3167950</v>
      </c>
      <c r="M92" s="8">
        <f t="shared" si="16"/>
        <v>3370159.5744680851</v>
      </c>
      <c r="N92" s="12">
        <f t="shared" si="17"/>
        <v>231000</v>
      </c>
      <c r="O92" s="13">
        <f t="shared" si="18"/>
        <v>6.8542748465095726E-2</v>
      </c>
      <c r="P92" s="8">
        <f t="shared" si="19"/>
        <v>3641321.8390804599</v>
      </c>
      <c r="Q92" s="12">
        <f t="shared" si="20"/>
        <v>231000</v>
      </c>
      <c r="R92" s="13">
        <f t="shared" si="21"/>
        <v>6.3438501238971573E-2</v>
      </c>
    </row>
    <row r="93" spans="1:18" x14ac:dyDescent="0.3">
      <c r="A93" s="1">
        <v>2350001</v>
      </c>
      <c r="B93" s="1">
        <v>2400000</v>
      </c>
      <c r="C93" s="9">
        <v>15900</v>
      </c>
      <c r="E93" s="3">
        <f t="shared" si="10"/>
        <v>312000</v>
      </c>
      <c r="F93" s="3">
        <f t="shared" si="11"/>
        <v>271200</v>
      </c>
      <c r="G93" s="2">
        <f t="shared" si="12"/>
        <v>8.5416666666666669E-2</v>
      </c>
      <c r="H93" s="8">
        <f t="shared" si="13"/>
        <v>30000</v>
      </c>
      <c r="I93" s="8">
        <f t="shared" si="14"/>
        <v>235000</v>
      </c>
      <c r="L93" s="8">
        <f t="shared" si="15"/>
        <v>3234100</v>
      </c>
      <c r="M93" s="8">
        <f t="shared" si="16"/>
        <v>3440531.9148936174</v>
      </c>
      <c r="N93" s="12">
        <f t="shared" si="17"/>
        <v>235000</v>
      </c>
      <c r="O93" s="13">
        <f t="shared" si="18"/>
        <v>6.8303391979221417E-2</v>
      </c>
      <c r="P93" s="8">
        <f t="shared" si="19"/>
        <v>3717356.3218390807</v>
      </c>
      <c r="Q93" s="12">
        <f t="shared" si="20"/>
        <v>235000</v>
      </c>
      <c r="R93" s="13">
        <f t="shared" si="21"/>
        <v>6.3216969172258122E-2</v>
      </c>
    </row>
    <row r="94" spans="1:18" x14ac:dyDescent="0.3">
      <c r="A94" s="1">
        <v>2400001</v>
      </c>
      <c r="B94" s="1">
        <v>2450000</v>
      </c>
      <c r="C94" s="9">
        <v>15900</v>
      </c>
      <c r="E94" s="3">
        <f t="shared" si="10"/>
        <v>318500</v>
      </c>
      <c r="F94" s="3">
        <f t="shared" si="11"/>
        <v>276850</v>
      </c>
      <c r="G94" s="2">
        <f t="shared" si="12"/>
        <v>8.5306122448979588E-2</v>
      </c>
      <c r="H94" s="8">
        <f t="shared" si="13"/>
        <v>30000</v>
      </c>
      <c r="I94" s="8">
        <f t="shared" si="14"/>
        <v>239000</v>
      </c>
      <c r="L94" s="8">
        <f t="shared" si="15"/>
        <v>3300250</v>
      </c>
      <c r="M94" s="8">
        <f t="shared" si="16"/>
        <v>3510904.2553191492</v>
      </c>
      <c r="N94" s="12">
        <f t="shared" si="17"/>
        <v>239000</v>
      </c>
      <c r="O94" s="13">
        <f t="shared" si="18"/>
        <v>6.8073630785546541E-2</v>
      </c>
      <c r="P94" s="8">
        <f t="shared" si="19"/>
        <v>3793390.8045977009</v>
      </c>
      <c r="Q94" s="12">
        <f t="shared" si="20"/>
        <v>239000</v>
      </c>
      <c r="R94" s="13">
        <f t="shared" si="21"/>
        <v>6.3004317854707975E-2</v>
      </c>
    </row>
    <row r="95" spans="1:18" x14ac:dyDescent="0.3">
      <c r="A95" s="1">
        <v>2450001</v>
      </c>
      <c r="B95" s="1">
        <v>2500000</v>
      </c>
      <c r="C95" s="9">
        <v>15900</v>
      </c>
      <c r="E95" s="3">
        <f t="shared" si="10"/>
        <v>325000</v>
      </c>
      <c r="F95" s="3">
        <f t="shared" si="11"/>
        <v>282500</v>
      </c>
      <c r="G95" s="2">
        <f t="shared" si="12"/>
        <v>8.5199999999999998E-2</v>
      </c>
      <c r="H95" s="8">
        <f t="shared" si="13"/>
        <v>30000</v>
      </c>
      <c r="I95" s="8">
        <f t="shared" si="14"/>
        <v>243000</v>
      </c>
      <c r="L95" s="8">
        <f t="shared" si="15"/>
        <v>3366400</v>
      </c>
      <c r="M95" s="8">
        <f t="shared" si="16"/>
        <v>3581276.5957446811</v>
      </c>
      <c r="N95" s="12">
        <f t="shared" si="17"/>
        <v>243000</v>
      </c>
      <c r="O95" s="13">
        <f t="shared" si="18"/>
        <v>6.7852899239543726E-2</v>
      </c>
      <c r="P95" s="8">
        <f t="shared" si="19"/>
        <v>3869425.2873563217</v>
      </c>
      <c r="Q95" s="12">
        <f t="shared" si="20"/>
        <v>243000</v>
      </c>
      <c r="R95" s="13">
        <f t="shared" si="21"/>
        <v>6.2800023764258556E-2</v>
      </c>
    </row>
    <row r="96" spans="1:18" x14ac:dyDescent="0.3">
      <c r="A96" s="1">
        <v>2500001</v>
      </c>
      <c r="B96" s="1">
        <v>2550000</v>
      </c>
      <c r="C96" s="9">
        <v>15900</v>
      </c>
      <c r="E96" s="3">
        <f t="shared" si="10"/>
        <v>331500</v>
      </c>
      <c r="F96" s="3">
        <f t="shared" si="11"/>
        <v>288150</v>
      </c>
      <c r="G96" s="2">
        <f t="shared" si="12"/>
        <v>8.5098039215686275E-2</v>
      </c>
      <c r="H96" s="8">
        <f t="shared" si="13"/>
        <v>30000</v>
      </c>
      <c r="I96" s="8">
        <f t="shared" si="14"/>
        <v>247000</v>
      </c>
      <c r="L96" s="8">
        <f t="shared" si="15"/>
        <v>3432550</v>
      </c>
      <c r="M96" s="8">
        <f t="shared" si="16"/>
        <v>3651648.9361702129</v>
      </c>
      <c r="N96" s="12">
        <f t="shared" si="17"/>
        <v>247000</v>
      </c>
      <c r="O96" s="13">
        <f t="shared" si="18"/>
        <v>6.76406752997043E-2</v>
      </c>
      <c r="P96" s="8">
        <f t="shared" si="19"/>
        <v>3945459.7701149425</v>
      </c>
      <c r="Q96" s="12">
        <f t="shared" si="20"/>
        <v>247000</v>
      </c>
      <c r="R96" s="13">
        <f t="shared" si="21"/>
        <v>6.2603603734832702E-2</v>
      </c>
    </row>
    <row r="97" spans="1:18" x14ac:dyDescent="0.3">
      <c r="A97" s="1">
        <v>2550001</v>
      </c>
      <c r="B97" s="1">
        <v>2600000</v>
      </c>
      <c r="C97" s="9">
        <v>15900</v>
      </c>
      <c r="E97" s="3">
        <f t="shared" ref="E97:E160" si="22">B97*13%</f>
        <v>338000</v>
      </c>
      <c r="F97" s="3">
        <f t="shared" ref="F97:F160" si="23">(B97+E97)*10%</f>
        <v>293800</v>
      </c>
      <c r="G97" s="2">
        <f t="shared" si="12"/>
        <v>8.5000000000000006E-2</v>
      </c>
      <c r="H97" s="8">
        <f t="shared" si="13"/>
        <v>30000</v>
      </c>
      <c r="I97" s="8">
        <f t="shared" si="14"/>
        <v>251000.00000000003</v>
      </c>
      <c r="L97" s="8">
        <f t="shared" si="15"/>
        <v>3498700</v>
      </c>
      <c r="M97" s="8">
        <f t="shared" si="16"/>
        <v>3722021.2765957448</v>
      </c>
      <c r="N97" s="12">
        <f t="shared" si="17"/>
        <v>251000</v>
      </c>
      <c r="O97" s="13">
        <f t="shared" si="18"/>
        <v>6.7436476405522056E-2</v>
      </c>
      <c r="P97" s="8">
        <f t="shared" si="19"/>
        <v>4021494.2528735632</v>
      </c>
      <c r="Q97" s="12">
        <f t="shared" si="20"/>
        <v>251000</v>
      </c>
      <c r="R97" s="13">
        <f t="shared" si="21"/>
        <v>6.2414611141281044E-2</v>
      </c>
    </row>
    <row r="98" spans="1:18" x14ac:dyDescent="0.3">
      <c r="A98" s="1">
        <v>2600001</v>
      </c>
      <c r="B98" s="1">
        <v>2650000</v>
      </c>
      <c r="C98" s="9">
        <v>15900</v>
      </c>
      <c r="E98" s="3">
        <f t="shared" si="22"/>
        <v>344500</v>
      </c>
      <c r="F98" s="3">
        <f t="shared" si="23"/>
        <v>299450</v>
      </c>
      <c r="G98" s="2">
        <f t="shared" si="12"/>
        <v>8.4905660377358499E-2</v>
      </c>
      <c r="H98" s="8">
        <f t="shared" si="13"/>
        <v>30000</v>
      </c>
      <c r="I98" s="8">
        <f t="shared" si="14"/>
        <v>255000.00000000003</v>
      </c>
      <c r="L98" s="8">
        <f t="shared" si="15"/>
        <v>3564850</v>
      </c>
      <c r="M98" s="8">
        <f t="shared" si="16"/>
        <v>3792393.6170212766</v>
      </c>
      <c r="N98" s="12">
        <f t="shared" si="17"/>
        <v>255000</v>
      </c>
      <c r="O98" s="13">
        <f t="shared" si="18"/>
        <v>6.7239855814410138E-2</v>
      </c>
      <c r="P98" s="8">
        <f t="shared" si="19"/>
        <v>4097528.735632184</v>
      </c>
      <c r="Q98" s="12">
        <f t="shared" si="20"/>
        <v>255000</v>
      </c>
      <c r="R98" s="13">
        <f t="shared" si="21"/>
        <v>6.2232632509081731E-2</v>
      </c>
    </row>
    <row r="99" spans="1:18" x14ac:dyDescent="0.3">
      <c r="A99" s="1">
        <v>2650001</v>
      </c>
      <c r="B99" s="1">
        <v>2700000</v>
      </c>
      <c r="C99" s="9">
        <v>15900</v>
      </c>
      <c r="E99" s="3">
        <f t="shared" si="22"/>
        <v>351000</v>
      </c>
      <c r="F99" s="3">
        <f t="shared" si="23"/>
        <v>305100</v>
      </c>
      <c r="G99" s="2">
        <f t="shared" si="12"/>
        <v>8.4814814814814815E-2</v>
      </c>
      <c r="H99" s="8">
        <f t="shared" si="13"/>
        <v>30000</v>
      </c>
      <c r="I99" s="8">
        <f t="shared" si="14"/>
        <v>259000</v>
      </c>
      <c r="L99" s="8">
        <f t="shared" si="15"/>
        <v>3631000</v>
      </c>
      <c r="M99" s="8">
        <f t="shared" si="16"/>
        <v>3862765.9574468089</v>
      </c>
      <c r="N99" s="12">
        <f t="shared" si="17"/>
        <v>259000</v>
      </c>
      <c r="O99" s="13">
        <f t="shared" si="18"/>
        <v>6.7050399339025055E-2</v>
      </c>
      <c r="P99" s="8">
        <f t="shared" si="19"/>
        <v>4173563.2183908047</v>
      </c>
      <c r="Q99" s="12">
        <f t="shared" si="20"/>
        <v>259000</v>
      </c>
      <c r="R99" s="13">
        <f t="shared" si="21"/>
        <v>6.2057284494629578E-2</v>
      </c>
    </row>
    <row r="100" spans="1:18" x14ac:dyDescent="0.3">
      <c r="A100" s="1">
        <v>2700001</v>
      </c>
      <c r="B100" s="1">
        <v>2750000</v>
      </c>
      <c r="C100" s="9">
        <v>15900</v>
      </c>
      <c r="E100" s="3">
        <f t="shared" si="22"/>
        <v>357500</v>
      </c>
      <c r="F100" s="3">
        <f t="shared" si="23"/>
        <v>310750</v>
      </c>
      <c r="G100" s="2">
        <f t="shared" si="12"/>
        <v>8.4727272727272734E-2</v>
      </c>
      <c r="H100" s="8">
        <f t="shared" si="13"/>
        <v>30000</v>
      </c>
      <c r="I100" s="8">
        <f t="shared" si="14"/>
        <v>263000</v>
      </c>
      <c r="L100" s="8">
        <f t="shared" si="15"/>
        <v>3697150</v>
      </c>
      <c r="M100" s="8">
        <f t="shared" si="16"/>
        <v>3933138.2978723408</v>
      </c>
      <c r="N100" s="12">
        <f t="shared" si="17"/>
        <v>263000</v>
      </c>
      <c r="O100" s="13">
        <f t="shared" si="18"/>
        <v>6.6867722434848453E-2</v>
      </c>
      <c r="P100" s="8">
        <f t="shared" si="19"/>
        <v>4249597.7011494255</v>
      </c>
      <c r="Q100" s="12">
        <f t="shared" si="20"/>
        <v>263000</v>
      </c>
      <c r="R100" s="13">
        <f t="shared" si="21"/>
        <v>6.1888211189700171E-2</v>
      </c>
    </row>
    <row r="101" spans="1:18" x14ac:dyDescent="0.3">
      <c r="A101" s="1">
        <v>2750001</v>
      </c>
      <c r="B101" s="1">
        <v>2800000</v>
      </c>
      <c r="C101" s="9">
        <v>15900</v>
      </c>
      <c r="E101" s="3">
        <f t="shared" si="22"/>
        <v>364000</v>
      </c>
      <c r="F101" s="3">
        <f t="shared" si="23"/>
        <v>316400</v>
      </c>
      <c r="G101" s="2">
        <f t="shared" si="12"/>
        <v>8.4642857142857145E-2</v>
      </c>
      <c r="H101" s="8">
        <f t="shared" si="13"/>
        <v>30000</v>
      </c>
      <c r="I101" s="8">
        <f t="shared" si="14"/>
        <v>267000</v>
      </c>
      <c r="L101" s="8">
        <f t="shared" si="15"/>
        <v>3763300</v>
      </c>
      <c r="M101" s="8">
        <f t="shared" si="16"/>
        <v>4003510.6382978726</v>
      </c>
      <c r="N101" s="12">
        <f t="shared" si="17"/>
        <v>267000</v>
      </c>
      <c r="O101" s="13">
        <f t="shared" si="18"/>
        <v>6.6691467594929971E-2</v>
      </c>
      <c r="P101" s="8">
        <f t="shared" si="19"/>
        <v>4325632.1839080462</v>
      </c>
      <c r="Q101" s="12">
        <f t="shared" si="20"/>
        <v>267000</v>
      </c>
      <c r="R101" s="13">
        <f t="shared" si="21"/>
        <v>6.1725081710201149E-2</v>
      </c>
    </row>
    <row r="102" spans="1:18" x14ac:dyDescent="0.3">
      <c r="A102" s="1">
        <v>2800001</v>
      </c>
      <c r="B102" s="1">
        <v>2850000</v>
      </c>
      <c r="C102" s="9">
        <v>15900</v>
      </c>
      <c r="E102" s="3">
        <f t="shared" si="22"/>
        <v>370500</v>
      </c>
      <c r="F102" s="3">
        <f t="shared" si="23"/>
        <v>322050</v>
      </c>
      <c r="G102" s="2">
        <f t="shared" si="12"/>
        <v>8.4561403508771935E-2</v>
      </c>
      <c r="H102" s="8">
        <f t="shared" si="13"/>
        <v>30000</v>
      </c>
      <c r="I102" s="8">
        <f t="shared" si="14"/>
        <v>271000</v>
      </c>
      <c r="L102" s="8">
        <f t="shared" si="15"/>
        <v>3829450</v>
      </c>
      <c r="M102" s="8">
        <f t="shared" si="16"/>
        <v>4073882.9787234045</v>
      </c>
      <c r="N102" s="12">
        <f t="shared" si="17"/>
        <v>271000</v>
      </c>
      <c r="O102" s="13">
        <f t="shared" si="18"/>
        <v>6.6521302014649619E-2</v>
      </c>
      <c r="P102" s="8">
        <f t="shared" si="19"/>
        <v>4401666.666666667</v>
      </c>
      <c r="Q102" s="12">
        <f t="shared" si="20"/>
        <v>271000.00000000047</v>
      </c>
      <c r="R102" s="13">
        <f t="shared" si="21"/>
        <v>6.1567588034835391E-2</v>
      </c>
    </row>
    <row r="103" spans="1:18" x14ac:dyDescent="0.3">
      <c r="A103" s="1">
        <v>2850001</v>
      </c>
      <c r="B103" s="1">
        <v>2900000</v>
      </c>
      <c r="C103" s="9">
        <v>15900</v>
      </c>
      <c r="E103" s="3">
        <f t="shared" si="22"/>
        <v>377000</v>
      </c>
      <c r="F103" s="3">
        <f t="shared" si="23"/>
        <v>327700</v>
      </c>
      <c r="G103" s="2">
        <f t="shared" si="12"/>
        <v>8.4482758620689657E-2</v>
      </c>
      <c r="H103" s="8">
        <f t="shared" si="13"/>
        <v>30000</v>
      </c>
      <c r="I103" s="8">
        <f t="shared" si="14"/>
        <v>275000</v>
      </c>
      <c r="L103" s="8">
        <f t="shared" si="15"/>
        <v>3895600</v>
      </c>
      <c r="M103" s="8">
        <f t="shared" si="16"/>
        <v>4144255.3191489363</v>
      </c>
      <c r="N103" s="12">
        <f t="shared" si="17"/>
        <v>275000</v>
      </c>
      <c r="O103" s="13">
        <f t="shared" si="18"/>
        <v>6.6356915494403937E-2</v>
      </c>
      <c r="P103" s="8">
        <f t="shared" si="19"/>
        <v>4477701.1494252877</v>
      </c>
      <c r="Q103" s="12">
        <f t="shared" si="20"/>
        <v>275000.00000000047</v>
      </c>
      <c r="R103" s="13">
        <f t="shared" si="21"/>
        <v>6.1415443063969705E-2</v>
      </c>
    </row>
    <row r="104" spans="1:18" x14ac:dyDescent="0.3">
      <c r="A104" s="1">
        <v>2900001</v>
      </c>
      <c r="B104" s="1">
        <v>2950000</v>
      </c>
      <c r="C104" s="9">
        <v>15900</v>
      </c>
      <c r="E104" s="3">
        <f t="shared" si="22"/>
        <v>383500</v>
      </c>
      <c r="F104" s="3">
        <f t="shared" si="23"/>
        <v>333350</v>
      </c>
      <c r="G104" s="2">
        <f t="shared" si="12"/>
        <v>8.4406779661016951E-2</v>
      </c>
      <c r="H104" s="8">
        <f t="shared" si="13"/>
        <v>30000</v>
      </c>
      <c r="I104" s="8">
        <f t="shared" si="14"/>
        <v>279000</v>
      </c>
      <c r="L104" s="8">
        <f t="shared" si="15"/>
        <v>3961750</v>
      </c>
      <c r="M104" s="8">
        <f t="shared" si="16"/>
        <v>4214627.6595744686</v>
      </c>
      <c r="N104" s="12">
        <f t="shared" si="17"/>
        <v>279000.00000000047</v>
      </c>
      <c r="O104" s="13">
        <f t="shared" si="18"/>
        <v>6.6198018552407492E-2</v>
      </c>
      <c r="P104" s="8">
        <f t="shared" si="19"/>
        <v>4553735.6321839085</v>
      </c>
      <c r="Q104" s="12">
        <f t="shared" si="20"/>
        <v>279000.00000000047</v>
      </c>
      <c r="R104" s="13">
        <f t="shared" si="21"/>
        <v>6.1268378872972901E-2</v>
      </c>
    </row>
    <row r="105" spans="1:18" x14ac:dyDescent="0.3">
      <c r="A105" s="1">
        <v>2950001</v>
      </c>
      <c r="B105" s="1">
        <v>3000000</v>
      </c>
      <c r="C105" s="9">
        <v>15900</v>
      </c>
      <c r="E105" s="3">
        <f t="shared" si="22"/>
        <v>390000</v>
      </c>
      <c r="F105" s="3">
        <f t="shared" si="23"/>
        <v>339000</v>
      </c>
      <c r="G105" s="2">
        <f t="shared" si="12"/>
        <v>8.433333333333333E-2</v>
      </c>
      <c r="H105" s="8">
        <f t="shared" si="13"/>
        <v>30000</v>
      </c>
      <c r="I105" s="8">
        <f t="shared" si="14"/>
        <v>283000</v>
      </c>
      <c r="L105" s="8">
        <f t="shared" si="15"/>
        <v>4027900</v>
      </c>
      <c r="M105" s="8">
        <f t="shared" si="16"/>
        <v>4285000</v>
      </c>
      <c r="N105" s="12">
        <f t="shared" si="17"/>
        <v>283000</v>
      </c>
      <c r="O105" s="13">
        <f t="shared" si="18"/>
        <v>6.6044340723453915E-2</v>
      </c>
      <c r="P105" s="8">
        <f t="shared" si="19"/>
        <v>4629770.1149425283</v>
      </c>
      <c r="Q105" s="12">
        <f t="shared" si="20"/>
        <v>282999.99999999953</v>
      </c>
      <c r="R105" s="13">
        <f t="shared" si="21"/>
        <v>6.1126145137664692E-2</v>
      </c>
    </row>
    <row r="106" spans="1:18" x14ac:dyDescent="0.3">
      <c r="A106" s="1">
        <v>3000001</v>
      </c>
      <c r="B106" s="1">
        <v>3050000</v>
      </c>
      <c r="C106" s="9">
        <v>15900</v>
      </c>
      <c r="E106" s="3">
        <f t="shared" si="22"/>
        <v>396500</v>
      </c>
      <c r="F106" s="3">
        <f t="shared" si="23"/>
        <v>344650</v>
      </c>
      <c r="G106" s="2">
        <f t="shared" si="12"/>
        <v>8.4262295081967212E-2</v>
      </c>
      <c r="H106" s="8">
        <f t="shared" si="13"/>
        <v>30000</v>
      </c>
      <c r="I106" s="8">
        <f t="shared" si="14"/>
        <v>287000</v>
      </c>
      <c r="L106" s="8">
        <f t="shared" si="15"/>
        <v>4094050</v>
      </c>
      <c r="M106" s="8">
        <f t="shared" si="16"/>
        <v>4355372.3404255323</v>
      </c>
      <c r="N106" s="12">
        <f t="shared" si="17"/>
        <v>287000</v>
      </c>
      <c r="O106" s="13">
        <f t="shared" si="18"/>
        <v>6.589562902260597E-2</v>
      </c>
      <c r="P106" s="8">
        <f t="shared" si="19"/>
        <v>4705804.5977011491</v>
      </c>
      <c r="Q106" s="12">
        <f t="shared" si="20"/>
        <v>286999.99999999953</v>
      </c>
      <c r="R106" s="13">
        <f t="shared" si="21"/>
        <v>6.0988507712411821E-2</v>
      </c>
    </row>
    <row r="107" spans="1:18" x14ac:dyDescent="0.3">
      <c r="A107" s="1">
        <v>3050001</v>
      </c>
      <c r="B107" s="1">
        <v>3100000</v>
      </c>
      <c r="C107" s="9">
        <v>15900</v>
      </c>
      <c r="E107" s="3">
        <f t="shared" si="22"/>
        <v>403000</v>
      </c>
      <c r="F107" s="3">
        <f t="shared" si="23"/>
        <v>350300</v>
      </c>
      <c r="G107" s="2">
        <f t="shared" si="12"/>
        <v>8.4193548387096778E-2</v>
      </c>
      <c r="H107" s="8">
        <f t="shared" si="13"/>
        <v>30000</v>
      </c>
      <c r="I107" s="8">
        <f t="shared" si="14"/>
        <v>291000</v>
      </c>
      <c r="L107" s="8">
        <f t="shared" si="15"/>
        <v>4160200</v>
      </c>
      <c r="M107" s="8">
        <f t="shared" si="16"/>
        <v>4425744.6808510637</v>
      </c>
      <c r="N107" s="12">
        <f t="shared" si="17"/>
        <v>290999.99999999953</v>
      </c>
      <c r="O107" s="13">
        <f t="shared" si="18"/>
        <v>6.5751646555453958E-2</v>
      </c>
      <c r="P107" s="8">
        <f t="shared" si="19"/>
        <v>4781839.0804597698</v>
      </c>
      <c r="Q107" s="12">
        <f t="shared" si="20"/>
        <v>290999.99999999953</v>
      </c>
      <c r="R107" s="13">
        <f t="shared" si="21"/>
        <v>6.0855247343877601E-2</v>
      </c>
    </row>
    <row r="108" spans="1:18" x14ac:dyDescent="0.3">
      <c r="A108" s="1">
        <v>3100001</v>
      </c>
      <c r="B108" s="1">
        <v>3150000</v>
      </c>
      <c r="C108" s="9">
        <v>15900</v>
      </c>
      <c r="E108" s="3">
        <f t="shared" si="22"/>
        <v>409500</v>
      </c>
      <c r="F108" s="3">
        <f t="shared" si="23"/>
        <v>355950</v>
      </c>
      <c r="G108" s="2">
        <f t="shared" si="12"/>
        <v>8.4126984126984133E-2</v>
      </c>
      <c r="H108" s="8">
        <f t="shared" si="13"/>
        <v>30000</v>
      </c>
      <c r="I108" s="8">
        <f t="shared" si="14"/>
        <v>295000</v>
      </c>
      <c r="L108" s="8">
        <f t="shared" si="15"/>
        <v>4226350</v>
      </c>
      <c r="M108" s="8">
        <f t="shared" si="16"/>
        <v>4496117.021276596</v>
      </c>
      <c r="N108" s="12">
        <f t="shared" si="17"/>
        <v>295000</v>
      </c>
      <c r="O108" s="13">
        <f t="shared" si="18"/>
        <v>6.5612171258887686E-2</v>
      </c>
      <c r="P108" s="8">
        <f t="shared" si="19"/>
        <v>4857873.5632183906</v>
      </c>
      <c r="Q108" s="12">
        <f t="shared" si="20"/>
        <v>295000</v>
      </c>
      <c r="R108" s="13">
        <f t="shared" si="21"/>
        <v>6.0726158505566272E-2</v>
      </c>
    </row>
    <row r="109" spans="1:18" x14ac:dyDescent="0.3">
      <c r="A109" s="1">
        <v>3150001</v>
      </c>
      <c r="B109" s="1">
        <v>3200000</v>
      </c>
      <c r="C109" s="9">
        <v>15900</v>
      </c>
      <c r="E109" s="3">
        <f t="shared" si="22"/>
        <v>416000</v>
      </c>
      <c r="F109" s="3">
        <f t="shared" si="23"/>
        <v>361600</v>
      </c>
      <c r="G109" s="2">
        <f t="shared" si="12"/>
        <v>8.4062499999999998E-2</v>
      </c>
      <c r="H109" s="8">
        <f t="shared" si="13"/>
        <v>30000</v>
      </c>
      <c r="I109" s="8">
        <f t="shared" si="14"/>
        <v>299000</v>
      </c>
      <c r="L109" s="8">
        <f t="shared" si="15"/>
        <v>4292500</v>
      </c>
      <c r="M109" s="8">
        <f t="shared" si="16"/>
        <v>4566489.3617021283</v>
      </c>
      <c r="N109" s="12">
        <f t="shared" si="17"/>
        <v>299000</v>
      </c>
      <c r="O109" s="13">
        <f t="shared" si="18"/>
        <v>6.5476994758299351E-2</v>
      </c>
      <c r="P109" s="8">
        <f t="shared" si="19"/>
        <v>4933908.0459770113</v>
      </c>
      <c r="Q109" s="12">
        <f t="shared" si="20"/>
        <v>299000</v>
      </c>
      <c r="R109" s="13">
        <f t="shared" si="21"/>
        <v>6.0601048340128132E-2</v>
      </c>
    </row>
    <row r="110" spans="1:18" x14ac:dyDescent="0.3">
      <c r="A110" s="1">
        <v>3200001</v>
      </c>
      <c r="B110" s="1">
        <v>3250000</v>
      </c>
      <c r="C110" s="9">
        <v>15900</v>
      </c>
      <c r="E110" s="3">
        <f t="shared" si="22"/>
        <v>422500</v>
      </c>
      <c r="F110" s="3">
        <f t="shared" si="23"/>
        <v>367250</v>
      </c>
      <c r="G110" s="2">
        <f t="shared" si="12"/>
        <v>8.4000000000000005E-2</v>
      </c>
      <c r="H110" s="8">
        <f t="shared" si="13"/>
        <v>30000</v>
      </c>
      <c r="I110" s="8">
        <f t="shared" si="14"/>
        <v>303000</v>
      </c>
      <c r="L110" s="8">
        <f t="shared" si="15"/>
        <v>4358650</v>
      </c>
      <c r="M110" s="8">
        <f t="shared" si="16"/>
        <v>4636861.7021276597</v>
      </c>
      <c r="N110" s="12">
        <f t="shared" si="17"/>
        <v>303000</v>
      </c>
      <c r="O110" s="13">
        <f t="shared" si="18"/>
        <v>6.5345921328851822E-2</v>
      </c>
      <c r="P110" s="8">
        <f t="shared" si="19"/>
        <v>5009942.5287356321</v>
      </c>
      <c r="Q110" s="12">
        <f t="shared" si="20"/>
        <v>303000</v>
      </c>
      <c r="R110" s="13">
        <f t="shared" si="21"/>
        <v>6.0479735697979882E-2</v>
      </c>
    </row>
    <row r="111" spans="1:18" x14ac:dyDescent="0.3">
      <c r="A111" s="1">
        <v>3250001</v>
      </c>
      <c r="B111" s="1">
        <v>3300000</v>
      </c>
      <c r="C111" s="9">
        <v>15900</v>
      </c>
      <c r="E111" s="3">
        <f t="shared" si="22"/>
        <v>429000</v>
      </c>
      <c r="F111" s="3">
        <f t="shared" si="23"/>
        <v>372900</v>
      </c>
      <c r="G111" s="2">
        <f t="shared" si="12"/>
        <v>8.3939393939393939E-2</v>
      </c>
      <c r="H111" s="8">
        <f t="shared" si="13"/>
        <v>30000</v>
      </c>
      <c r="I111" s="8">
        <f t="shared" si="14"/>
        <v>307000</v>
      </c>
      <c r="L111" s="8">
        <f t="shared" si="15"/>
        <v>4424800</v>
      </c>
      <c r="M111" s="8">
        <f t="shared" si="16"/>
        <v>4707234.042553192</v>
      </c>
      <c r="N111" s="12">
        <f t="shared" si="17"/>
        <v>307000</v>
      </c>
      <c r="O111" s="13">
        <f t="shared" si="18"/>
        <v>6.5218766949918627E-2</v>
      </c>
      <c r="P111" s="8">
        <f t="shared" si="19"/>
        <v>5085977.0114942528</v>
      </c>
      <c r="Q111" s="12">
        <f t="shared" si="20"/>
        <v>307000</v>
      </c>
      <c r="R111" s="13">
        <f t="shared" si="21"/>
        <v>6.036205026215874E-2</v>
      </c>
    </row>
    <row r="112" spans="1:18" x14ac:dyDescent="0.3">
      <c r="A112" s="1">
        <v>3300001</v>
      </c>
      <c r="B112" s="1">
        <v>3350000</v>
      </c>
      <c r="C112" s="9">
        <v>15900</v>
      </c>
      <c r="E112" s="3">
        <f t="shared" si="22"/>
        <v>435500</v>
      </c>
      <c r="F112" s="3">
        <f t="shared" si="23"/>
        <v>378550</v>
      </c>
      <c r="G112" s="2">
        <f t="shared" si="12"/>
        <v>8.3880597014925368E-2</v>
      </c>
      <c r="H112" s="8">
        <f t="shared" si="13"/>
        <v>30000</v>
      </c>
      <c r="I112" s="8">
        <f t="shared" si="14"/>
        <v>311000</v>
      </c>
      <c r="L112" s="8">
        <f t="shared" si="15"/>
        <v>4490950</v>
      </c>
      <c r="M112" s="8">
        <f t="shared" si="16"/>
        <v>4777606.3829787234</v>
      </c>
      <c r="N112" s="12">
        <f t="shared" si="17"/>
        <v>311000</v>
      </c>
      <c r="O112" s="13">
        <f t="shared" si="18"/>
        <v>6.5095358443091111E-2</v>
      </c>
      <c r="P112" s="8">
        <f t="shared" si="19"/>
        <v>5162011.4942528736</v>
      </c>
      <c r="Q112" s="12">
        <f t="shared" si="20"/>
        <v>311000</v>
      </c>
      <c r="R112" s="13">
        <f t="shared" si="21"/>
        <v>6.0247831750520488E-2</v>
      </c>
    </row>
    <row r="113" spans="1:18" x14ac:dyDescent="0.3">
      <c r="A113" s="1">
        <v>3350001</v>
      </c>
      <c r="B113" s="1">
        <v>3400000</v>
      </c>
      <c r="C113" s="9">
        <v>15900</v>
      </c>
      <c r="E113" s="3">
        <f t="shared" si="22"/>
        <v>442000</v>
      </c>
      <c r="F113" s="3">
        <f t="shared" si="23"/>
        <v>384200</v>
      </c>
      <c r="G113" s="2">
        <f t="shared" si="12"/>
        <v>8.3823529411764713E-2</v>
      </c>
      <c r="H113" s="8">
        <f t="shared" si="13"/>
        <v>30000</v>
      </c>
      <c r="I113" s="8">
        <f t="shared" si="14"/>
        <v>315000</v>
      </c>
      <c r="L113" s="8">
        <f t="shared" si="15"/>
        <v>4557100</v>
      </c>
      <c r="M113" s="8">
        <f t="shared" si="16"/>
        <v>4847978.7234042557</v>
      </c>
      <c r="N113" s="12">
        <f t="shared" si="17"/>
        <v>315000</v>
      </c>
      <c r="O113" s="13">
        <f t="shared" si="18"/>
        <v>6.4975532685260351E-2</v>
      </c>
      <c r="P113" s="8">
        <f t="shared" si="19"/>
        <v>5238045.9770114943</v>
      </c>
      <c r="Q113" s="12">
        <f t="shared" si="20"/>
        <v>315000</v>
      </c>
      <c r="R113" s="13">
        <f t="shared" si="21"/>
        <v>6.0136929187421827E-2</v>
      </c>
    </row>
    <row r="114" spans="1:18" x14ac:dyDescent="0.3">
      <c r="A114" s="1">
        <v>3400001</v>
      </c>
      <c r="B114" s="1">
        <v>3450000</v>
      </c>
      <c r="C114" s="9">
        <v>15900</v>
      </c>
      <c r="E114" s="3">
        <f t="shared" si="22"/>
        <v>448500</v>
      </c>
      <c r="F114" s="3">
        <f t="shared" si="23"/>
        <v>389850</v>
      </c>
      <c r="G114" s="2">
        <f t="shared" si="12"/>
        <v>8.3768115942028987E-2</v>
      </c>
      <c r="H114" s="8">
        <f t="shared" si="13"/>
        <v>30000</v>
      </c>
      <c r="I114" s="8">
        <f t="shared" si="14"/>
        <v>319000</v>
      </c>
      <c r="L114" s="8">
        <f t="shared" si="15"/>
        <v>4623250</v>
      </c>
      <c r="M114" s="8">
        <f t="shared" si="16"/>
        <v>4918351.0638297871</v>
      </c>
      <c r="N114" s="12">
        <f t="shared" si="17"/>
        <v>319000</v>
      </c>
      <c r="O114" s="13">
        <f t="shared" si="18"/>
        <v>6.485913588925539E-2</v>
      </c>
      <c r="P114" s="8">
        <f t="shared" si="19"/>
        <v>5314080.4597701151</v>
      </c>
      <c r="Q114" s="12">
        <f t="shared" si="20"/>
        <v>319000</v>
      </c>
      <c r="R114" s="13">
        <f t="shared" si="21"/>
        <v>6.0029200237927863E-2</v>
      </c>
    </row>
    <row r="115" spans="1:18" x14ac:dyDescent="0.3">
      <c r="A115" s="1">
        <v>3450001</v>
      </c>
      <c r="B115" s="1">
        <v>3500000</v>
      </c>
      <c r="C115" s="9">
        <v>15900</v>
      </c>
      <c r="E115" s="3">
        <f t="shared" si="22"/>
        <v>455000</v>
      </c>
      <c r="F115" s="3">
        <f t="shared" si="23"/>
        <v>395500</v>
      </c>
      <c r="G115" s="2">
        <f t="shared" si="12"/>
        <v>8.3714285714285713E-2</v>
      </c>
      <c r="H115" s="8">
        <f t="shared" si="13"/>
        <v>30000</v>
      </c>
      <c r="I115" s="8">
        <f t="shared" si="14"/>
        <v>323000</v>
      </c>
      <c r="L115" s="8">
        <f t="shared" si="15"/>
        <v>4689400</v>
      </c>
      <c r="M115" s="8">
        <f t="shared" si="16"/>
        <v>4988723.4042553194</v>
      </c>
      <c r="N115" s="12">
        <f t="shared" si="17"/>
        <v>323000</v>
      </c>
      <c r="O115" s="13">
        <f t="shared" si="18"/>
        <v>6.4746022945366147E-2</v>
      </c>
      <c r="P115" s="8">
        <f t="shared" si="19"/>
        <v>5390114.9425287358</v>
      </c>
      <c r="Q115" s="12">
        <f t="shared" si="20"/>
        <v>323000</v>
      </c>
      <c r="R115" s="13">
        <f t="shared" si="21"/>
        <v>5.9924510598370791E-2</v>
      </c>
    </row>
    <row r="116" spans="1:18" x14ac:dyDescent="0.3">
      <c r="A116" s="1">
        <v>3500001</v>
      </c>
      <c r="B116" s="1">
        <v>3550000</v>
      </c>
      <c r="C116" s="9">
        <v>15900</v>
      </c>
      <c r="E116" s="3">
        <f t="shared" si="22"/>
        <v>461500</v>
      </c>
      <c r="F116" s="3">
        <f t="shared" si="23"/>
        <v>401150</v>
      </c>
      <c r="G116" s="2">
        <f t="shared" si="12"/>
        <v>8.3661971830985921E-2</v>
      </c>
      <c r="H116" s="8">
        <f t="shared" si="13"/>
        <v>30000</v>
      </c>
      <c r="I116" s="8">
        <f t="shared" si="14"/>
        <v>327000</v>
      </c>
      <c r="L116" s="8">
        <f t="shared" si="15"/>
        <v>4755550</v>
      </c>
      <c r="M116" s="8">
        <f t="shared" si="16"/>
        <v>5059095.7446808517</v>
      </c>
      <c r="N116" s="12">
        <f t="shared" si="17"/>
        <v>327000</v>
      </c>
      <c r="O116" s="13">
        <f t="shared" si="18"/>
        <v>6.4636056817823376E-2</v>
      </c>
      <c r="P116" s="8">
        <f t="shared" si="19"/>
        <v>5466149.4252873566</v>
      </c>
      <c r="Q116" s="12">
        <f t="shared" si="20"/>
        <v>327000</v>
      </c>
      <c r="R116" s="13">
        <f t="shared" si="21"/>
        <v>5.9822733437772703E-2</v>
      </c>
    </row>
    <row r="117" spans="1:18" x14ac:dyDescent="0.3">
      <c r="A117" s="1">
        <v>3550001</v>
      </c>
      <c r="B117" s="1">
        <v>3600000</v>
      </c>
      <c r="C117" s="9">
        <v>15900</v>
      </c>
      <c r="E117" s="3">
        <f t="shared" si="22"/>
        <v>468000</v>
      </c>
      <c r="F117" s="3">
        <f t="shared" si="23"/>
        <v>406800</v>
      </c>
      <c r="G117" s="2">
        <f t="shared" si="12"/>
        <v>8.3611111111111108E-2</v>
      </c>
      <c r="H117" s="8">
        <f t="shared" si="13"/>
        <v>30000</v>
      </c>
      <c r="I117" s="8">
        <f t="shared" si="14"/>
        <v>331000</v>
      </c>
      <c r="L117" s="8">
        <f t="shared" si="15"/>
        <v>4821700</v>
      </c>
      <c r="M117" s="8">
        <f t="shared" si="16"/>
        <v>5129468.0851063831</v>
      </c>
      <c r="N117" s="12">
        <f t="shared" si="17"/>
        <v>331000</v>
      </c>
      <c r="O117" s="13">
        <f t="shared" si="18"/>
        <v>6.452910799095754E-2</v>
      </c>
      <c r="P117" s="8">
        <f t="shared" si="19"/>
        <v>5542183.9080459774</v>
      </c>
      <c r="Q117" s="12">
        <f t="shared" si="20"/>
        <v>331000</v>
      </c>
      <c r="R117" s="13">
        <f t="shared" si="21"/>
        <v>5.9723748885247938E-2</v>
      </c>
    </row>
    <row r="118" spans="1:18" x14ac:dyDescent="0.3">
      <c r="A118" s="1">
        <v>3600001</v>
      </c>
      <c r="B118" s="1">
        <v>3650000</v>
      </c>
      <c r="C118" s="9">
        <v>15900</v>
      </c>
      <c r="E118" s="3">
        <f t="shared" si="22"/>
        <v>474500</v>
      </c>
      <c r="F118" s="3">
        <f t="shared" si="23"/>
        <v>412450</v>
      </c>
      <c r="G118" s="2">
        <f t="shared" si="12"/>
        <v>8.3561643835616442E-2</v>
      </c>
      <c r="H118" s="8">
        <f t="shared" si="13"/>
        <v>30000</v>
      </c>
      <c r="I118" s="8">
        <f t="shared" si="14"/>
        <v>335000</v>
      </c>
      <c r="L118" s="8">
        <f t="shared" si="15"/>
        <v>4887850</v>
      </c>
      <c r="M118" s="8">
        <f t="shared" si="16"/>
        <v>5199840.4255319154</v>
      </c>
      <c r="N118" s="12">
        <f t="shared" si="17"/>
        <v>335000</v>
      </c>
      <c r="O118" s="13">
        <f t="shared" si="18"/>
        <v>6.44250539603302E-2</v>
      </c>
      <c r="P118" s="8">
        <f t="shared" si="19"/>
        <v>5618218.3908045981</v>
      </c>
      <c r="Q118" s="12">
        <f t="shared" si="20"/>
        <v>335000</v>
      </c>
      <c r="R118" s="13">
        <f t="shared" si="21"/>
        <v>5.962744355902902E-2</v>
      </c>
    </row>
    <row r="119" spans="1:18" x14ac:dyDescent="0.3">
      <c r="A119" s="1">
        <v>3650001</v>
      </c>
      <c r="B119" s="1">
        <v>3700000</v>
      </c>
      <c r="C119" s="9">
        <v>15900</v>
      </c>
      <c r="E119" s="3">
        <f t="shared" si="22"/>
        <v>481000</v>
      </c>
      <c r="F119" s="3">
        <f t="shared" si="23"/>
        <v>418100</v>
      </c>
      <c r="G119" s="2">
        <f t="shared" si="12"/>
        <v>8.3513513513513521E-2</v>
      </c>
      <c r="H119" s="8">
        <f t="shared" si="13"/>
        <v>30000</v>
      </c>
      <c r="I119" s="8">
        <f t="shared" si="14"/>
        <v>339000</v>
      </c>
      <c r="L119" s="8">
        <f t="shared" si="15"/>
        <v>4954000</v>
      </c>
      <c r="M119" s="8">
        <f t="shared" si="16"/>
        <v>5270212.7659574468</v>
      </c>
      <c r="N119" s="12">
        <f t="shared" si="17"/>
        <v>339000</v>
      </c>
      <c r="O119" s="13">
        <f t="shared" si="18"/>
        <v>6.4323778764634645E-2</v>
      </c>
      <c r="P119" s="8">
        <f t="shared" si="19"/>
        <v>5694252.8735632189</v>
      </c>
      <c r="Q119" s="12">
        <f t="shared" si="20"/>
        <v>339000</v>
      </c>
      <c r="R119" s="13">
        <f t="shared" si="21"/>
        <v>5.953371013322567E-2</v>
      </c>
    </row>
    <row r="120" spans="1:18" x14ac:dyDescent="0.3">
      <c r="A120" s="1">
        <v>3700001</v>
      </c>
      <c r="B120" s="1">
        <v>3750000</v>
      </c>
      <c r="C120" s="9">
        <v>15900</v>
      </c>
      <c r="E120" s="3">
        <f t="shared" si="22"/>
        <v>487500</v>
      </c>
      <c r="F120" s="3">
        <f t="shared" si="23"/>
        <v>423750</v>
      </c>
      <c r="G120" s="2">
        <f t="shared" si="12"/>
        <v>8.3466666666666661E-2</v>
      </c>
      <c r="H120" s="8">
        <f t="shared" si="13"/>
        <v>30000</v>
      </c>
      <c r="I120" s="8">
        <f t="shared" si="14"/>
        <v>343000</v>
      </c>
      <c r="L120" s="8">
        <f t="shared" si="15"/>
        <v>5020150</v>
      </c>
      <c r="M120" s="8">
        <f t="shared" si="16"/>
        <v>5340585.1063829791</v>
      </c>
      <c r="N120" s="12">
        <f t="shared" si="17"/>
        <v>343000</v>
      </c>
      <c r="O120" s="13">
        <f t="shared" si="18"/>
        <v>6.4225172554604942E-2</v>
      </c>
      <c r="P120" s="8">
        <f t="shared" si="19"/>
        <v>5770287.3563218387</v>
      </c>
      <c r="Q120" s="12">
        <f t="shared" si="20"/>
        <v>343000</v>
      </c>
      <c r="R120" s="13">
        <f t="shared" si="21"/>
        <v>5.9442446938836491E-2</v>
      </c>
    </row>
    <row r="121" spans="1:18" x14ac:dyDescent="0.3">
      <c r="A121" s="1">
        <v>3750001</v>
      </c>
      <c r="B121" s="1">
        <v>3800000</v>
      </c>
      <c r="C121" s="9">
        <v>15900</v>
      </c>
      <c r="E121" s="3">
        <f t="shared" si="22"/>
        <v>494000</v>
      </c>
      <c r="F121" s="3">
        <f t="shared" si="23"/>
        <v>429400</v>
      </c>
      <c r="G121" s="2">
        <f t="shared" si="12"/>
        <v>8.3421052631578951E-2</v>
      </c>
      <c r="H121" s="8">
        <f t="shared" si="13"/>
        <v>30000</v>
      </c>
      <c r="I121" s="8">
        <f t="shared" si="14"/>
        <v>347000</v>
      </c>
      <c r="L121" s="8">
        <f t="shared" si="15"/>
        <v>5086300</v>
      </c>
      <c r="M121" s="8">
        <f t="shared" si="16"/>
        <v>5410957.4468085114</v>
      </c>
      <c r="N121" s="12">
        <f t="shared" si="17"/>
        <v>347000</v>
      </c>
      <c r="O121" s="13">
        <f t="shared" si="18"/>
        <v>6.4129131195564543E-2</v>
      </c>
      <c r="P121" s="8">
        <f t="shared" si="19"/>
        <v>5846321.8390804594</v>
      </c>
      <c r="Q121" s="12">
        <f t="shared" si="20"/>
        <v>347000</v>
      </c>
      <c r="R121" s="13">
        <f t="shared" si="21"/>
        <v>5.9353557595894856E-2</v>
      </c>
    </row>
    <row r="122" spans="1:18" x14ac:dyDescent="0.3">
      <c r="A122" s="1">
        <v>3800001</v>
      </c>
      <c r="B122" s="1">
        <v>3850000</v>
      </c>
      <c r="C122" s="9">
        <v>15900</v>
      </c>
      <c r="E122" s="3">
        <f t="shared" si="22"/>
        <v>500500</v>
      </c>
      <c r="F122" s="3">
        <f t="shared" si="23"/>
        <v>435050</v>
      </c>
      <c r="G122" s="2">
        <f t="shared" si="12"/>
        <v>8.3376623376623382E-2</v>
      </c>
      <c r="H122" s="8">
        <f t="shared" si="13"/>
        <v>30000</v>
      </c>
      <c r="I122" s="8">
        <f t="shared" si="14"/>
        <v>351000</v>
      </c>
      <c r="L122" s="8">
        <f t="shared" si="15"/>
        <v>5152450</v>
      </c>
      <c r="M122" s="8">
        <f t="shared" si="16"/>
        <v>5481329.7872340428</v>
      </c>
      <c r="N122" s="12">
        <f t="shared" si="17"/>
        <v>351000</v>
      </c>
      <c r="O122" s="13">
        <f t="shared" si="18"/>
        <v>6.4035555900590985E-2</v>
      </c>
      <c r="P122" s="8">
        <f t="shared" si="19"/>
        <v>5922356.3218390802</v>
      </c>
      <c r="Q122" s="12">
        <f t="shared" si="20"/>
        <v>351000</v>
      </c>
      <c r="R122" s="13">
        <f t="shared" si="21"/>
        <v>5.9266950673951227E-2</v>
      </c>
    </row>
    <row r="123" spans="1:18" x14ac:dyDescent="0.3">
      <c r="A123" s="1">
        <v>3850001</v>
      </c>
      <c r="B123" s="1">
        <v>3900000</v>
      </c>
      <c r="C123" s="9">
        <v>15900</v>
      </c>
      <c r="E123" s="3">
        <f t="shared" si="22"/>
        <v>507000</v>
      </c>
      <c r="F123" s="3">
        <f t="shared" si="23"/>
        <v>440700</v>
      </c>
      <c r="G123" s="2">
        <f t="shared" si="12"/>
        <v>8.3333333333333329E-2</v>
      </c>
      <c r="H123" s="8">
        <f t="shared" si="13"/>
        <v>30000</v>
      </c>
      <c r="I123" s="8">
        <f t="shared" si="14"/>
        <v>355000</v>
      </c>
      <c r="L123" s="8">
        <f t="shared" si="15"/>
        <v>5218600</v>
      </c>
      <c r="M123" s="8">
        <f t="shared" si="16"/>
        <v>5551702.1276595751</v>
      </c>
      <c r="N123" s="12">
        <f t="shared" si="17"/>
        <v>355000</v>
      </c>
      <c r="O123" s="13">
        <f t="shared" si="18"/>
        <v>6.3944352891580111E-2</v>
      </c>
      <c r="P123" s="8">
        <f t="shared" si="19"/>
        <v>5998390.8045977009</v>
      </c>
      <c r="Q123" s="12">
        <f t="shared" si="20"/>
        <v>355000</v>
      </c>
      <c r="R123" s="13">
        <f t="shared" si="21"/>
        <v>5.9182539378377343E-2</v>
      </c>
    </row>
    <row r="124" spans="1:18" x14ac:dyDescent="0.3">
      <c r="A124" s="1">
        <v>3900001</v>
      </c>
      <c r="B124" s="1">
        <v>3950000</v>
      </c>
      <c r="C124" s="9">
        <v>15900</v>
      </c>
      <c r="E124" s="3">
        <f t="shared" si="22"/>
        <v>513500</v>
      </c>
      <c r="F124" s="3">
        <f t="shared" si="23"/>
        <v>446350</v>
      </c>
      <c r="G124" s="2">
        <f t="shared" si="12"/>
        <v>8.3291139240506337E-2</v>
      </c>
      <c r="H124" s="8">
        <f t="shared" si="13"/>
        <v>30000</v>
      </c>
      <c r="I124" s="8">
        <f t="shared" si="14"/>
        <v>359000.00000000006</v>
      </c>
      <c r="L124" s="8">
        <f t="shared" si="15"/>
        <v>5284750</v>
      </c>
      <c r="M124" s="8">
        <f t="shared" si="16"/>
        <v>5622074.4680851065</v>
      </c>
      <c r="N124" s="12">
        <f t="shared" si="17"/>
        <v>359000</v>
      </c>
      <c r="O124" s="13">
        <f t="shared" si="18"/>
        <v>6.3855433085765648E-2</v>
      </c>
      <c r="P124" s="8">
        <f t="shared" si="19"/>
        <v>6074425.2873563217</v>
      </c>
      <c r="Q124" s="12">
        <f t="shared" si="20"/>
        <v>359000</v>
      </c>
      <c r="R124" s="13">
        <f t="shared" si="21"/>
        <v>5.9100241260229905E-2</v>
      </c>
    </row>
    <row r="125" spans="1:18" x14ac:dyDescent="0.3">
      <c r="A125" s="1">
        <v>3950001</v>
      </c>
      <c r="B125" s="1">
        <v>4000000</v>
      </c>
      <c r="C125" s="9">
        <v>15900</v>
      </c>
      <c r="E125" s="3">
        <f t="shared" si="22"/>
        <v>520000</v>
      </c>
      <c r="F125" s="3">
        <f t="shared" si="23"/>
        <v>452000</v>
      </c>
      <c r="G125" s="2">
        <f t="shared" si="12"/>
        <v>8.3250000000000005E-2</v>
      </c>
      <c r="H125" s="8">
        <f t="shared" si="13"/>
        <v>30000</v>
      </c>
      <c r="I125" s="8">
        <f t="shared" si="14"/>
        <v>363000</v>
      </c>
      <c r="L125" s="8">
        <f t="shared" si="15"/>
        <v>5350900</v>
      </c>
      <c r="M125" s="8">
        <f t="shared" si="16"/>
        <v>5692446.8085106388</v>
      </c>
      <c r="N125" s="12">
        <f t="shared" si="17"/>
        <v>363000</v>
      </c>
      <c r="O125" s="13">
        <f t="shared" si="18"/>
        <v>6.3768711805490666E-2</v>
      </c>
      <c r="P125" s="8">
        <f t="shared" si="19"/>
        <v>6150459.7701149425</v>
      </c>
      <c r="Q125" s="12">
        <f t="shared" si="20"/>
        <v>363000</v>
      </c>
      <c r="R125" s="13">
        <f t="shared" si="21"/>
        <v>5.9019977947634979E-2</v>
      </c>
    </row>
    <row r="126" spans="1:18" x14ac:dyDescent="0.3">
      <c r="A126" s="1">
        <v>4000001</v>
      </c>
      <c r="B126" s="1">
        <v>4050000</v>
      </c>
      <c r="C126" s="9">
        <v>15900</v>
      </c>
      <c r="E126" s="3">
        <f t="shared" si="22"/>
        <v>526500</v>
      </c>
      <c r="F126" s="3">
        <f t="shared" si="23"/>
        <v>457650</v>
      </c>
      <c r="G126" s="2">
        <f t="shared" si="12"/>
        <v>8.3209876543209882E-2</v>
      </c>
      <c r="H126" s="8">
        <f t="shared" si="13"/>
        <v>30000</v>
      </c>
      <c r="I126" s="8">
        <f t="shared" si="14"/>
        <v>367000</v>
      </c>
      <c r="L126" s="8">
        <f t="shared" si="15"/>
        <v>5417050</v>
      </c>
      <c r="M126" s="8">
        <f t="shared" si="16"/>
        <v>5762819.1489361702</v>
      </c>
      <c r="N126" s="12">
        <f t="shared" si="17"/>
        <v>367000</v>
      </c>
      <c r="O126" s="13">
        <f t="shared" si="18"/>
        <v>6.3684108509243956E-2</v>
      </c>
      <c r="P126" s="8">
        <f t="shared" si="19"/>
        <v>6226494.2528735632</v>
      </c>
      <c r="Q126" s="12">
        <f t="shared" si="20"/>
        <v>367000</v>
      </c>
      <c r="R126" s="13">
        <f t="shared" si="21"/>
        <v>5.8941674896853452E-2</v>
      </c>
    </row>
    <row r="127" spans="1:18" x14ac:dyDescent="0.3">
      <c r="A127" s="1">
        <v>4050001</v>
      </c>
      <c r="B127" s="1">
        <v>4100000</v>
      </c>
      <c r="C127" s="9">
        <v>15900</v>
      </c>
      <c r="E127" s="3">
        <f t="shared" si="22"/>
        <v>533000</v>
      </c>
      <c r="F127" s="3">
        <f t="shared" si="23"/>
        <v>463300</v>
      </c>
      <c r="G127" s="2">
        <f t="shared" si="12"/>
        <v>8.3170731707317078E-2</v>
      </c>
      <c r="H127" s="8">
        <f t="shared" si="13"/>
        <v>30000</v>
      </c>
      <c r="I127" s="8">
        <f t="shared" si="14"/>
        <v>371000</v>
      </c>
      <c r="L127" s="8">
        <f t="shared" si="15"/>
        <v>5483200</v>
      </c>
      <c r="M127" s="8">
        <f t="shared" si="16"/>
        <v>5833191.4893617025</v>
      </c>
      <c r="N127" s="12">
        <f t="shared" si="17"/>
        <v>371000</v>
      </c>
      <c r="O127" s="13">
        <f t="shared" si="18"/>
        <v>6.3601546542165155E-2</v>
      </c>
      <c r="P127" s="8">
        <f t="shared" si="19"/>
        <v>6302528.735632184</v>
      </c>
      <c r="Q127" s="12">
        <f t="shared" si="20"/>
        <v>371000</v>
      </c>
      <c r="R127" s="13">
        <f t="shared" si="21"/>
        <v>5.8865261161365624E-2</v>
      </c>
    </row>
    <row r="128" spans="1:18" x14ac:dyDescent="0.3">
      <c r="A128" s="1">
        <v>4100001</v>
      </c>
      <c r="B128" s="1">
        <v>4150000</v>
      </c>
      <c r="C128" s="9">
        <v>15900</v>
      </c>
      <c r="E128" s="3">
        <f t="shared" si="22"/>
        <v>539500</v>
      </c>
      <c r="F128" s="3">
        <f t="shared" si="23"/>
        <v>468950</v>
      </c>
      <c r="G128" s="2">
        <f t="shared" si="12"/>
        <v>8.3132530120481926E-2</v>
      </c>
      <c r="H128" s="8">
        <f t="shared" si="13"/>
        <v>30000</v>
      </c>
      <c r="I128" s="8">
        <f t="shared" si="14"/>
        <v>375000</v>
      </c>
      <c r="L128" s="8">
        <f t="shared" si="15"/>
        <v>5549350</v>
      </c>
      <c r="M128" s="8">
        <f t="shared" si="16"/>
        <v>5903563.8297872348</v>
      </c>
      <c r="N128" s="12">
        <f t="shared" si="17"/>
        <v>375000</v>
      </c>
      <c r="O128" s="13">
        <f t="shared" si="18"/>
        <v>6.3520952904394204E-2</v>
      </c>
      <c r="P128" s="8">
        <f t="shared" si="19"/>
        <v>6378563.2183908047</v>
      </c>
      <c r="Q128" s="12">
        <f t="shared" si="20"/>
        <v>375000</v>
      </c>
      <c r="R128" s="13">
        <f t="shared" si="21"/>
        <v>5.8790669177471236E-2</v>
      </c>
    </row>
    <row r="129" spans="1:18" x14ac:dyDescent="0.3">
      <c r="A129" s="1">
        <v>4150001</v>
      </c>
      <c r="B129" s="1">
        <v>4200000</v>
      </c>
      <c r="C129" s="9">
        <v>15900</v>
      </c>
      <c r="E129" s="3">
        <f t="shared" si="22"/>
        <v>546000</v>
      </c>
      <c r="F129" s="3">
        <f t="shared" si="23"/>
        <v>474600</v>
      </c>
      <c r="G129" s="2">
        <f t="shared" si="12"/>
        <v>8.3095238095238097E-2</v>
      </c>
      <c r="H129" s="8">
        <f t="shared" si="13"/>
        <v>30000</v>
      </c>
      <c r="I129" s="8">
        <f t="shared" si="14"/>
        <v>379000</v>
      </c>
      <c r="L129" s="8">
        <f t="shared" si="15"/>
        <v>5615500</v>
      </c>
      <c r="M129" s="8">
        <f t="shared" si="16"/>
        <v>5973936.1702127662</v>
      </c>
      <c r="N129" s="12">
        <f t="shared" si="17"/>
        <v>379000</v>
      </c>
      <c r="O129" s="13">
        <f t="shared" si="18"/>
        <v>6.3442258035793786E-2</v>
      </c>
      <c r="P129" s="8">
        <f t="shared" si="19"/>
        <v>6454597.7011494255</v>
      </c>
      <c r="Q129" s="12">
        <f t="shared" si="20"/>
        <v>379000</v>
      </c>
      <c r="R129" s="13">
        <f t="shared" si="21"/>
        <v>5.8717834565043182E-2</v>
      </c>
    </row>
    <row r="130" spans="1:18" x14ac:dyDescent="0.3">
      <c r="A130" s="1">
        <v>4200001</v>
      </c>
      <c r="B130" s="1">
        <v>4250000</v>
      </c>
      <c r="C130" s="9">
        <v>15900</v>
      </c>
      <c r="E130" s="3">
        <f t="shared" si="22"/>
        <v>552500</v>
      </c>
      <c r="F130" s="3">
        <f t="shared" si="23"/>
        <v>480250</v>
      </c>
      <c r="G130" s="2">
        <f t="shared" si="12"/>
        <v>8.3058823529411768E-2</v>
      </c>
      <c r="H130" s="8">
        <f t="shared" si="13"/>
        <v>30000</v>
      </c>
      <c r="I130" s="8">
        <f t="shared" si="14"/>
        <v>383000</v>
      </c>
      <c r="L130" s="8">
        <f t="shared" si="15"/>
        <v>5681650</v>
      </c>
      <c r="M130" s="8">
        <f t="shared" si="16"/>
        <v>6044308.5106382985</v>
      </c>
      <c r="N130" s="12">
        <f t="shared" si="17"/>
        <v>383000</v>
      </c>
      <c r="O130" s="13">
        <f t="shared" si="18"/>
        <v>6.3365395615710224E-2</v>
      </c>
      <c r="P130" s="8">
        <f t="shared" si="19"/>
        <v>6530632.1839080462</v>
      </c>
      <c r="Q130" s="12">
        <f t="shared" si="20"/>
        <v>383000</v>
      </c>
      <c r="R130" s="13">
        <f t="shared" si="21"/>
        <v>5.8646695942199886E-2</v>
      </c>
    </row>
    <row r="131" spans="1:18" x14ac:dyDescent="0.3">
      <c r="A131" s="1">
        <v>4250001</v>
      </c>
      <c r="B131" s="1">
        <v>4300000</v>
      </c>
      <c r="C131" s="9">
        <v>15900</v>
      </c>
      <c r="E131" s="3">
        <f t="shared" si="22"/>
        <v>559000</v>
      </c>
      <c r="F131" s="3">
        <f t="shared" si="23"/>
        <v>485900</v>
      </c>
      <c r="G131" s="2">
        <f t="shared" ref="G131:G194" si="24">MIN($K$2,MAX($K$3,$K$4/B131+$K$3))</f>
        <v>8.3023255813953492E-2</v>
      </c>
      <c r="H131" s="8">
        <f t="shared" ref="H131:H194" si="25">MIN($K$11,$K$9+$K$10*(B131-$B$2))</f>
        <v>30000</v>
      </c>
      <c r="I131" s="8">
        <f t="shared" ref="I131:I194" si="26">B131*G131+H131</f>
        <v>387000</v>
      </c>
      <c r="L131" s="8">
        <f t="shared" ref="L131:L194" si="27">B131+C131+E131+F131+I131</f>
        <v>5747800</v>
      </c>
      <c r="M131" s="8">
        <f t="shared" ref="M131:M194" si="28">L131/(1-$K$14)</f>
        <v>6114680.8510638298</v>
      </c>
      <c r="N131" s="12">
        <f t="shared" ref="N131:N194" si="29">M131*(1-$K$14)-B131-C131-E131-F131</f>
        <v>387000</v>
      </c>
      <c r="O131" s="13">
        <f t="shared" ref="O131:O194" si="30">N131/M131</f>
        <v>6.3290302376561469E-2</v>
      </c>
      <c r="P131" s="8">
        <f t="shared" ref="P131:P194" si="31">L131/(1-$K$15)</f>
        <v>6606666.666666667</v>
      </c>
      <c r="Q131" s="12">
        <f t="shared" ref="Q131:Q194" si="32">P131*(1-$K$15)-B131-C131-E131-F131</f>
        <v>387000</v>
      </c>
      <c r="R131" s="13">
        <f t="shared" ref="R131:R194" si="33">Q131/P131</f>
        <v>5.8577194752774973E-2</v>
      </c>
    </row>
    <row r="132" spans="1:18" x14ac:dyDescent="0.3">
      <c r="A132" s="1">
        <v>4300001</v>
      </c>
      <c r="B132" s="1">
        <v>4350000</v>
      </c>
      <c r="C132" s="9">
        <v>15900</v>
      </c>
      <c r="E132" s="3">
        <f t="shared" si="22"/>
        <v>565500</v>
      </c>
      <c r="F132" s="3">
        <f t="shared" si="23"/>
        <v>491550</v>
      </c>
      <c r="G132" s="2">
        <f t="shared" si="24"/>
        <v>8.2988505747126434E-2</v>
      </c>
      <c r="H132" s="8">
        <f t="shared" si="25"/>
        <v>30000</v>
      </c>
      <c r="I132" s="8">
        <f t="shared" si="26"/>
        <v>391000</v>
      </c>
      <c r="L132" s="8">
        <f t="shared" si="27"/>
        <v>5813950</v>
      </c>
      <c r="M132" s="8">
        <f t="shared" si="28"/>
        <v>6185053.1914893622</v>
      </c>
      <c r="N132" s="12">
        <f t="shared" si="29"/>
        <v>391000</v>
      </c>
      <c r="O132" s="13">
        <f t="shared" si="30"/>
        <v>6.3216917930150759E-2</v>
      </c>
      <c r="P132" s="8">
        <f t="shared" si="31"/>
        <v>6682701.1494252877</v>
      </c>
      <c r="Q132" s="12">
        <f t="shared" si="32"/>
        <v>391000</v>
      </c>
      <c r="R132" s="13">
        <f t="shared" si="33"/>
        <v>5.8509275105565063E-2</v>
      </c>
    </row>
    <row r="133" spans="1:18" x14ac:dyDescent="0.3">
      <c r="A133" s="1">
        <v>4350001</v>
      </c>
      <c r="B133" s="1">
        <v>4400000</v>
      </c>
      <c r="C133" s="9">
        <v>15900</v>
      </c>
      <c r="E133" s="3">
        <f t="shared" si="22"/>
        <v>572000</v>
      </c>
      <c r="F133" s="3">
        <f t="shared" si="23"/>
        <v>497200</v>
      </c>
      <c r="G133" s="2">
        <f t="shared" si="24"/>
        <v>8.2954545454545461E-2</v>
      </c>
      <c r="H133" s="8">
        <f t="shared" si="25"/>
        <v>30000</v>
      </c>
      <c r="I133" s="8">
        <f t="shared" si="26"/>
        <v>395000.00000000006</v>
      </c>
      <c r="L133" s="8">
        <f t="shared" si="27"/>
        <v>5880100</v>
      </c>
      <c r="M133" s="8">
        <f t="shared" si="28"/>
        <v>6255425.5319148935</v>
      </c>
      <c r="N133" s="12">
        <f t="shared" si="29"/>
        <v>395000</v>
      </c>
      <c r="O133" s="13">
        <f t="shared" si="30"/>
        <v>6.314518460570398E-2</v>
      </c>
      <c r="P133" s="8">
        <f t="shared" si="31"/>
        <v>6758735.6321839085</v>
      </c>
      <c r="Q133" s="12">
        <f t="shared" si="32"/>
        <v>395000</v>
      </c>
      <c r="R133" s="13">
        <f t="shared" si="33"/>
        <v>5.8442883624428149E-2</v>
      </c>
    </row>
    <row r="134" spans="1:18" x14ac:dyDescent="0.3">
      <c r="A134" s="1">
        <v>4400001</v>
      </c>
      <c r="B134" s="1">
        <v>4450000</v>
      </c>
      <c r="C134" s="9">
        <v>15900</v>
      </c>
      <c r="E134" s="3">
        <f t="shared" si="22"/>
        <v>578500</v>
      </c>
      <c r="F134" s="3">
        <f t="shared" si="23"/>
        <v>502850</v>
      </c>
      <c r="G134" s="2">
        <f t="shared" si="24"/>
        <v>8.2921348314606749E-2</v>
      </c>
      <c r="H134" s="8">
        <f t="shared" si="25"/>
        <v>30000</v>
      </c>
      <c r="I134" s="8">
        <f t="shared" si="26"/>
        <v>399000.00000000006</v>
      </c>
      <c r="L134" s="8">
        <f t="shared" si="27"/>
        <v>5946250</v>
      </c>
      <c r="M134" s="8">
        <f t="shared" si="28"/>
        <v>6325797.8723404258</v>
      </c>
      <c r="N134" s="12">
        <f t="shared" si="29"/>
        <v>399000</v>
      </c>
      <c r="O134" s="13">
        <f t="shared" si="30"/>
        <v>6.3075047298717671E-2</v>
      </c>
      <c r="P134" s="8">
        <f t="shared" si="31"/>
        <v>6834770.1149425283</v>
      </c>
      <c r="Q134" s="12">
        <f t="shared" si="32"/>
        <v>399000</v>
      </c>
      <c r="R134" s="13">
        <f t="shared" si="33"/>
        <v>5.8377969308387644E-2</v>
      </c>
    </row>
    <row r="135" spans="1:18" x14ac:dyDescent="0.3">
      <c r="A135" s="1">
        <v>4450001</v>
      </c>
      <c r="B135" s="1">
        <v>4500000</v>
      </c>
      <c r="C135" s="9">
        <v>15900</v>
      </c>
      <c r="E135" s="3">
        <f t="shared" si="22"/>
        <v>585000</v>
      </c>
      <c r="F135" s="3">
        <f t="shared" si="23"/>
        <v>508500</v>
      </c>
      <c r="G135" s="2">
        <f t="shared" si="24"/>
        <v>8.2888888888888887E-2</v>
      </c>
      <c r="H135" s="8">
        <f t="shared" si="25"/>
        <v>30000</v>
      </c>
      <c r="I135" s="8">
        <f t="shared" si="26"/>
        <v>403000</v>
      </c>
      <c r="L135" s="8">
        <f t="shared" si="27"/>
        <v>6012400</v>
      </c>
      <c r="M135" s="8">
        <f t="shared" si="28"/>
        <v>6396170.2127659582</v>
      </c>
      <c r="N135" s="12">
        <f t="shared" si="29"/>
        <v>403000</v>
      </c>
      <c r="O135" s="13">
        <f t="shared" si="30"/>
        <v>6.3006453329785106E-2</v>
      </c>
      <c r="P135" s="8">
        <f t="shared" si="31"/>
        <v>6910804.5977011491</v>
      </c>
      <c r="Q135" s="12">
        <f t="shared" si="32"/>
        <v>403000</v>
      </c>
      <c r="R135" s="13">
        <f t="shared" si="33"/>
        <v>5.8314483400971326E-2</v>
      </c>
    </row>
    <row r="136" spans="1:18" x14ac:dyDescent="0.3">
      <c r="A136" s="1">
        <v>4500001</v>
      </c>
      <c r="B136" s="1">
        <v>4550000</v>
      </c>
      <c r="C136" s="9">
        <v>15900</v>
      </c>
      <c r="E136" s="3">
        <f t="shared" si="22"/>
        <v>591500</v>
      </c>
      <c r="F136" s="3">
        <f t="shared" si="23"/>
        <v>514150</v>
      </c>
      <c r="G136" s="2">
        <f t="shared" si="24"/>
        <v>8.2857142857142865E-2</v>
      </c>
      <c r="H136" s="8">
        <f t="shared" si="25"/>
        <v>30000</v>
      </c>
      <c r="I136" s="8">
        <f t="shared" si="26"/>
        <v>407000.00000000006</v>
      </c>
      <c r="L136" s="8">
        <f t="shared" si="27"/>
        <v>6078550</v>
      </c>
      <c r="M136" s="8">
        <f t="shared" si="28"/>
        <v>6466542.5531914895</v>
      </c>
      <c r="N136" s="12">
        <f t="shared" si="29"/>
        <v>407000</v>
      </c>
      <c r="O136" s="13">
        <f t="shared" si="30"/>
        <v>6.2939352312640348E-2</v>
      </c>
      <c r="P136" s="8">
        <f t="shared" si="31"/>
        <v>6986839.0804597698</v>
      </c>
      <c r="Q136" s="12">
        <f t="shared" si="32"/>
        <v>407000</v>
      </c>
      <c r="R136" s="13">
        <f t="shared" si="33"/>
        <v>5.8252379268082029E-2</v>
      </c>
    </row>
    <row r="137" spans="1:18" x14ac:dyDescent="0.3">
      <c r="A137" s="1">
        <v>4550001</v>
      </c>
      <c r="B137" s="1">
        <v>4600000</v>
      </c>
      <c r="C137" s="9">
        <v>15900</v>
      </c>
      <c r="E137" s="3">
        <f t="shared" si="22"/>
        <v>598000</v>
      </c>
      <c r="F137" s="3">
        <f t="shared" si="23"/>
        <v>519800</v>
      </c>
      <c r="G137" s="2">
        <f t="shared" si="24"/>
        <v>8.2826086956521744E-2</v>
      </c>
      <c r="H137" s="8">
        <f t="shared" si="25"/>
        <v>30000</v>
      </c>
      <c r="I137" s="8">
        <f t="shared" si="26"/>
        <v>411000</v>
      </c>
      <c r="L137" s="8">
        <f t="shared" si="27"/>
        <v>6144700</v>
      </c>
      <c r="M137" s="8">
        <f t="shared" si="28"/>
        <v>6536914.8936170219</v>
      </c>
      <c r="N137" s="12">
        <f t="shared" si="29"/>
        <v>411000</v>
      </c>
      <c r="O137" s="13">
        <f t="shared" si="30"/>
        <v>6.2873696030725665E-2</v>
      </c>
      <c r="P137" s="8">
        <f t="shared" si="31"/>
        <v>7062873.5632183906</v>
      </c>
      <c r="Q137" s="12">
        <f t="shared" si="32"/>
        <v>411000</v>
      </c>
      <c r="R137" s="13">
        <f t="shared" si="33"/>
        <v>5.8191612283756737E-2</v>
      </c>
    </row>
    <row r="138" spans="1:18" x14ac:dyDescent="0.3">
      <c r="A138" s="1">
        <v>4600001</v>
      </c>
      <c r="B138" s="1">
        <v>4650000</v>
      </c>
      <c r="C138" s="9">
        <v>15900</v>
      </c>
      <c r="E138" s="3">
        <f t="shared" si="22"/>
        <v>604500</v>
      </c>
      <c r="F138" s="3">
        <f t="shared" si="23"/>
        <v>525450</v>
      </c>
      <c r="G138" s="2">
        <f t="shared" si="24"/>
        <v>8.2795698924731181E-2</v>
      </c>
      <c r="H138" s="8">
        <f t="shared" si="25"/>
        <v>30000</v>
      </c>
      <c r="I138" s="8">
        <f t="shared" si="26"/>
        <v>415000</v>
      </c>
      <c r="L138" s="8">
        <f t="shared" si="27"/>
        <v>6210850</v>
      </c>
      <c r="M138" s="8">
        <f t="shared" si="28"/>
        <v>6607287.2340425532</v>
      </c>
      <c r="N138" s="12">
        <f t="shared" si="29"/>
        <v>415000</v>
      </c>
      <c r="O138" s="13">
        <f t="shared" si="30"/>
        <v>6.2809438321646802E-2</v>
      </c>
      <c r="P138" s="8">
        <f t="shared" si="31"/>
        <v>7138908.0459770113</v>
      </c>
      <c r="Q138" s="12">
        <f t="shared" si="32"/>
        <v>415000</v>
      </c>
      <c r="R138" s="13">
        <f t="shared" si="33"/>
        <v>5.8132139723226291E-2</v>
      </c>
    </row>
    <row r="139" spans="1:18" x14ac:dyDescent="0.3">
      <c r="A139" s="1">
        <v>4650001</v>
      </c>
      <c r="B139" s="1">
        <v>4700000</v>
      </c>
      <c r="C139" s="9">
        <v>15900</v>
      </c>
      <c r="E139" s="3">
        <f t="shared" si="22"/>
        <v>611000</v>
      </c>
      <c r="F139" s="3">
        <f t="shared" si="23"/>
        <v>531100</v>
      </c>
      <c r="G139" s="2">
        <f t="shared" si="24"/>
        <v>8.2765957446808508E-2</v>
      </c>
      <c r="H139" s="8">
        <f t="shared" si="25"/>
        <v>30000</v>
      </c>
      <c r="I139" s="8">
        <f t="shared" si="26"/>
        <v>419000</v>
      </c>
      <c r="L139" s="8">
        <f t="shared" si="27"/>
        <v>6277000</v>
      </c>
      <c r="M139" s="8">
        <f t="shared" si="28"/>
        <v>6677659.5744680855</v>
      </c>
      <c r="N139" s="12">
        <f t="shared" si="29"/>
        <v>419000</v>
      </c>
      <c r="O139" s="13">
        <f t="shared" si="30"/>
        <v>6.2746534968934203E-2</v>
      </c>
      <c r="P139" s="8">
        <f t="shared" si="31"/>
        <v>7214942.5287356321</v>
      </c>
      <c r="Q139" s="12">
        <f t="shared" si="32"/>
        <v>419000</v>
      </c>
      <c r="R139" s="13">
        <f t="shared" si="33"/>
        <v>5.8073920662736978E-2</v>
      </c>
    </row>
    <row r="140" spans="1:18" x14ac:dyDescent="0.3">
      <c r="A140" s="1">
        <v>4700001</v>
      </c>
      <c r="B140" s="1">
        <v>4750000</v>
      </c>
      <c r="C140" s="9">
        <v>15900</v>
      </c>
      <c r="E140" s="3">
        <f t="shared" si="22"/>
        <v>617500</v>
      </c>
      <c r="F140" s="3">
        <f t="shared" si="23"/>
        <v>536750</v>
      </c>
      <c r="G140" s="2">
        <f t="shared" si="24"/>
        <v>8.2736842105263164E-2</v>
      </c>
      <c r="H140" s="8">
        <f t="shared" si="25"/>
        <v>30000</v>
      </c>
      <c r="I140" s="8">
        <f t="shared" si="26"/>
        <v>423000.00000000006</v>
      </c>
      <c r="L140" s="8">
        <f t="shared" si="27"/>
        <v>6343150</v>
      </c>
      <c r="M140" s="8">
        <f t="shared" si="28"/>
        <v>6748031.9148936179</v>
      </c>
      <c r="N140" s="12">
        <f t="shared" si="29"/>
        <v>423000</v>
      </c>
      <c r="O140" s="13">
        <f t="shared" si="30"/>
        <v>6.2684943600576998E-2</v>
      </c>
      <c r="P140" s="8">
        <f t="shared" si="31"/>
        <v>7290977.0114942528</v>
      </c>
      <c r="Q140" s="12">
        <f t="shared" si="32"/>
        <v>423000</v>
      </c>
      <c r="R140" s="13">
        <f t="shared" si="33"/>
        <v>5.8016915885640417E-2</v>
      </c>
    </row>
    <row r="141" spans="1:18" x14ac:dyDescent="0.3">
      <c r="A141" s="1">
        <v>4750001</v>
      </c>
      <c r="B141" s="1">
        <v>4800000</v>
      </c>
      <c r="C141" s="9">
        <v>15900</v>
      </c>
      <c r="E141" s="3">
        <f t="shared" si="22"/>
        <v>624000</v>
      </c>
      <c r="F141" s="3">
        <f t="shared" si="23"/>
        <v>542400</v>
      </c>
      <c r="G141" s="2">
        <f t="shared" si="24"/>
        <v>8.2708333333333328E-2</v>
      </c>
      <c r="H141" s="8">
        <f t="shared" si="25"/>
        <v>30000</v>
      </c>
      <c r="I141" s="8">
        <f t="shared" si="26"/>
        <v>427000</v>
      </c>
      <c r="L141" s="8">
        <f t="shared" si="27"/>
        <v>6409300</v>
      </c>
      <c r="M141" s="8">
        <f t="shared" si="28"/>
        <v>6818404.2553191492</v>
      </c>
      <c r="N141" s="12">
        <f t="shared" si="29"/>
        <v>427000</v>
      </c>
      <c r="O141" s="13">
        <f t="shared" si="30"/>
        <v>6.2624623593840203E-2</v>
      </c>
      <c r="P141" s="8">
        <f t="shared" si="31"/>
        <v>7367011.4942528736</v>
      </c>
      <c r="Q141" s="12">
        <f t="shared" si="32"/>
        <v>427000</v>
      </c>
      <c r="R141" s="13">
        <f t="shared" si="33"/>
        <v>5.7961087794298906E-2</v>
      </c>
    </row>
    <row r="142" spans="1:18" x14ac:dyDescent="0.3">
      <c r="A142" s="1">
        <v>4800001</v>
      </c>
      <c r="B142" s="1">
        <v>4850000</v>
      </c>
      <c r="C142" s="9">
        <v>15900</v>
      </c>
      <c r="E142" s="3">
        <f t="shared" si="22"/>
        <v>630500</v>
      </c>
      <c r="F142" s="3">
        <f t="shared" si="23"/>
        <v>548050</v>
      </c>
      <c r="G142" s="2">
        <f t="shared" si="24"/>
        <v>8.2680412371134021E-2</v>
      </c>
      <c r="H142" s="8">
        <f t="shared" si="25"/>
        <v>30000</v>
      </c>
      <c r="I142" s="8">
        <f t="shared" si="26"/>
        <v>431000</v>
      </c>
      <c r="L142" s="8">
        <f t="shared" si="27"/>
        <v>6475450</v>
      </c>
      <c r="M142" s="8">
        <f t="shared" si="28"/>
        <v>6888776.5957446815</v>
      </c>
      <c r="N142" s="12">
        <f t="shared" si="29"/>
        <v>431000</v>
      </c>
      <c r="O142" s="13">
        <f t="shared" si="30"/>
        <v>6.2565535985916035E-2</v>
      </c>
      <c r="P142" s="8">
        <f t="shared" si="31"/>
        <v>7443045.9770114943</v>
      </c>
      <c r="Q142" s="12">
        <f t="shared" si="32"/>
        <v>431000</v>
      </c>
      <c r="R142" s="13">
        <f t="shared" si="33"/>
        <v>5.7906400327390375E-2</v>
      </c>
    </row>
    <row r="143" spans="1:18" x14ac:dyDescent="0.3">
      <c r="A143" s="1">
        <v>4850001</v>
      </c>
      <c r="B143" s="1">
        <v>4900000</v>
      </c>
      <c r="C143" s="9">
        <v>15900</v>
      </c>
      <c r="E143" s="3">
        <f t="shared" si="22"/>
        <v>637000</v>
      </c>
      <c r="F143" s="3">
        <f t="shared" si="23"/>
        <v>553700</v>
      </c>
      <c r="G143" s="2">
        <f t="shared" si="24"/>
        <v>8.2653061224489802E-2</v>
      </c>
      <c r="H143" s="8">
        <f t="shared" si="25"/>
        <v>30000</v>
      </c>
      <c r="I143" s="8">
        <f t="shared" si="26"/>
        <v>435000</v>
      </c>
      <c r="L143" s="8">
        <f t="shared" si="27"/>
        <v>6541600</v>
      </c>
      <c r="M143" s="8">
        <f t="shared" si="28"/>
        <v>6959148.9361702129</v>
      </c>
      <c r="N143" s="12">
        <f t="shared" si="29"/>
        <v>435000</v>
      </c>
      <c r="O143" s="13">
        <f t="shared" si="30"/>
        <v>6.2507643389996329E-2</v>
      </c>
      <c r="P143" s="8">
        <f t="shared" si="31"/>
        <v>7519080.4597701151</v>
      </c>
      <c r="Q143" s="12">
        <f t="shared" si="32"/>
        <v>435000</v>
      </c>
      <c r="R143" s="13">
        <f t="shared" si="33"/>
        <v>5.7852818882230643E-2</v>
      </c>
    </row>
    <row r="144" spans="1:18" x14ac:dyDescent="0.3">
      <c r="A144" s="1">
        <v>4900001</v>
      </c>
      <c r="B144" s="1">
        <v>4950000</v>
      </c>
      <c r="C144" s="9">
        <v>15900</v>
      </c>
      <c r="E144" s="3">
        <f t="shared" si="22"/>
        <v>643500</v>
      </c>
      <c r="F144" s="3">
        <f t="shared" si="23"/>
        <v>559350</v>
      </c>
      <c r="G144" s="2">
        <f t="shared" si="24"/>
        <v>8.2626262626262631E-2</v>
      </c>
      <c r="H144" s="8">
        <f t="shared" si="25"/>
        <v>30000</v>
      </c>
      <c r="I144" s="8">
        <f t="shared" si="26"/>
        <v>439000</v>
      </c>
      <c r="L144" s="8">
        <f t="shared" si="27"/>
        <v>6607750</v>
      </c>
      <c r="M144" s="8">
        <f t="shared" si="28"/>
        <v>7029521.2765957452</v>
      </c>
      <c r="N144" s="12">
        <f t="shared" si="29"/>
        <v>439000</v>
      </c>
      <c r="O144" s="13">
        <f t="shared" si="30"/>
        <v>6.2450909916386056E-2</v>
      </c>
      <c r="P144" s="8">
        <f t="shared" si="31"/>
        <v>7595114.9425287358</v>
      </c>
      <c r="Q144" s="12">
        <f t="shared" si="32"/>
        <v>439000</v>
      </c>
      <c r="R144" s="13">
        <f t="shared" si="33"/>
        <v>5.780031024176157E-2</v>
      </c>
    </row>
    <row r="145" spans="1:18" x14ac:dyDescent="0.3">
      <c r="A145" s="1">
        <v>4950001</v>
      </c>
      <c r="B145" s="1">
        <v>5000000</v>
      </c>
      <c r="C145" s="9">
        <v>15900</v>
      </c>
      <c r="E145" s="3">
        <f t="shared" si="22"/>
        <v>650000</v>
      </c>
      <c r="F145" s="3">
        <f t="shared" si="23"/>
        <v>565000</v>
      </c>
      <c r="G145" s="2">
        <f t="shared" si="24"/>
        <v>8.2600000000000007E-2</v>
      </c>
      <c r="H145" s="8">
        <f t="shared" si="25"/>
        <v>30000</v>
      </c>
      <c r="I145" s="8">
        <f t="shared" si="26"/>
        <v>443000.00000000006</v>
      </c>
      <c r="L145" s="8">
        <f t="shared" si="27"/>
        <v>6673900</v>
      </c>
      <c r="M145" s="8">
        <f t="shared" si="28"/>
        <v>7099893.6170212766</v>
      </c>
      <c r="N145" s="12">
        <f t="shared" si="29"/>
        <v>443000</v>
      </c>
      <c r="O145" s="13">
        <f t="shared" si="30"/>
        <v>6.2395301098308334E-2</v>
      </c>
      <c r="P145" s="8">
        <f t="shared" si="31"/>
        <v>7671149.4252873566</v>
      </c>
      <c r="Q145" s="12">
        <f t="shared" si="32"/>
        <v>443000</v>
      </c>
      <c r="R145" s="13">
        <f t="shared" si="33"/>
        <v>5.7748842505881116E-2</v>
      </c>
    </row>
    <row r="146" spans="1:18" x14ac:dyDescent="0.3">
      <c r="A146" s="1">
        <v>5000001</v>
      </c>
      <c r="B146" s="1">
        <v>5050000</v>
      </c>
      <c r="C146" s="9">
        <v>15900</v>
      </c>
      <c r="E146" s="3">
        <f t="shared" si="22"/>
        <v>656500</v>
      </c>
      <c r="F146" s="3">
        <f t="shared" si="23"/>
        <v>570650</v>
      </c>
      <c r="G146" s="2">
        <f t="shared" si="24"/>
        <v>8.2574257425742578E-2</v>
      </c>
      <c r="H146" s="8">
        <f t="shared" si="25"/>
        <v>30000</v>
      </c>
      <c r="I146" s="8">
        <f t="shared" si="26"/>
        <v>447000</v>
      </c>
      <c r="L146" s="8">
        <f t="shared" si="27"/>
        <v>6740050</v>
      </c>
      <c r="M146" s="8">
        <f t="shared" si="28"/>
        <v>7170265.9574468089</v>
      </c>
      <c r="N146" s="12">
        <f t="shared" si="29"/>
        <v>447000</v>
      </c>
      <c r="O146" s="13">
        <f t="shared" si="30"/>
        <v>6.2340783822078465E-2</v>
      </c>
      <c r="P146" s="8">
        <f t="shared" si="31"/>
        <v>7747183.9080459774</v>
      </c>
      <c r="Q146" s="12">
        <f t="shared" si="32"/>
        <v>447000</v>
      </c>
      <c r="R146" s="13">
        <f t="shared" si="33"/>
        <v>5.7698385026817303E-2</v>
      </c>
    </row>
    <row r="147" spans="1:18" x14ac:dyDescent="0.3">
      <c r="A147" s="1">
        <v>5050001</v>
      </c>
      <c r="B147" s="1">
        <v>5100000</v>
      </c>
      <c r="C147" s="9">
        <v>15900</v>
      </c>
      <c r="E147" s="3">
        <f t="shared" si="22"/>
        <v>663000</v>
      </c>
      <c r="F147" s="3">
        <f t="shared" si="23"/>
        <v>576300</v>
      </c>
      <c r="G147" s="2">
        <f t="shared" si="24"/>
        <v>8.2549019607843138E-2</v>
      </c>
      <c r="H147" s="8">
        <f t="shared" si="25"/>
        <v>30000</v>
      </c>
      <c r="I147" s="8">
        <f t="shared" si="26"/>
        <v>451000</v>
      </c>
      <c r="L147" s="8">
        <f t="shared" si="27"/>
        <v>6806200</v>
      </c>
      <c r="M147" s="8">
        <f t="shared" si="28"/>
        <v>7240638.2978723412</v>
      </c>
      <c r="N147" s="12">
        <f t="shared" si="29"/>
        <v>451000</v>
      </c>
      <c r="O147" s="13">
        <f t="shared" si="30"/>
        <v>6.2287326261349939E-2</v>
      </c>
      <c r="P147" s="8">
        <f t="shared" si="31"/>
        <v>7823218.3908045981</v>
      </c>
      <c r="Q147" s="12">
        <f t="shared" si="32"/>
        <v>451000</v>
      </c>
      <c r="R147" s="13">
        <f t="shared" si="33"/>
        <v>5.7648908348270689E-2</v>
      </c>
    </row>
    <row r="148" spans="1:18" x14ac:dyDescent="0.3">
      <c r="A148" s="1">
        <v>5100001</v>
      </c>
      <c r="B148" s="1">
        <v>5150000</v>
      </c>
      <c r="C148" s="9">
        <v>15900</v>
      </c>
      <c r="E148" s="3">
        <f t="shared" si="22"/>
        <v>669500</v>
      </c>
      <c r="F148" s="3">
        <f t="shared" si="23"/>
        <v>581950</v>
      </c>
      <c r="G148" s="2">
        <f t="shared" si="24"/>
        <v>8.2524271844660199E-2</v>
      </c>
      <c r="H148" s="8">
        <f t="shared" si="25"/>
        <v>30000</v>
      </c>
      <c r="I148" s="8">
        <f t="shared" si="26"/>
        <v>455000</v>
      </c>
      <c r="L148" s="8">
        <f t="shared" si="27"/>
        <v>6872350</v>
      </c>
      <c r="M148" s="8">
        <f t="shared" si="28"/>
        <v>7311010.6382978726</v>
      </c>
      <c r="N148" s="12">
        <f t="shared" si="29"/>
        <v>455000</v>
      </c>
      <c r="O148" s="13">
        <f t="shared" si="30"/>
        <v>6.2234897815157841E-2</v>
      </c>
      <c r="P148" s="8">
        <f t="shared" si="31"/>
        <v>7899252.8735632189</v>
      </c>
      <c r="Q148" s="12">
        <f t="shared" si="32"/>
        <v>455000</v>
      </c>
      <c r="R148" s="13">
        <f t="shared" si="33"/>
        <v>5.7600384148071615E-2</v>
      </c>
    </row>
    <row r="149" spans="1:18" x14ac:dyDescent="0.3">
      <c r="A149" s="1">
        <v>5150001</v>
      </c>
      <c r="B149" s="1">
        <v>5200000</v>
      </c>
      <c r="C149" s="9">
        <v>15900</v>
      </c>
      <c r="E149" s="3">
        <f t="shared" si="22"/>
        <v>676000</v>
      </c>
      <c r="F149" s="3">
        <f t="shared" si="23"/>
        <v>587600</v>
      </c>
      <c r="G149" s="2">
        <f t="shared" si="24"/>
        <v>8.2500000000000004E-2</v>
      </c>
      <c r="H149" s="8">
        <f t="shared" si="25"/>
        <v>30000</v>
      </c>
      <c r="I149" s="8">
        <f t="shared" si="26"/>
        <v>459000</v>
      </c>
      <c r="L149" s="8">
        <f t="shared" si="27"/>
        <v>6938500</v>
      </c>
      <c r="M149" s="8">
        <f t="shared" si="28"/>
        <v>7381382.9787234049</v>
      </c>
      <c r="N149" s="12">
        <f t="shared" si="29"/>
        <v>459000</v>
      </c>
      <c r="O149" s="13">
        <f t="shared" si="30"/>
        <v>6.2183469049506369E-2</v>
      </c>
      <c r="P149" s="8">
        <f t="shared" si="31"/>
        <v>7975287.3563218387</v>
      </c>
      <c r="Q149" s="12">
        <f t="shared" si="32"/>
        <v>459000</v>
      </c>
      <c r="R149" s="13">
        <f t="shared" si="33"/>
        <v>5.7552785184117605E-2</v>
      </c>
    </row>
    <row r="150" spans="1:18" x14ac:dyDescent="0.3">
      <c r="A150" s="1">
        <v>5200001</v>
      </c>
      <c r="B150" s="1">
        <v>5250000</v>
      </c>
      <c r="C150" s="9">
        <v>15900</v>
      </c>
      <c r="E150" s="3">
        <f t="shared" si="22"/>
        <v>682500</v>
      </c>
      <c r="F150" s="3">
        <f t="shared" si="23"/>
        <v>593250</v>
      </c>
      <c r="G150" s="2">
        <f t="shared" si="24"/>
        <v>8.2476190476190481E-2</v>
      </c>
      <c r="H150" s="8">
        <f t="shared" si="25"/>
        <v>30000</v>
      </c>
      <c r="I150" s="8">
        <f t="shared" si="26"/>
        <v>463000</v>
      </c>
      <c r="L150" s="8">
        <f t="shared" si="27"/>
        <v>7004650</v>
      </c>
      <c r="M150" s="8">
        <f t="shared" si="28"/>
        <v>7451755.3191489363</v>
      </c>
      <c r="N150" s="12">
        <f t="shared" si="29"/>
        <v>463000</v>
      </c>
      <c r="O150" s="13">
        <f t="shared" si="30"/>
        <v>6.2133011642266207E-2</v>
      </c>
      <c r="P150" s="8">
        <f t="shared" si="31"/>
        <v>8051321.8390804594</v>
      </c>
      <c r="Q150" s="12">
        <f t="shared" si="32"/>
        <v>463000</v>
      </c>
      <c r="R150" s="13">
        <f t="shared" si="33"/>
        <v>5.7506085243374049E-2</v>
      </c>
    </row>
    <row r="151" spans="1:18" x14ac:dyDescent="0.3">
      <c r="A151" s="1">
        <v>5250001</v>
      </c>
      <c r="B151" s="1">
        <v>5300000</v>
      </c>
      <c r="C151" s="9">
        <v>15900</v>
      </c>
      <c r="E151" s="3">
        <f t="shared" si="22"/>
        <v>689000</v>
      </c>
      <c r="F151" s="3">
        <f t="shared" si="23"/>
        <v>598900</v>
      </c>
      <c r="G151" s="2">
        <f t="shared" si="24"/>
        <v>8.2452830188679244E-2</v>
      </c>
      <c r="H151" s="8">
        <f t="shared" si="25"/>
        <v>30000</v>
      </c>
      <c r="I151" s="8">
        <f t="shared" si="26"/>
        <v>467000</v>
      </c>
      <c r="L151" s="8">
        <f t="shared" si="27"/>
        <v>7070800</v>
      </c>
      <c r="M151" s="8">
        <f t="shared" si="28"/>
        <v>7522127.6595744686</v>
      </c>
      <c r="N151" s="12">
        <f t="shared" si="29"/>
        <v>467000</v>
      </c>
      <c r="O151" s="13">
        <f t="shared" si="30"/>
        <v>6.2083498331164784E-2</v>
      </c>
      <c r="P151" s="8">
        <f t="shared" si="31"/>
        <v>8127356.3218390802</v>
      </c>
      <c r="Q151" s="12">
        <f t="shared" si="32"/>
        <v>467000</v>
      </c>
      <c r="R151" s="13">
        <f t="shared" si="33"/>
        <v>5.7460259093737628E-2</v>
      </c>
    </row>
    <row r="152" spans="1:18" x14ac:dyDescent="0.3">
      <c r="A152" s="1">
        <v>5300001</v>
      </c>
      <c r="B152" s="1">
        <v>5350000</v>
      </c>
      <c r="C152" s="9">
        <v>15900</v>
      </c>
      <c r="E152" s="3">
        <f t="shared" si="22"/>
        <v>695500</v>
      </c>
      <c r="F152" s="3">
        <f t="shared" si="23"/>
        <v>604550</v>
      </c>
      <c r="G152" s="2">
        <f t="shared" si="24"/>
        <v>8.2429906542056078E-2</v>
      </c>
      <c r="H152" s="8">
        <f t="shared" si="25"/>
        <v>30000</v>
      </c>
      <c r="I152" s="8">
        <f t="shared" si="26"/>
        <v>471000</v>
      </c>
      <c r="L152" s="8">
        <f t="shared" si="27"/>
        <v>7136950</v>
      </c>
      <c r="M152" s="8">
        <f t="shared" si="28"/>
        <v>7592500</v>
      </c>
      <c r="N152" s="12">
        <f t="shared" si="29"/>
        <v>471000</v>
      </c>
      <c r="O152" s="13">
        <f t="shared" si="30"/>
        <v>6.2034902864669082E-2</v>
      </c>
      <c r="P152" s="8">
        <f t="shared" si="31"/>
        <v>8203390.8045977009</v>
      </c>
      <c r="Q152" s="12">
        <f t="shared" si="32"/>
        <v>471000</v>
      </c>
      <c r="R152" s="13">
        <f t="shared" si="33"/>
        <v>5.7415282438576708E-2</v>
      </c>
    </row>
    <row r="153" spans="1:18" x14ac:dyDescent="0.3">
      <c r="A153" s="1">
        <v>5350001</v>
      </c>
      <c r="B153" s="1">
        <v>5400000</v>
      </c>
      <c r="C153" s="9">
        <v>15900</v>
      </c>
      <c r="E153" s="3">
        <f t="shared" si="22"/>
        <v>702000</v>
      </c>
      <c r="F153" s="3">
        <f t="shared" si="23"/>
        <v>610200</v>
      </c>
      <c r="G153" s="2">
        <f t="shared" si="24"/>
        <v>8.2407407407407415E-2</v>
      </c>
      <c r="H153" s="8">
        <f t="shared" si="25"/>
        <v>30000</v>
      </c>
      <c r="I153" s="8">
        <f t="shared" si="26"/>
        <v>475000.00000000006</v>
      </c>
      <c r="L153" s="8">
        <f t="shared" si="27"/>
        <v>7203100</v>
      </c>
      <c r="M153" s="8">
        <f t="shared" si="28"/>
        <v>7662872.3404255323</v>
      </c>
      <c r="N153" s="12">
        <f t="shared" si="29"/>
        <v>475000</v>
      </c>
      <c r="O153" s="13">
        <f t="shared" si="30"/>
        <v>6.1987199955574682E-2</v>
      </c>
      <c r="P153" s="8">
        <f t="shared" si="31"/>
        <v>8279425.2873563217</v>
      </c>
      <c r="Q153" s="12">
        <f t="shared" si="32"/>
        <v>475000</v>
      </c>
      <c r="R153" s="13">
        <f t="shared" si="33"/>
        <v>5.7371131873776571E-2</v>
      </c>
    </row>
    <row r="154" spans="1:18" x14ac:dyDescent="0.3">
      <c r="A154" s="1">
        <v>5400001</v>
      </c>
      <c r="B154" s="1">
        <v>5450000</v>
      </c>
      <c r="C154" s="9">
        <v>15900</v>
      </c>
      <c r="E154" s="3">
        <f t="shared" si="22"/>
        <v>708500</v>
      </c>
      <c r="F154" s="3">
        <f t="shared" si="23"/>
        <v>615850</v>
      </c>
      <c r="G154" s="2">
        <f t="shared" si="24"/>
        <v>8.2385321100917439E-2</v>
      </c>
      <c r="H154" s="8">
        <f t="shared" si="25"/>
        <v>30000</v>
      </c>
      <c r="I154" s="8">
        <f t="shared" si="26"/>
        <v>479000.00000000006</v>
      </c>
      <c r="L154" s="8">
        <f t="shared" si="27"/>
        <v>7269250</v>
      </c>
      <c r="M154" s="8">
        <f t="shared" si="28"/>
        <v>7733244.6808510646</v>
      </c>
      <c r="N154" s="12">
        <f t="shared" si="29"/>
        <v>479000</v>
      </c>
      <c r="O154" s="13">
        <f t="shared" si="30"/>
        <v>6.1940365237128994E-2</v>
      </c>
      <c r="P154" s="8">
        <f t="shared" si="31"/>
        <v>8355459.7701149425</v>
      </c>
      <c r="Q154" s="12">
        <f t="shared" si="32"/>
        <v>479000</v>
      </c>
      <c r="R154" s="13">
        <f t="shared" si="33"/>
        <v>5.7327784847130032E-2</v>
      </c>
    </row>
    <row r="155" spans="1:18" x14ac:dyDescent="0.3">
      <c r="A155" s="1">
        <v>5450001</v>
      </c>
      <c r="B155" s="1">
        <v>5500000</v>
      </c>
      <c r="C155" s="9">
        <v>15900</v>
      </c>
      <c r="E155" s="3">
        <f t="shared" si="22"/>
        <v>715000</v>
      </c>
      <c r="F155" s="3">
        <f t="shared" si="23"/>
        <v>621500</v>
      </c>
      <c r="G155" s="2">
        <f t="shared" si="24"/>
        <v>8.2363636363636361E-2</v>
      </c>
      <c r="H155" s="8">
        <f t="shared" si="25"/>
        <v>30000</v>
      </c>
      <c r="I155" s="8">
        <f t="shared" si="26"/>
        <v>483000</v>
      </c>
      <c r="L155" s="8">
        <f t="shared" si="27"/>
        <v>7335400</v>
      </c>
      <c r="M155" s="8">
        <f t="shared" si="28"/>
        <v>7803617.021276596</v>
      </c>
      <c r="N155" s="12">
        <f t="shared" si="29"/>
        <v>483000</v>
      </c>
      <c r="O155" s="13">
        <f t="shared" si="30"/>
        <v>6.1894375221528478E-2</v>
      </c>
      <c r="P155" s="8">
        <f t="shared" si="31"/>
        <v>8431494.2528735641</v>
      </c>
      <c r="Q155" s="12">
        <f t="shared" si="32"/>
        <v>483000.00000000093</v>
      </c>
      <c r="R155" s="13">
        <f t="shared" si="33"/>
        <v>5.7285219619925401E-2</v>
      </c>
    </row>
    <row r="156" spans="1:18" x14ac:dyDescent="0.3">
      <c r="A156" s="1">
        <v>5500001</v>
      </c>
      <c r="B156" s="1">
        <v>5550000</v>
      </c>
      <c r="C156" s="9">
        <v>15900</v>
      </c>
      <c r="E156" s="3">
        <f t="shared" si="22"/>
        <v>721500</v>
      </c>
      <c r="F156" s="3">
        <f t="shared" si="23"/>
        <v>627150</v>
      </c>
      <c r="G156" s="2">
        <f t="shared" si="24"/>
        <v>8.2342342342342348E-2</v>
      </c>
      <c r="H156" s="8">
        <f t="shared" si="25"/>
        <v>30000</v>
      </c>
      <c r="I156" s="8">
        <f t="shared" si="26"/>
        <v>487000.00000000006</v>
      </c>
      <c r="L156" s="8">
        <f t="shared" si="27"/>
        <v>7401550</v>
      </c>
      <c r="M156" s="8">
        <f t="shared" si="28"/>
        <v>7873989.3617021283</v>
      </c>
      <c r="N156" s="12">
        <f t="shared" si="29"/>
        <v>487000</v>
      </c>
      <c r="O156" s="13">
        <f t="shared" si="30"/>
        <v>6.1849207260641345E-2</v>
      </c>
      <c r="P156" s="8">
        <f t="shared" si="31"/>
        <v>8507528.735632183</v>
      </c>
      <c r="Q156" s="12">
        <f t="shared" si="32"/>
        <v>486999.99999999907</v>
      </c>
      <c r="R156" s="13">
        <f t="shared" si="33"/>
        <v>5.7243415230593488E-2</v>
      </c>
    </row>
    <row r="157" spans="1:18" x14ac:dyDescent="0.3">
      <c r="A157" s="1">
        <v>5550001</v>
      </c>
      <c r="B157" s="1">
        <v>5600000</v>
      </c>
      <c r="C157" s="9">
        <v>15900</v>
      </c>
      <c r="E157" s="3">
        <f t="shared" si="22"/>
        <v>728000</v>
      </c>
      <c r="F157" s="3">
        <f t="shared" si="23"/>
        <v>632800</v>
      </c>
      <c r="G157" s="2">
        <f t="shared" si="24"/>
        <v>8.2321428571428573E-2</v>
      </c>
      <c r="H157" s="8">
        <f t="shared" si="25"/>
        <v>30000</v>
      </c>
      <c r="I157" s="8">
        <f t="shared" si="26"/>
        <v>491000</v>
      </c>
      <c r="L157" s="8">
        <f t="shared" si="27"/>
        <v>7467700</v>
      </c>
      <c r="M157" s="8">
        <f t="shared" si="28"/>
        <v>7944361.7021276597</v>
      </c>
      <c r="N157" s="12">
        <f t="shared" si="29"/>
        <v>491000</v>
      </c>
      <c r="O157" s="13">
        <f t="shared" si="30"/>
        <v>6.1804839508817974E-2</v>
      </c>
      <c r="P157" s="8">
        <f t="shared" si="31"/>
        <v>8583563.2183908038</v>
      </c>
      <c r="Q157" s="12">
        <f t="shared" si="32"/>
        <v>490999.99999999907</v>
      </c>
      <c r="R157" s="13">
        <f t="shared" si="33"/>
        <v>5.7202351460288875E-2</v>
      </c>
    </row>
    <row r="158" spans="1:18" x14ac:dyDescent="0.3">
      <c r="A158" s="1">
        <v>5600001</v>
      </c>
      <c r="B158" s="1">
        <v>5650000</v>
      </c>
      <c r="C158" s="9">
        <v>15900</v>
      </c>
      <c r="E158" s="3">
        <f t="shared" si="22"/>
        <v>734500</v>
      </c>
      <c r="F158" s="3">
        <f t="shared" si="23"/>
        <v>638450</v>
      </c>
      <c r="G158" s="2">
        <f t="shared" si="24"/>
        <v>8.2300884955752218E-2</v>
      </c>
      <c r="H158" s="8">
        <f t="shared" si="25"/>
        <v>30000</v>
      </c>
      <c r="I158" s="8">
        <f t="shared" si="26"/>
        <v>495000.00000000006</v>
      </c>
      <c r="L158" s="8">
        <f t="shared" si="27"/>
        <v>7533850</v>
      </c>
      <c r="M158" s="8">
        <f t="shared" si="28"/>
        <v>8014734.042553192</v>
      </c>
      <c r="N158" s="12">
        <f t="shared" si="29"/>
        <v>495000</v>
      </c>
      <c r="O158" s="13">
        <f t="shared" si="30"/>
        <v>6.1761250887660359E-2</v>
      </c>
      <c r="P158" s="8">
        <f t="shared" si="31"/>
        <v>8659597.7011494245</v>
      </c>
      <c r="Q158" s="12">
        <f t="shared" si="32"/>
        <v>494999.99999999907</v>
      </c>
      <c r="R158" s="13">
        <f t="shared" si="33"/>
        <v>5.7162008800281293E-2</v>
      </c>
    </row>
    <row r="159" spans="1:18" x14ac:dyDescent="0.3">
      <c r="A159" s="1">
        <v>5650001</v>
      </c>
      <c r="B159" s="1">
        <v>5700000</v>
      </c>
      <c r="C159" s="9">
        <v>15900</v>
      </c>
      <c r="E159" s="3">
        <f t="shared" si="22"/>
        <v>741000</v>
      </c>
      <c r="F159" s="3">
        <f t="shared" si="23"/>
        <v>644100</v>
      </c>
      <c r="G159" s="2">
        <f t="shared" si="24"/>
        <v>8.2280701754385968E-2</v>
      </c>
      <c r="H159" s="8">
        <f t="shared" si="25"/>
        <v>30000</v>
      </c>
      <c r="I159" s="8">
        <f t="shared" si="26"/>
        <v>499000</v>
      </c>
      <c r="L159" s="8">
        <f t="shared" si="27"/>
        <v>7600000</v>
      </c>
      <c r="M159" s="8">
        <f t="shared" si="28"/>
        <v>8085106.3829787243</v>
      </c>
      <c r="N159" s="12">
        <f t="shared" si="29"/>
        <v>499000</v>
      </c>
      <c r="O159" s="13">
        <f t="shared" si="30"/>
        <v>6.1718421052631575E-2</v>
      </c>
      <c r="P159" s="8">
        <f t="shared" si="31"/>
        <v>8735632.1839080453</v>
      </c>
      <c r="Q159" s="12">
        <f t="shared" si="32"/>
        <v>498999.99999999907</v>
      </c>
      <c r="R159" s="13">
        <f t="shared" si="33"/>
        <v>5.7122368421052533E-2</v>
      </c>
    </row>
    <row r="160" spans="1:18" x14ac:dyDescent="0.3">
      <c r="A160" s="1">
        <v>5700001</v>
      </c>
      <c r="B160" s="1">
        <v>5750000</v>
      </c>
      <c r="C160" s="9">
        <v>15900</v>
      </c>
      <c r="E160" s="3">
        <f t="shared" si="22"/>
        <v>747500</v>
      </c>
      <c r="F160" s="3">
        <f t="shared" si="23"/>
        <v>649750</v>
      </c>
      <c r="G160" s="2">
        <f t="shared" si="24"/>
        <v>8.2260869565217387E-2</v>
      </c>
      <c r="H160" s="8">
        <f t="shared" si="25"/>
        <v>30000</v>
      </c>
      <c r="I160" s="8">
        <f t="shared" si="26"/>
        <v>503000</v>
      </c>
      <c r="L160" s="8">
        <f t="shared" si="27"/>
        <v>7666150</v>
      </c>
      <c r="M160" s="8">
        <f t="shared" si="28"/>
        <v>8155478.7234042557</v>
      </c>
      <c r="N160" s="12">
        <f t="shared" si="29"/>
        <v>503000</v>
      </c>
      <c r="O160" s="13">
        <f t="shared" si="30"/>
        <v>6.1676330361393916E-2</v>
      </c>
      <c r="P160" s="8">
        <f t="shared" si="31"/>
        <v>8811666.666666666</v>
      </c>
      <c r="Q160" s="12">
        <f t="shared" si="32"/>
        <v>502999.99999999907</v>
      </c>
      <c r="R160" s="13">
        <f t="shared" si="33"/>
        <v>5.7083412142992146E-2</v>
      </c>
    </row>
    <row r="161" spans="1:18" x14ac:dyDescent="0.3">
      <c r="A161" s="1">
        <v>5750001</v>
      </c>
      <c r="B161" s="1">
        <v>5800000</v>
      </c>
      <c r="C161" s="9">
        <v>15900</v>
      </c>
      <c r="E161" s="3">
        <f t="shared" ref="E161:E224" si="34">B161*13%</f>
        <v>754000</v>
      </c>
      <c r="F161" s="3">
        <f t="shared" ref="F161:F224" si="35">(B161+E161)*10%</f>
        <v>655400</v>
      </c>
      <c r="G161" s="2">
        <f t="shared" si="24"/>
        <v>8.2241379310344823E-2</v>
      </c>
      <c r="H161" s="8">
        <f t="shared" si="25"/>
        <v>30000</v>
      </c>
      <c r="I161" s="8">
        <f t="shared" si="26"/>
        <v>507000</v>
      </c>
      <c r="L161" s="8">
        <f t="shared" si="27"/>
        <v>7732300</v>
      </c>
      <c r="M161" s="8">
        <f t="shared" si="28"/>
        <v>8225851.063829788</v>
      </c>
      <c r="N161" s="12">
        <f t="shared" si="29"/>
        <v>507000</v>
      </c>
      <c r="O161" s="13">
        <f t="shared" si="30"/>
        <v>6.1634959843772222E-2</v>
      </c>
      <c r="P161" s="8">
        <f t="shared" si="31"/>
        <v>8887701.1494252868</v>
      </c>
      <c r="Q161" s="12">
        <f t="shared" si="32"/>
        <v>506999.99999999907</v>
      </c>
      <c r="R161" s="13">
        <f t="shared" si="33"/>
        <v>5.7045122408597597E-2</v>
      </c>
    </row>
    <row r="162" spans="1:18" x14ac:dyDescent="0.3">
      <c r="A162" s="1">
        <v>5800001</v>
      </c>
      <c r="B162" s="1">
        <v>5850000</v>
      </c>
      <c r="C162" s="9">
        <v>15900</v>
      </c>
      <c r="E162" s="3">
        <f t="shared" si="34"/>
        <v>760500</v>
      </c>
      <c r="F162" s="3">
        <f t="shared" si="35"/>
        <v>661050</v>
      </c>
      <c r="G162" s="2">
        <f t="shared" si="24"/>
        <v>8.2222222222222224E-2</v>
      </c>
      <c r="H162" s="8">
        <f t="shared" si="25"/>
        <v>30000</v>
      </c>
      <c r="I162" s="8">
        <f t="shared" si="26"/>
        <v>511000</v>
      </c>
      <c r="L162" s="8">
        <f t="shared" si="27"/>
        <v>7798450</v>
      </c>
      <c r="M162" s="8">
        <f t="shared" si="28"/>
        <v>8296223.4042553194</v>
      </c>
      <c r="N162" s="12">
        <f t="shared" si="29"/>
        <v>511000</v>
      </c>
      <c r="O162" s="13">
        <f t="shared" si="30"/>
        <v>6.1594291173245962E-2</v>
      </c>
      <c r="P162" s="8">
        <f t="shared" si="31"/>
        <v>8963735.6321839076</v>
      </c>
      <c r="Q162" s="12">
        <f t="shared" si="32"/>
        <v>510999.99999999907</v>
      </c>
      <c r="R162" s="13">
        <f t="shared" si="33"/>
        <v>5.7007482256089252E-2</v>
      </c>
    </row>
    <row r="163" spans="1:18" x14ac:dyDescent="0.3">
      <c r="A163" s="1">
        <v>5850001</v>
      </c>
      <c r="B163" s="1">
        <v>5900000</v>
      </c>
      <c r="C163" s="9">
        <v>15900</v>
      </c>
      <c r="E163" s="3">
        <f t="shared" si="34"/>
        <v>767000</v>
      </c>
      <c r="F163" s="3">
        <f t="shared" si="35"/>
        <v>666700</v>
      </c>
      <c r="G163" s="2">
        <f t="shared" si="24"/>
        <v>8.2203389830508483E-2</v>
      </c>
      <c r="H163" s="8">
        <f t="shared" si="25"/>
        <v>30000</v>
      </c>
      <c r="I163" s="8">
        <f t="shared" si="26"/>
        <v>515000.00000000006</v>
      </c>
      <c r="L163" s="8">
        <f t="shared" si="27"/>
        <v>7864600</v>
      </c>
      <c r="M163" s="8">
        <f t="shared" si="28"/>
        <v>8366595.7446808517</v>
      </c>
      <c r="N163" s="12">
        <f t="shared" si="29"/>
        <v>515000</v>
      </c>
      <c r="O163" s="13">
        <f t="shared" si="30"/>
        <v>6.1554306639879965E-2</v>
      </c>
      <c r="P163" s="8">
        <f t="shared" si="31"/>
        <v>9039770.1149425283</v>
      </c>
      <c r="Q163" s="12">
        <f t="shared" si="32"/>
        <v>515000</v>
      </c>
      <c r="R163" s="13">
        <f t="shared" si="33"/>
        <v>5.6970475294356997E-2</v>
      </c>
    </row>
    <row r="164" spans="1:18" x14ac:dyDescent="0.3">
      <c r="A164" s="1">
        <v>5900001</v>
      </c>
      <c r="B164" s="1">
        <v>5950000</v>
      </c>
      <c r="C164" s="9">
        <v>15900</v>
      </c>
      <c r="E164" s="3">
        <f t="shared" si="34"/>
        <v>773500</v>
      </c>
      <c r="F164" s="3">
        <f t="shared" si="35"/>
        <v>672350</v>
      </c>
      <c r="G164" s="2">
        <f t="shared" si="24"/>
        <v>8.2184873949579837E-2</v>
      </c>
      <c r="H164" s="8">
        <f t="shared" si="25"/>
        <v>30000</v>
      </c>
      <c r="I164" s="8">
        <f t="shared" si="26"/>
        <v>519000.00000000006</v>
      </c>
      <c r="L164" s="8">
        <f t="shared" si="27"/>
        <v>7930750</v>
      </c>
      <c r="M164" s="8">
        <f t="shared" si="28"/>
        <v>8436968.085106384</v>
      </c>
      <c r="N164" s="12">
        <f t="shared" si="29"/>
        <v>519000.00000000093</v>
      </c>
      <c r="O164" s="13">
        <f t="shared" si="30"/>
        <v>6.1514989124610009E-2</v>
      </c>
      <c r="P164" s="8">
        <f t="shared" si="31"/>
        <v>9115804.5977011491</v>
      </c>
      <c r="Q164" s="12">
        <f t="shared" si="32"/>
        <v>519000</v>
      </c>
      <c r="R164" s="13">
        <f t="shared" si="33"/>
        <v>5.693408567916023E-2</v>
      </c>
    </row>
    <row r="165" spans="1:18" x14ac:dyDescent="0.3">
      <c r="A165" s="1">
        <v>5950001</v>
      </c>
      <c r="B165" s="1">
        <v>6000000</v>
      </c>
      <c r="C165" s="9">
        <v>15900</v>
      </c>
      <c r="E165" s="3">
        <f t="shared" si="34"/>
        <v>780000</v>
      </c>
      <c r="F165" s="3">
        <f t="shared" si="35"/>
        <v>678000</v>
      </c>
      <c r="G165" s="2">
        <f t="shared" si="24"/>
        <v>8.2166666666666666E-2</v>
      </c>
      <c r="H165" s="8">
        <f t="shared" si="25"/>
        <v>30000</v>
      </c>
      <c r="I165" s="8">
        <f t="shared" si="26"/>
        <v>523000</v>
      </c>
      <c r="L165" s="8">
        <f t="shared" si="27"/>
        <v>7996900</v>
      </c>
      <c r="M165" s="8">
        <f t="shared" si="28"/>
        <v>8507340.4255319145</v>
      </c>
      <c r="N165" s="12">
        <f t="shared" si="29"/>
        <v>522999.99999999907</v>
      </c>
      <c r="O165" s="13">
        <f t="shared" si="30"/>
        <v>6.1476322074803878E-2</v>
      </c>
      <c r="P165" s="8">
        <f t="shared" si="31"/>
        <v>9191839.0804597698</v>
      </c>
      <c r="Q165" s="12">
        <f t="shared" si="32"/>
        <v>523000</v>
      </c>
      <c r="R165" s="13">
        <f t="shared" si="33"/>
        <v>5.6898298090510072E-2</v>
      </c>
    </row>
    <row r="166" spans="1:18" x14ac:dyDescent="0.3">
      <c r="A166" s="1">
        <v>6000001</v>
      </c>
      <c r="B166" s="1">
        <v>6050000</v>
      </c>
      <c r="C166" s="9">
        <v>15900</v>
      </c>
      <c r="E166" s="3">
        <f t="shared" si="34"/>
        <v>786500</v>
      </c>
      <c r="F166" s="3">
        <f t="shared" si="35"/>
        <v>683650</v>
      </c>
      <c r="G166" s="2">
        <f t="shared" si="24"/>
        <v>8.214876033057851E-2</v>
      </c>
      <c r="H166" s="8">
        <f t="shared" si="25"/>
        <v>30000</v>
      </c>
      <c r="I166" s="8">
        <f t="shared" si="26"/>
        <v>527000</v>
      </c>
      <c r="L166" s="8">
        <f t="shared" si="27"/>
        <v>8063050</v>
      </c>
      <c r="M166" s="8">
        <f t="shared" si="28"/>
        <v>8577712.7659574468</v>
      </c>
      <c r="N166" s="12">
        <f t="shared" si="29"/>
        <v>526999.99999999907</v>
      </c>
      <c r="O166" s="13">
        <f t="shared" si="30"/>
        <v>6.1438289481027544E-2</v>
      </c>
      <c r="P166" s="8">
        <f t="shared" si="31"/>
        <v>9267873.5632183906</v>
      </c>
      <c r="Q166" s="12">
        <f t="shared" si="32"/>
        <v>527000</v>
      </c>
      <c r="R166" s="13">
        <f t="shared" si="33"/>
        <v>5.6863097711163893E-2</v>
      </c>
    </row>
    <row r="167" spans="1:18" x14ac:dyDescent="0.3">
      <c r="A167" s="1">
        <v>6050001</v>
      </c>
      <c r="B167" s="1">
        <v>6100000</v>
      </c>
      <c r="C167" s="9">
        <v>15900</v>
      </c>
      <c r="E167" s="3">
        <f t="shared" si="34"/>
        <v>793000</v>
      </c>
      <c r="F167" s="3">
        <f t="shared" si="35"/>
        <v>689300</v>
      </c>
      <c r="G167" s="2">
        <f t="shared" si="24"/>
        <v>8.2131147540983607E-2</v>
      </c>
      <c r="H167" s="8">
        <f t="shared" si="25"/>
        <v>30000</v>
      </c>
      <c r="I167" s="8">
        <f t="shared" si="26"/>
        <v>531000</v>
      </c>
      <c r="L167" s="8">
        <f t="shared" si="27"/>
        <v>8129200</v>
      </c>
      <c r="M167" s="8">
        <f t="shared" si="28"/>
        <v>8648085.1063829791</v>
      </c>
      <c r="N167" s="12">
        <f t="shared" si="29"/>
        <v>531000</v>
      </c>
      <c r="O167" s="13">
        <f t="shared" si="30"/>
        <v>6.1400875854942673E-2</v>
      </c>
      <c r="P167" s="8">
        <f t="shared" si="31"/>
        <v>9343908.0459770113</v>
      </c>
      <c r="Q167" s="12">
        <f t="shared" si="32"/>
        <v>531000</v>
      </c>
      <c r="R167" s="13">
        <f t="shared" si="33"/>
        <v>5.6828470206170351E-2</v>
      </c>
    </row>
    <row r="168" spans="1:18" x14ac:dyDescent="0.3">
      <c r="A168" s="1">
        <v>6100001</v>
      </c>
      <c r="B168" s="1">
        <v>6150000</v>
      </c>
      <c r="C168" s="9">
        <v>15900</v>
      </c>
      <c r="E168" s="3">
        <f t="shared" si="34"/>
        <v>799500</v>
      </c>
      <c r="F168" s="3">
        <f t="shared" si="35"/>
        <v>694950</v>
      </c>
      <c r="G168" s="2">
        <f t="shared" si="24"/>
        <v>8.211382113821139E-2</v>
      </c>
      <c r="H168" s="8">
        <f t="shared" si="25"/>
        <v>30000</v>
      </c>
      <c r="I168" s="8">
        <f t="shared" si="26"/>
        <v>535000</v>
      </c>
      <c r="L168" s="8">
        <f t="shared" si="27"/>
        <v>8195350</v>
      </c>
      <c r="M168" s="8">
        <f t="shared" si="28"/>
        <v>8718457.4468085114</v>
      </c>
      <c r="N168" s="12">
        <f t="shared" si="29"/>
        <v>535000</v>
      </c>
      <c r="O168" s="13">
        <f t="shared" si="30"/>
        <v>6.1364066208276641E-2</v>
      </c>
      <c r="P168" s="8">
        <f t="shared" si="31"/>
        <v>9419942.5287356321</v>
      </c>
      <c r="Q168" s="12">
        <f t="shared" si="32"/>
        <v>535000</v>
      </c>
      <c r="R168" s="13">
        <f t="shared" si="33"/>
        <v>5.6794401703404981E-2</v>
      </c>
    </row>
    <row r="169" spans="1:18" x14ac:dyDescent="0.3">
      <c r="A169" s="1">
        <v>6150001</v>
      </c>
      <c r="B169" s="1">
        <v>6200000</v>
      </c>
      <c r="C169" s="9">
        <v>15900</v>
      </c>
      <c r="E169" s="3">
        <f t="shared" si="34"/>
        <v>806000</v>
      </c>
      <c r="F169" s="3">
        <f t="shared" si="35"/>
        <v>700600</v>
      </c>
      <c r="G169" s="2">
        <f t="shared" si="24"/>
        <v>8.2096774193548383E-2</v>
      </c>
      <c r="H169" s="8">
        <f t="shared" si="25"/>
        <v>30000</v>
      </c>
      <c r="I169" s="8">
        <f t="shared" si="26"/>
        <v>539000</v>
      </c>
      <c r="L169" s="8">
        <f t="shared" si="27"/>
        <v>8261500</v>
      </c>
      <c r="M169" s="8">
        <f t="shared" si="28"/>
        <v>8788829.7872340437</v>
      </c>
      <c r="N169" s="12">
        <f t="shared" si="29"/>
        <v>539000.00000000093</v>
      </c>
      <c r="O169" s="13">
        <f t="shared" si="30"/>
        <v>6.1327846032802856E-2</v>
      </c>
      <c r="P169" s="8">
        <f t="shared" si="31"/>
        <v>9495977.0114942528</v>
      </c>
      <c r="Q169" s="12">
        <f t="shared" si="32"/>
        <v>539000</v>
      </c>
      <c r="R169" s="13">
        <f t="shared" si="33"/>
        <v>5.6760878775040852E-2</v>
      </c>
    </row>
    <row r="170" spans="1:18" x14ac:dyDescent="0.3">
      <c r="A170" s="1">
        <v>6200001</v>
      </c>
      <c r="B170" s="1">
        <v>6250000</v>
      </c>
      <c r="C170" s="9">
        <v>15900</v>
      </c>
      <c r="E170" s="3">
        <f t="shared" si="34"/>
        <v>812500</v>
      </c>
      <c r="F170" s="3">
        <f t="shared" si="35"/>
        <v>706250</v>
      </c>
      <c r="G170" s="2">
        <f t="shared" si="24"/>
        <v>8.208E-2</v>
      </c>
      <c r="H170" s="8">
        <f t="shared" si="25"/>
        <v>30000</v>
      </c>
      <c r="I170" s="8">
        <f t="shared" si="26"/>
        <v>543000</v>
      </c>
      <c r="L170" s="8">
        <f t="shared" si="27"/>
        <v>8327650</v>
      </c>
      <c r="M170" s="8">
        <f t="shared" si="28"/>
        <v>8859202.1276595742</v>
      </c>
      <c r="N170" s="12">
        <f t="shared" si="29"/>
        <v>542999.99999999907</v>
      </c>
      <c r="O170" s="13">
        <f t="shared" si="30"/>
        <v>6.1292201281273724E-2</v>
      </c>
      <c r="P170" s="8">
        <f t="shared" si="31"/>
        <v>9572011.4942528736</v>
      </c>
      <c r="Q170" s="12">
        <f t="shared" si="32"/>
        <v>543000</v>
      </c>
      <c r="R170" s="13">
        <f t="shared" si="33"/>
        <v>5.6727888419902374E-2</v>
      </c>
    </row>
    <row r="171" spans="1:18" x14ac:dyDescent="0.3">
      <c r="A171" s="1">
        <v>6250001</v>
      </c>
      <c r="B171" s="1">
        <v>6300000</v>
      </c>
      <c r="C171" s="9">
        <v>15900</v>
      </c>
      <c r="E171" s="3">
        <f t="shared" si="34"/>
        <v>819000</v>
      </c>
      <c r="F171" s="3">
        <f t="shared" si="35"/>
        <v>711900</v>
      </c>
      <c r="G171" s="2">
        <f t="shared" si="24"/>
        <v>8.2063492063492061E-2</v>
      </c>
      <c r="H171" s="8">
        <f t="shared" si="25"/>
        <v>30000</v>
      </c>
      <c r="I171" s="8">
        <f t="shared" si="26"/>
        <v>547000</v>
      </c>
      <c r="L171" s="8">
        <f t="shared" si="27"/>
        <v>8393800</v>
      </c>
      <c r="M171" s="8">
        <f t="shared" si="28"/>
        <v>8929574.4680851065</v>
      </c>
      <c r="N171" s="12">
        <f t="shared" si="29"/>
        <v>547000</v>
      </c>
      <c r="O171" s="13">
        <f t="shared" si="30"/>
        <v>6.1257118349257782E-2</v>
      </c>
      <c r="P171" s="8">
        <f t="shared" si="31"/>
        <v>9648045.9770114943</v>
      </c>
      <c r="Q171" s="12">
        <f t="shared" si="32"/>
        <v>547000</v>
      </c>
      <c r="R171" s="13">
        <f t="shared" si="33"/>
        <v>5.6695418046653484E-2</v>
      </c>
    </row>
    <row r="172" spans="1:18" x14ac:dyDescent="0.3">
      <c r="A172" s="1">
        <v>6300001</v>
      </c>
      <c r="B172" s="1">
        <v>6350000</v>
      </c>
      <c r="C172" s="9">
        <v>15900</v>
      </c>
      <c r="E172" s="3">
        <f t="shared" si="34"/>
        <v>825500</v>
      </c>
      <c r="F172" s="3">
        <f t="shared" si="35"/>
        <v>717550</v>
      </c>
      <c r="G172" s="2">
        <f t="shared" si="24"/>
        <v>8.2047244094488186E-2</v>
      </c>
      <c r="H172" s="8">
        <f t="shared" si="25"/>
        <v>30000</v>
      </c>
      <c r="I172" s="8">
        <f t="shared" si="26"/>
        <v>551000</v>
      </c>
      <c r="L172" s="8">
        <f t="shared" si="27"/>
        <v>8459950</v>
      </c>
      <c r="M172" s="8">
        <f t="shared" si="28"/>
        <v>8999946.8085106388</v>
      </c>
      <c r="N172" s="12">
        <f t="shared" si="29"/>
        <v>551000</v>
      </c>
      <c r="O172" s="13">
        <f t="shared" si="30"/>
        <v>6.1222584057825401E-2</v>
      </c>
      <c r="P172" s="8">
        <f t="shared" si="31"/>
        <v>9724080.4597701151</v>
      </c>
      <c r="Q172" s="12">
        <f t="shared" si="32"/>
        <v>551000</v>
      </c>
      <c r="R172" s="13">
        <f t="shared" si="33"/>
        <v>5.666345545777457E-2</v>
      </c>
    </row>
    <row r="173" spans="1:18" x14ac:dyDescent="0.3">
      <c r="A173" s="1">
        <v>6350001</v>
      </c>
      <c r="B173" s="1">
        <v>6400000</v>
      </c>
      <c r="C173" s="9">
        <v>15900</v>
      </c>
      <c r="E173" s="3">
        <f t="shared" si="34"/>
        <v>832000</v>
      </c>
      <c r="F173" s="3">
        <f t="shared" si="35"/>
        <v>723200</v>
      </c>
      <c r="G173" s="2">
        <f t="shared" si="24"/>
        <v>8.203125E-2</v>
      </c>
      <c r="H173" s="8">
        <f t="shared" si="25"/>
        <v>30000</v>
      </c>
      <c r="I173" s="8">
        <f t="shared" si="26"/>
        <v>555000</v>
      </c>
      <c r="L173" s="8">
        <f t="shared" si="27"/>
        <v>8526100</v>
      </c>
      <c r="M173" s="8">
        <f t="shared" si="28"/>
        <v>9070319.1489361711</v>
      </c>
      <c r="N173" s="12">
        <f t="shared" si="29"/>
        <v>555000</v>
      </c>
      <c r="O173" s="13">
        <f t="shared" si="30"/>
        <v>6.1188585637043894E-2</v>
      </c>
      <c r="P173" s="8">
        <f t="shared" si="31"/>
        <v>9800114.9425287358</v>
      </c>
      <c r="Q173" s="12">
        <f t="shared" si="32"/>
        <v>555000</v>
      </c>
      <c r="R173" s="13">
        <f t="shared" si="33"/>
        <v>5.6631988834285309E-2</v>
      </c>
    </row>
    <row r="174" spans="1:18" x14ac:dyDescent="0.3">
      <c r="A174" s="1">
        <v>6400001</v>
      </c>
      <c r="B174" s="1">
        <v>6450000</v>
      </c>
      <c r="C174" s="9">
        <v>15900</v>
      </c>
      <c r="E174" s="3">
        <f t="shared" si="34"/>
        <v>838500</v>
      </c>
      <c r="F174" s="3">
        <f t="shared" si="35"/>
        <v>728850</v>
      </c>
      <c r="G174" s="2">
        <f t="shared" si="24"/>
        <v>8.2015503875968995E-2</v>
      </c>
      <c r="H174" s="8">
        <f t="shared" si="25"/>
        <v>30000</v>
      </c>
      <c r="I174" s="8">
        <f t="shared" si="26"/>
        <v>559000</v>
      </c>
      <c r="L174" s="8">
        <f t="shared" si="27"/>
        <v>8592250</v>
      </c>
      <c r="M174" s="8">
        <f t="shared" si="28"/>
        <v>9140691.4893617034</v>
      </c>
      <c r="N174" s="12">
        <f t="shared" si="29"/>
        <v>559000</v>
      </c>
      <c r="O174" s="13">
        <f t="shared" si="30"/>
        <v>6.1155110710233052E-2</v>
      </c>
      <c r="P174" s="8">
        <f t="shared" si="31"/>
        <v>9876149.4252873566</v>
      </c>
      <c r="Q174" s="12">
        <f t="shared" si="32"/>
        <v>559000</v>
      </c>
      <c r="R174" s="13">
        <f t="shared" si="33"/>
        <v>5.6601006721173151E-2</v>
      </c>
    </row>
    <row r="175" spans="1:18" x14ac:dyDescent="0.3">
      <c r="A175" s="1">
        <v>6450001</v>
      </c>
      <c r="B175" s="1">
        <v>6500000</v>
      </c>
      <c r="C175" s="9">
        <v>15900</v>
      </c>
      <c r="E175" s="3">
        <f t="shared" si="34"/>
        <v>845000</v>
      </c>
      <c r="F175" s="3">
        <f t="shared" si="35"/>
        <v>734500</v>
      </c>
      <c r="G175" s="2">
        <f t="shared" si="24"/>
        <v>8.2000000000000003E-2</v>
      </c>
      <c r="H175" s="8">
        <f t="shared" si="25"/>
        <v>30000</v>
      </c>
      <c r="I175" s="8">
        <f t="shared" si="26"/>
        <v>563000</v>
      </c>
      <c r="L175" s="8">
        <f t="shared" si="27"/>
        <v>8658400</v>
      </c>
      <c r="M175" s="8">
        <f t="shared" si="28"/>
        <v>9211063.8297872338</v>
      </c>
      <c r="N175" s="12">
        <f t="shared" si="29"/>
        <v>563000</v>
      </c>
      <c r="O175" s="13">
        <f t="shared" si="30"/>
        <v>6.1122147278942995E-2</v>
      </c>
      <c r="P175" s="8">
        <f t="shared" si="31"/>
        <v>9952183.9080459774</v>
      </c>
      <c r="Q175" s="12">
        <f t="shared" si="32"/>
        <v>563000</v>
      </c>
      <c r="R175" s="13">
        <f t="shared" si="33"/>
        <v>5.6570498013489789E-2</v>
      </c>
    </row>
    <row r="176" spans="1:18" x14ac:dyDescent="0.3">
      <c r="A176" s="1">
        <v>6500001</v>
      </c>
      <c r="B176" s="1">
        <v>6550000</v>
      </c>
      <c r="C176" s="9">
        <v>15900</v>
      </c>
      <c r="E176" s="3">
        <f t="shared" si="34"/>
        <v>851500</v>
      </c>
      <c r="F176" s="3">
        <f t="shared" si="35"/>
        <v>740150</v>
      </c>
      <c r="G176" s="2">
        <f t="shared" si="24"/>
        <v>8.1984732824427489E-2</v>
      </c>
      <c r="H176" s="8">
        <f t="shared" si="25"/>
        <v>30000</v>
      </c>
      <c r="I176" s="8">
        <f t="shared" si="26"/>
        <v>567000</v>
      </c>
      <c r="L176" s="8">
        <f t="shared" si="27"/>
        <v>8724550</v>
      </c>
      <c r="M176" s="8">
        <f t="shared" si="28"/>
        <v>9281436.1702127662</v>
      </c>
      <c r="N176" s="12">
        <f t="shared" si="29"/>
        <v>567000</v>
      </c>
      <c r="O176" s="13">
        <f t="shared" si="30"/>
        <v>6.1089683708615346E-2</v>
      </c>
      <c r="P176" s="8">
        <f t="shared" si="31"/>
        <v>10028218.390804598</v>
      </c>
      <c r="Q176" s="12">
        <f t="shared" si="32"/>
        <v>567000</v>
      </c>
      <c r="R176" s="13">
        <f t="shared" si="33"/>
        <v>5.6540451943080154E-2</v>
      </c>
    </row>
    <row r="177" spans="1:18" x14ac:dyDescent="0.3">
      <c r="A177" s="1">
        <v>6550001</v>
      </c>
      <c r="B177" s="1">
        <v>6600000</v>
      </c>
      <c r="C177" s="9">
        <v>15900</v>
      </c>
      <c r="E177" s="3">
        <f t="shared" si="34"/>
        <v>858000</v>
      </c>
      <c r="F177" s="3">
        <f t="shared" si="35"/>
        <v>745800</v>
      </c>
      <c r="G177" s="2">
        <f t="shared" si="24"/>
        <v>8.196969696969697E-2</v>
      </c>
      <c r="H177" s="8">
        <f t="shared" si="25"/>
        <v>30000</v>
      </c>
      <c r="I177" s="8">
        <f t="shared" si="26"/>
        <v>571000</v>
      </c>
      <c r="L177" s="8">
        <f t="shared" si="27"/>
        <v>8790700</v>
      </c>
      <c r="M177" s="8">
        <f t="shared" si="28"/>
        <v>9351808.5106382985</v>
      </c>
      <c r="N177" s="12">
        <f t="shared" si="29"/>
        <v>571000</v>
      </c>
      <c r="O177" s="13">
        <f t="shared" si="30"/>
        <v>6.105770871489187E-2</v>
      </c>
      <c r="P177" s="8">
        <f t="shared" si="31"/>
        <v>10104252.873563219</v>
      </c>
      <c r="Q177" s="12">
        <f t="shared" si="32"/>
        <v>571000</v>
      </c>
      <c r="R177" s="13">
        <f t="shared" si="33"/>
        <v>5.6510858065910559E-2</v>
      </c>
    </row>
    <row r="178" spans="1:18" x14ac:dyDescent="0.3">
      <c r="A178" s="1">
        <v>6600001</v>
      </c>
      <c r="B178" s="1">
        <v>6650000</v>
      </c>
      <c r="C178" s="9">
        <v>15900</v>
      </c>
      <c r="E178" s="3">
        <f t="shared" si="34"/>
        <v>864500</v>
      </c>
      <c r="F178" s="3">
        <f t="shared" si="35"/>
        <v>751450</v>
      </c>
      <c r="G178" s="2">
        <f t="shared" si="24"/>
        <v>8.1954887218045114E-2</v>
      </c>
      <c r="H178" s="8">
        <f t="shared" si="25"/>
        <v>30000</v>
      </c>
      <c r="I178" s="8">
        <f t="shared" si="26"/>
        <v>575000</v>
      </c>
      <c r="L178" s="8">
        <f t="shared" si="27"/>
        <v>8856850</v>
      </c>
      <c r="M178" s="8">
        <f t="shared" si="28"/>
        <v>9422180.8510638308</v>
      </c>
      <c r="N178" s="12">
        <f t="shared" si="29"/>
        <v>575000</v>
      </c>
      <c r="O178" s="13">
        <f t="shared" si="30"/>
        <v>6.1026211350536583E-2</v>
      </c>
      <c r="P178" s="8">
        <f t="shared" si="31"/>
        <v>10180287.35632184</v>
      </c>
      <c r="Q178" s="12">
        <f t="shared" si="32"/>
        <v>575000</v>
      </c>
      <c r="R178" s="13">
        <f t="shared" si="33"/>
        <v>5.6481706249964715E-2</v>
      </c>
    </row>
    <row r="179" spans="1:18" x14ac:dyDescent="0.3">
      <c r="A179" s="1">
        <v>6650001</v>
      </c>
      <c r="B179" s="1">
        <v>6700000</v>
      </c>
      <c r="C179" s="9">
        <v>15900</v>
      </c>
      <c r="E179" s="3">
        <f t="shared" si="34"/>
        <v>871000</v>
      </c>
      <c r="F179" s="3">
        <f t="shared" si="35"/>
        <v>757100</v>
      </c>
      <c r="G179" s="2">
        <f t="shared" si="24"/>
        <v>8.1940298507462692E-2</v>
      </c>
      <c r="H179" s="8">
        <f t="shared" si="25"/>
        <v>30000</v>
      </c>
      <c r="I179" s="8">
        <f t="shared" si="26"/>
        <v>579000</v>
      </c>
      <c r="L179" s="8">
        <f t="shared" si="27"/>
        <v>8923000</v>
      </c>
      <c r="M179" s="8">
        <f t="shared" si="28"/>
        <v>9492553.1914893631</v>
      </c>
      <c r="N179" s="12">
        <f t="shared" si="29"/>
        <v>579000</v>
      </c>
      <c r="O179" s="13">
        <f t="shared" si="30"/>
        <v>6.0995180992939588E-2</v>
      </c>
      <c r="P179" s="8">
        <f t="shared" si="31"/>
        <v>10256321.83908046</v>
      </c>
      <c r="Q179" s="12">
        <f t="shared" si="32"/>
        <v>579000</v>
      </c>
      <c r="R179" s="13">
        <f t="shared" si="33"/>
        <v>5.645298666367813E-2</v>
      </c>
    </row>
    <row r="180" spans="1:18" x14ac:dyDescent="0.3">
      <c r="A180" s="1">
        <v>6700001</v>
      </c>
      <c r="B180" s="1">
        <v>6750000</v>
      </c>
      <c r="C180" s="9">
        <v>15900</v>
      </c>
      <c r="E180" s="3">
        <f t="shared" si="34"/>
        <v>877500</v>
      </c>
      <c r="F180" s="3">
        <f t="shared" si="35"/>
        <v>762750</v>
      </c>
      <c r="G180" s="2">
        <f t="shared" si="24"/>
        <v>8.192592592592593E-2</v>
      </c>
      <c r="H180" s="8">
        <f t="shared" si="25"/>
        <v>30000</v>
      </c>
      <c r="I180" s="8">
        <f t="shared" si="26"/>
        <v>583000</v>
      </c>
      <c r="L180" s="8">
        <f t="shared" si="27"/>
        <v>8989150</v>
      </c>
      <c r="M180" s="8">
        <f t="shared" si="28"/>
        <v>9562925.5319148935</v>
      </c>
      <c r="N180" s="12">
        <f t="shared" si="29"/>
        <v>583000</v>
      </c>
      <c r="O180" s="13">
        <f t="shared" si="30"/>
        <v>6.0964607332172675E-2</v>
      </c>
      <c r="P180" s="8">
        <f t="shared" si="31"/>
        <v>10332356.321839081</v>
      </c>
      <c r="Q180" s="12">
        <f t="shared" si="32"/>
        <v>583000</v>
      </c>
      <c r="R180" s="13">
        <f t="shared" si="33"/>
        <v>5.6424689764883219E-2</v>
      </c>
    </row>
    <row r="181" spans="1:18" x14ac:dyDescent="0.3">
      <c r="A181" s="1">
        <v>6750001</v>
      </c>
      <c r="B181" s="1">
        <v>6800000</v>
      </c>
      <c r="C181" s="9">
        <v>15900</v>
      </c>
      <c r="E181" s="3">
        <f t="shared" si="34"/>
        <v>884000</v>
      </c>
      <c r="F181" s="3">
        <f t="shared" si="35"/>
        <v>768400</v>
      </c>
      <c r="G181" s="2">
        <f t="shared" si="24"/>
        <v>8.1911764705882351E-2</v>
      </c>
      <c r="H181" s="8">
        <f t="shared" si="25"/>
        <v>30000</v>
      </c>
      <c r="I181" s="8">
        <f t="shared" si="26"/>
        <v>587000</v>
      </c>
      <c r="L181" s="8">
        <f t="shared" si="27"/>
        <v>9055300</v>
      </c>
      <c r="M181" s="8">
        <f t="shared" si="28"/>
        <v>9633297.8723404258</v>
      </c>
      <c r="N181" s="12">
        <f t="shared" si="29"/>
        <v>587000</v>
      </c>
      <c r="O181" s="13">
        <f t="shared" si="30"/>
        <v>6.093448035956843E-2</v>
      </c>
      <c r="P181" s="8">
        <f t="shared" si="31"/>
        <v>10408390.804597702</v>
      </c>
      <c r="Q181" s="12">
        <f t="shared" si="32"/>
        <v>587000</v>
      </c>
      <c r="R181" s="13">
        <f t="shared" si="33"/>
        <v>5.6396806290238861E-2</v>
      </c>
    </row>
    <row r="182" spans="1:18" x14ac:dyDescent="0.3">
      <c r="A182" s="1">
        <v>6800001</v>
      </c>
      <c r="B182" s="1">
        <v>6850000</v>
      </c>
      <c r="C182" s="9">
        <v>15900</v>
      </c>
      <c r="E182" s="3">
        <f t="shared" si="34"/>
        <v>890500</v>
      </c>
      <c r="F182" s="3">
        <f t="shared" si="35"/>
        <v>774050</v>
      </c>
      <c r="G182" s="2">
        <f t="shared" si="24"/>
        <v>8.1897810218978101E-2</v>
      </c>
      <c r="H182" s="8">
        <f t="shared" si="25"/>
        <v>30000</v>
      </c>
      <c r="I182" s="8">
        <f t="shared" si="26"/>
        <v>591000</v>
      </c>
      <c r="L182" s="8">
        <f t="shared" si="27"/>
        <v>9121450</v>
      </c>
      <c r="M182" s="8">
        <f t="shared" si="28"/>
        <v>9703670.2127659582</v>
      </c>
      <c r="N182" s="12">
        <f t="shared" si="29"/>
        <v>591000</v>
      </c>
      <c r="O182" s="13">
        <f t="shared" si="30"/>
        <v>6.0904790356796336E-2</v>
      </c>
      <c r="P182" s="8">
        <f t="shared" si="31"/>
        <v>10484425.287356323</v>
      </c>
      <c r="Q182" s="12">
        <f t="shared" si="32"/>
        <v>591000</v>
      </c>
      <c r="R182" s="13">
        <f t="shared" si="33"/>
        <v>5.6369327245120018E-2</v>
      </c>
    </row>
    <row r="183" spans="1:18" x14ac:dyDescent="0.3">
      <c r="A183" s="1">
        <v>6850001</v>
      </c>
      <c r="B183" s="1">
        <v>6900000</v>
      </c>
      <c r="C183" s="9">
        <v>15900</v>
      </c>
      <c r="E183" s="3">
        <f t="shared" si="34"/>
        <v>897000</v>
      </c>
      <c r="F183" s="3">
        <f t="shared" si="35"/>
        <v>779700</v>
      </c>
      <c r="G183" s="2">
        <f t="shared" si="24"/>
        <v>8.1884057971014501E-2</v>
      </c>
      <c r="H183" s="8">
        <f t="shared" si="25"/>
        <v>30000</v>
      </c>
      <c r="I183" s="8">
        <f t="shared" si="26"/>
        <v>595000</v>
      </c>
      <c r="L183" s="8">
        <f t="shared" si="27"/>
        <v>9187600</v>
      </c>
      <c r="M183" s="8">
        <f t="shared" si="28"/>
        <v>9774042.5531914905</v>
      </c>
      <c r="N183" s="12">
        <f t="shared" si="29"/>
        <v>595000</v>
      </c>
      <c r="O183" s="13">
        <f t="shared" si="30"/>
        <v>6.0875527885410764E-2</v>
      </c>
      <c r="P183" s="8">
        <f t="shared" si="31"/>
        <v>10560459.770114943</v>
      </c>
      <c r="Q183" s="12">
        <f t="shared" si="32"/>
        <v>595000</v>
      </c>
      <c r="R183" s="13">
        <f t="shared" si="33"/>
        <v>5.6342243893944009E-2</v>
      </c>
    </row>
    <row r="184" spans="1:18" x14ac:dyDescent="0.3">
      <c r="A184" s="1">
        <v>6900001</v>
      </c>
      <c r="B184" s="1">
        <v>6950000</v>
      </c>
      <c r="C184" s="9">
        <v>15900</v>
      </c>
      <c r="E184" s="3">
        <f t="shared" si="34"/>
        <v>903500</v>
      </c>
      <c r="F184" s="3">
        <f t="shared" si="35"/>
        <v>785350</v>
      </c>
      <c r="G184" s="2">
        <f t="shared" si="24"/>
        <v>8.1870503597122307E-2</v>
      </c>
      <c r="H184" s="8">
        <f t="shared" si="25"/>
        <v>30000</v>
      </c>
      <c r="I184" s="8">
        <f t="shared" si="26"/>
        <v>599000</v>
      </c>
      <c r="L184" s="8">
        <f t="shared" si="27"/>
        <v>9253750</v>
      </c>
      <c r="M184" s="8">
        <f t="shared" si="28"/>
        <v>9844414.8936170209</v>
      </c>
      <c r="N184" s="12">
        <f t="shared" si="29"/>
        <v>599000</v>
      </c>
      <c r="O184" s="13">
        <f t="shared" si="30"/>
        <v>6.0846683776847224E-2</v>
      </c>
      <c r="P184" s="8">
        <f t="shared" si="31"/>
        <v>10636494.252873564</v>
      </c>
      <c r="Q184" s="12">
        <f t="shared" si="32"/>
        <v>599000</v>
      </c>
      <c r="R184" s="13">
        <f t="shared" si="33"/>
        <v>5.6315547750911785E-2</v>
      </c>
    </row>
    <row r="185" spans="1:18" x14ac:dyDescent="0.3">
      <c r="A185" s="1">
        <v>6950001</v>
      </c>
      <c r="B185" s="1">
        <v>7000000</v>
      </c>
      <c r="C185" s="9">
        <v>15900</v>
      </c>
      <c r="E185" s="3">
        <f t="shared" si="34"/>
        <v>910000</v>
      </c>
      <c r="F185" s="3">
        <f t="shared" si="35"/>
        <v>791000</v>
      </c>
      <c r="G185" s="2">
        <f t="shared" si="24"/>
        <v>8.1857142857142864E-2</v>
      </c>
      <c r="H185" s="8">
        <f t="shared" si="25"/>
        <v>30000</v>
      </c>
      <c r="I185" s="8">
        <f t="shared" si="26"/>
        <v>603000</v>
      </c>
      <c r="L185" s="8">
        <f t="shared" si="27"/>
        <v>9319900</v>
      </c>
      <c r="M185" s="8">
        <f t="shared" si="28"/>
        <v>9914787.2340425532</v>
      </c>
      <c r="N185" s="12">
        <f t="shared" si="29"/>
        <v>603000</v>
      </c>
      <c r="O185" s="13">
        <f t="shared" si="30"/>
        <v>6.0818249122844663E-2</v>
      </c>
      <c r="P185" s="8">
        <f t="shared" si="31"/>
        <v>10712528.735632185</v>
      </c>
      <c r="Q185" s="12">
        <f t="shared" si="32"/>
        <v>603000</v>
      </c>
      <c r="R185" s="13">
        <f t="shared" si="33"/>
        <v>5.6289230571143462E-2</v>
      </c>
    </row>
    <row r="186" spans="1:18" x14ac:dyDescent="0.3">
      <c r="A186" s="1">
        <v>7000001</v>
      </c>
      <c r="B186" s="1">
        <v>7050000</v>
      </c>
      <c r="C186" s="9">
        <v>15900</v>
      </c>
      <c r="E186" s="3">
        <f t="shared" si="34"/>
        <v>916500</v>
      </c>
      <c r="F186" s="3">
        <f t="shared" si="35"/>
        <v>796650</v>
      </c>
      <c r="G186" s="2">
        <f t="shared" si="24"/>
        <v>8.1843971631205673E-2</v>
      </c>
      <c r="H186" s="8">
        <f t="shared" si="25"/>
        <v>30000</v>
      </c>
      <c r="I186" s="8">
        <f t="shared" si="26"/>
        <v>607000</v>
      </c>
      <c r="L186" s="8">
        <f t="shared" si="27"/>
        <v>9386050</v>
      </c>
      <c r="M186" s="8">
        <f t="shared" si="28"/>
        <v>9985159.5744680855</v>
      </c>
      <c r="N186" s="12">
        <f t="shared" si="29"/>
        <v>607000</v>
      </c>
      <c r="O186" s="13">
        <f t="shared" si="30"/>
        <v>6.0790215266272818E-2</v>
      </c>
      <c r="P186" s="8">
        <f t="shared" si="31"/>
        <v>10788563.218390804</v>
      </c>
      <c r="Q186" s="12">
        <f t="shared" si="32"/>
        <v>607000</v>
      </c>
      <c r="R186" s="13">
        <f t="shared" si="33"/>
        <v>5.6263284342188677E-2</v>
      </c>
    </row>
    <row r="187" spans="1:18" x14ac:dyDescent="0.3">
      <c r="A187" s="1">
        <v>7050001</v>
      </c>
      <c r="B187" s="1">
        <v>7100000</v>
      </c>
      <c r="C187" s="9">
        <v>15900</v>
      </c>
      <c r="E187" s="3">
        <f t="shared" si="34"/>
        <v>923000</v>
      </c>
      <c r="F187" s="3">
        <f t="shared" si="35"/>
        <v>802300</v>
      </c>
      <c r="G187" s="2">
        <f t="shared" si="24"/>
        <v>8.1830985915492954E-2</v>
      </c>
      <c r="H187" s="8">
        <f t="shared" si="25"/>
        <v>30000</v>
      </c>
      <c r="I187" s="8">
        <f t="shared" si="26"/>
        <v>611000</v>
      </c>
      <c r="L187" s="8">
        <f t="shared" si="27"/>
        <v>9452200</v>
      </c>
      <c r="M187" s="8">
        <f t="shared" si="28"/>
        <v>10055531.914893618</v>
      </c>
      <c r="N187" s="12">
        <f t="shared" si="29"/>
        <v>611000</v>
      </c>
      <c r="O187" s="13">
        <f t="shared" si="30"/>
        <v>6.0762573792344635E-2</v>
      </c>
      <c r="P187" s="8">
        <f t="shared" si="31"/>
        <v>10864597.701149425</v>
      </c>
      <c r="Q187" s="12">
        <f t="shared" si="32"/>
        <v>611000</v>
      </c>
      <c r="R187" s="13">
        <f t="shared" si="33"/>
        <v>5.6237701275893448E-2</v>
      </c>
    </row>
    <row r="188" spans="1:18" x14ac:dyDescent="0.3">
      <c r="A188" s="1">
        <v>7100001</v>
      </c>
      <c r="B188" s="1">
        <v>7150000</v>
      </c>
      <c r="C188" s="9">
        <v>15900</v>
      </c>
      <c r="E188" s="3">
        <f t="shared" si="34"/>
        <v>929500</v>
      </c>
      <c r="F188" s="3">
        <f t="shared" si="35"/>
        <v>807950</v>
      </c>
      <c r="G188" s="2">
        <f t="shared" si="24"/>
        <v>8.1818181818181818E-2</v>
      </c>
      <c r="H188" s="8">
        <f t="shared" si="25"/>
        <v>30000</v>
      </c>
      <c r="I188" s="8">
        <f t="shared" si="26"/>
        <v>615000</v>
      </c>
      <c r="L188" s="8">
        <f t="shared" si="27"/>
        <v>9518350</v>
      </c>
      <c r="M188" s="8">
        <f t="shared" si="28"/>
        <v>10125904.25531915</v>
      </c>
      <c r="N188" s="12">
        <f t="shared" si="29"/>
        <v>615000</v>
      </c>
      <c r="O188" s="13">
        <f t="shared" si="30"/>
        <v>6.0735316520195197E-2</v>
      </c>
      <c r="P188" s="8">
        <f t="shared" si="31"/>
        <v>10940632.183908045</v>
      </c>
      <c r="Q188" s="12">
        <f t="shared" si="32"/>
        <v>615000</v>
      </c>
      <c r="R188" s="13">
        <f t="shared" si="33"/>
        <v>5.6212473800606198E-2</v>
      </c>
    </row>
    <row r="189" spans="1:18" x14ac:dyDescent="0.3">
      <c r="A189" s="1">
        <v>7150001</v>
      </c>
      <c r="B189" s="1">
        <v>7200000</v>
      </c>
      <c r="C189" s="9">
        <v>15900</v>
      </c>
      <c r="E189" s="3">
        <f t="shared" si="34"/>
        <v>936000</v>
      </c>
      <c r="F189" s="3">
        <f t="shared" si="35"/>
        <v>813600</v>
      </c>
      <c r="G189" s="2">
        <f t="shared" si="24"/>
        <v>8.1805555555555562E-2</v>
      </c>
      <c r="H189" s="8">
        <f t="shared" si="25"/>
        <v>30000</v>
      </c>
      <c r="I189" s="8">
        <f t="shared" si="26"/>
        <v>619000</v>
      </c>
      <c r="L189" s="8">
        <f t="shared" si="27"/>
        <v>9584500</v>
      </c>
      <c r="M189" s="8">
        <f t="shared" si="28"/>
        <v>10196276.595744681</v>
      </c>
      <c r="N189" s="12">
        <f t="shared" si="29"/>
        <v>619000</v>
      </c>
      <c r="O189" s="13">
        <f t="shared" si="30"/>
        <v>6.070843549480933E-2</v>
      </c>
      <c r="P189" s="8">
        <f t="shared" si="31"/>
        <v>11016666.666666666</v>
      </c>
      <c r="Q189" s="12">
        <f t="shared" si="32"/>
        <v>619000</v>
      </c>
      <c r="R189" s="13">
        <f t="shared" si="33"/>
        <v>5.6187594553706512E-2</v>
      </c>
    </row>
    <row r="190" spans="1:18" x14ac:dyDescent="0.3">
      <c r="A190" s="1">
        <v>7200001</v>
      </c>
      <c r="B190" s="1">
        <v>7250000</v>
      </c>
      <c r="C190" s="9">
        <v>15900</v>
      </c>
      <c r="E190" s="3">
        <f t="shared" si="34"/>
        <v>942500</v>
      </c>
      <c r="F190" s="3">
        <f t="shared" si="35"/>
        <v>819250</v>
      </c>
      <c r="G190" s="2">
        <f t="shared" si="24"/>
        <v>8.1793103448275867E-2</v>
      </c>
      <c r="H190" s="8">
        <f t="shared" si="25"/>
        <v>30000</v>
      </c>
      <c r="I190" s="8">
        <f t="shared" si="26"/>
        <v>623000</v>
      </c>
      <c r="L190" s="8">
        <f t="shared" si="27"/>
        <v>9650650</v>
      </c>
      <c r="M190" s="8">
        <f t="shared" si="28"/>
        <v>10266648.936170213</v>
      </c>
      <c r="N190" s="12">
        <f t="shared" si="29"/>
        <v>623000</v>
      </c>
      <c r="O190" s="13">
        <f t="shared" si="30"/>
        <v>6.068192297928119E-2</v>
      </c>
      <c r="P190" s="8">
        <f t="shared" si="31"/>
        <v>11092701.149425287</v>
      </c>
      <c r="Q190" s="12">
        <f t="shared" si="32"/>
        <v>623000</v>
      </c>
      <c r="R190" s="13">
        <f t="shared" si="33"/>
        <v>5.6163056374441106E-2</v>
      </c>
    </row>
    <row r="191" spans="1:18" x14ac:dyDescent="0.3">
      <c r="A191" s="1">
        <v>7250001</v>
      </c>
      <c r="B191" s="1">
        <v>7300000</v>
      </c>
      <c r="C191" s="9">
        <v>15900</v>
      </c>
      <c r="E191" s="3">
        <f t="shared" si="34"/>
        <v>949000</v>
      </c>
      <c r="F191" s="3">
        <f t="shared" si="35"/>
        <v>824900</v>
      </c>
      <c r="G191" s="2">
        <f t="shared" si="24"/>
        <v>8.1780821917808222E-2</v>
      </c>
      <c r="H191" s="8">
        <f t="shared" si="25"/>
        <v>30000</v>
      </c>
      <c r="I191" s="8">
        <f t="shared" si="26"/>
        <v>627000</v>
      </c>
      <c r="L191" s="8">
        <f t="shared" si="27"/>
        <v>9716800</v>
      </c>
      <c r="M191" s="8">
        <f t="shared" si="28"/>
        <v>10337021.276595745</v>
      </c>
      <c r="N191" s="12">
        <f t="shared" si="29"/>
        <v>627000</v>
      </c>
      <c r="O191" s="13">
        <f t="shared" si="30"/>
        <v>6.0655771447390087E-2</v>
      </c>
      <c r="P191" s="8">
        <f t="shared" si="31"/>
        <v>11168735.632183908</v>
      </c>
      <c r="Q191" s="12">
        <f t="shared" si="32"/>
        <v>627000</v>
      </c>
      <c r="R191" s="13">
        <f t="shared" si="33"/>
        <v>5.6138852297052531E-2</v>
      </c>
    </row>
    <row r="192" spans="1:18" x14ac:dyDescent="0.3">
      <c r="A192" s="1">
        <v>7300001</v>
      </c>
      <c r="B192" s="1">
        <v>7350000</v>
      </c>
      <c r="C192" s="9">
        <v>15900</v>
      </c>
      <c r="E192" s="3">
        <f t="shared" si="34"/>
        <v>955500</v>
      </c>
      <c r="F192" s="3">
        <f t="shared" si="35"/>
        <v>830550</v>
      </c>
      <c r="G192" s="2">
        <f t="shared" si="24"/>
        <v>8.1768707482993197E-2</v>
      </c>
      <c r="H192" s="8">
        <f t="shared" si="25"/>
        <v>30000</v>
      </c>
      <c r="I192" s="8">
        <f t="shared" si="26"/>
        <v>631000</v>
      </c>
      <c r="L192" s="8">
        <f t="shared" si="27"/>
        <v>9782950</v>
      </c>
      <c r="M192" s="8">
        <f t="shared" si="28"/>
        <v>10407393.617021278</v>
      </c>
      <c r="N192" s="12">
        <f t="shared" si="29"/>
        <v>631000</v>
      </c>
      <c r="O192" s="13">
        <f t="shared" si="30"/>
        <v>6.0629973576477439E-2</v>
      </c>
      <c r="P192" s="8">
        <f t="shared" si="31"/>
        <v>11244770.114942528</v>
      </c>
      <c r="Q192" s="12">
        <f t="shared" si="32"/>
        <v>631000</v>
      </c>
      <c r="R192" s="13">
        <f t="shared" si="33"/>
        <v>5.6114975544186568E-2</v>
      </c>
    </row>
    <row r="193" spans="1:18" x14ac:dyDescent="0.3">
      <c r="A193" s="1">
        <v>7350001</v>
      </c>
      <c r="B193" s="1">
        <v>7400000</v>
      </c>
      <c r="C193" s="9">
        <v>15900</v>
      </c>
      <c r="E193" s="3">
        <f t="shared" si="34"/>
        <v>962000</v>
      </c>
      <c r="F193" s="3">
        <f t="shared" si="35"/>
        <v>836200</v>
      </c>
      <c r="G193" s="2">
        <f t="shared" si="24"/>
        <v>8.1756756756756754E-2</v>
      </c>
      <c r="H193" s="8">
        <f t="shared" si="25"/>
        <v>30000</v>
      </c>
      <c r="I193" s="8">
        <f t="shared" si="26"/>
        <v>635000</v>
      </c>
      <c r="L193" s="8">
        <f t="shared" si="27"/>
        <v>9849100</v>
      </c>
      <c r="M193" s="8">
        <f t="shared" si="28"/>
        <v>10477765.95744681</v>
      </c>
      <c r="N193" s="12">
        <f t="shared" si="29"/>
        <v>635000</v>
      </c>
      <c r="O193" s="13">
        <f t="shared" si="30"/>
        <v>6.060452224061081E-2</v>
      </c>
      <c r="P193" s="8">
        <f t="shared" si="31"/>
        <v>11320804.597701149</v>
      </c>
      <c r="Q193" s="12">
        <f t="shared" si="32"/>
        <v>635000</v>
      </c>
      <c r="R193" s="13">
        <f t="shared" si="33"/>
        <v>5.609141952056533E-2</v>
      </c>
    </row>
    <row r="194" spans="1:18" x14ac:dyDescent="0.3">
      <c r="A194" s="1">
        <v>7400001</v>
      </c>
      <c r="B194" s="1">
        <v>7450000</v>
      </c>
      <c r="C194" s="9">
        <v>15900</v>
      </c>
      <c r="E194" s="3">
        <f t="shared" si="34"/>
        <v>968500</v>
      </c>
      <c r="F194" s="3">
        <f t="shared" si="35"/>
        <v>841850</v>
      </c>
      <c r="G194" s="2">
        <f t="shared" si="24"/>
        <v>8.1744966442953024E-2</v>
      </c>
      <c r="H194" s="8">
        <f t="shared" si="25"/>
        <v>30000</v>
      </c>
      <c r="I194" s="8">
        <f t="shared" si="26"/>
        <v>639000</v>
      </c>
      <c r="L194" s="8">
        <f t="shared" si="27"/>
        <v>9915250</v>
      </c>
      <c r="M194" s="8">
        <f t="shared" si="28"/>
        <v>10548138.29787234</v>
      </c>
      <c r="N194" s="12">
        <f t="shared" si="29"/>
        <v>639000</v>
      </c>
      <c r="O194" s="13">
        <f t="shared" si="30"/>
        <v>6.0579410504021582E-2</v>
      </c>
      <c r="P194" s="8">
        <f t="shared" si="31"/>
        <v>11396839.08045977</v>
      </c>
      <c r="Q194" s="12">
        <f t="shared" si="32"/>
        <v>639000</v>
      </c>
      <c r="R194" s="13">
        <f t="shared" si="33"/>
        <v>5.6068177806913595E-2</v>
      </c>
    </row>
    <row r="195" spans="1:18" x14ac:dyDescent="0.3">
      <c r="A195" s="1">
        <v>7450001</v>
      </c>
      <c r="B195" s="1">
        <v>7500000</v>
      </c>
      <c r="C195" s="9">
        <v>15900</v>
      </c>
      <c r="E195" s="3">
        <f t="shared" si="34"/>
        <v>975000</v>
      </c>
      <c r="F195" s="3">
        <f t="shared" si="35"/>
        <v>847500</v>
      </c>
      <c r="G195" s="2">
        <f t="shared" ref="G195:G258" si="36">MIN($K$2,MAX($K$3,$K$4/B195+$K$3))</f>
        <v>8.1733333333333338E-2</v>
      </c>
      <c r="H195" s="8">
        <f t="shared" ref="H195:H258" si="37">MIN($K$11,$K$9+$K$10*(B195-$B$2))</f>
        <v>30000</v>
      </c>
      <c r="I195" s="8">
        <f t="shared" ref="I195:I258" si="38">B195*G195+H195</f>
        <v>643000</v>
      </c>
      <c r="L195" s="8">
        <f t="shared" ref="L195:L258" si="39">B195+C195+E195+F195+I195</f>
        <v>9981400</v>
      </c>
      <c r="M195" s="8">
        <f t="shared" ref="M195:M258" si="40">L195/(1-$K$14)</f>
        <v>10618510.638297873</v>
      </c>
      <c r="N195" s="12">
        <f t="shared" ref="N195:N258" si="41">M195*(1-$K$14)-B195-C195-E195-F195</f>
        <v>643000</v>
      </c>
      <c r="O195" s="13">
        <f t="shared" ref="O195:O258" si="42">N195/M195</f>
        <v>6.0554631614803532E-2</v>
      </c>
      <c r="P195" s="8">
        <f t="shared" ref="P195:P258" si="43">L195/(1-$K$15)</f>
        <v>11472873.563218391</v>
      </c>
      <c r="Q195" s="12">
        <f t="shared" ref="Q195:Q258" si="44">P195*(1-$K$15)-B195-C195-E195-F195</f>
        <v>643000</v>
      </c>
      <c r="R195" s="13">
        <f t="shared" ref="R195:R258" si="45">Q195/P195</f>
        <v>5.6045244154126678E-2</v>
      </c>
    </row>
    <row r="196" spans="1:18" x14ac:dyDescent="0.3">
      <c r="A196" s="1">
        <v>7500001</v>
      </c>
      <c r="B196" s="1">
        <v>7550000</v>
      </c>
      <c r="C196" s="9">
        <v>15900</v>
      </c>
      <c r="E196" s="3">
        <f t="shared" si="34"/>
        <v>981500</v>
      </c>
      <c r="F196" s="3">
        <f t="shared" si="35"/>
        <v>853150</v>
      </c>
      <c r="G196" s="2">
        <f t="shared" si="36"/>
        <v>8.1721854304635758E-2</v>
      </c>
      <c r="H196" s="8">
        <f t="shared" si="37"/>
        <v>30000</v>
      </c>
      <c r="I196" s="8">
        <f t="shared" si="38"/>
        <v>647000</v>
      </c>
      <c r="L196" s="8">
        <f t="shared" si="39"/>
        <v>10047550</v>
      </c>
      <c r="M196" s="8">
        <f t="shared" si="40"/>
        <v>10688882.978723405</v>
      </c>
      <c r="N196" s="12">
        <f t="shared" si="41"/>
        <v>647000</v>
      </c>
      <c r="O196" s="13">
        <f t="shared" si="42"/>
        <v>6.0530178998860415E-2</v>
      </c>
      <c r="P196" s="8">
        <f t="shared" si="43"/>
        <v>11548908.045977011</v>
      </c>
      <c r="Q196" s="12">
        <f t="shared" si="44"/>
        <v>647000</v>
      </c>
      <c r="R196" s="13">
        <f t="shared" si="45"/>
        <v>5.6022612477668689E-2</v>
      </c>
    </row>
    <row r="197" spans="1:18" x14ac:dyDescent="0.3">
      <c r="A197" s="1">
        <v>7550001</v>
      </c>
      <c r="B197" s="1">
        <v>7600000</v>
      </c>
      <c r="C197" s="9">
        <v>15900</v>
      </c>
      <c r="E197" s="3">
        <f t="shared" si="34"/>
        <v>988000</v>
      </c>
      <c r="F197" s="3">
        <f t="shared" si="35"/>
        <v>858800</v>
      </c>
      <c r="G197" s="2">
        <f t="shared" si="36"/>
        <v>8.171052631578947E-2</v>
      </c>
      <c r="H197" s="8">
        <f t="shared" si="37"/>
        <v>30000</v>
      </c>
      <c r="I197" s="8">
        <f t="shared" si="38"/>
        <v>651000</v>
      </c>
      <c r="L197" s="8">
        <f t="shared" si="39"/>
        <v>10113700</v>
      </c>
      <c r="M197" s="8">
        <f t="shared" si="40"/>
        <v>10759255.319148937</v>
      </c>
      <c r="N197" s="12">
        <f t="shared" si="41"/>
        <v>651000</v>
      </c>
      <c r="O197" s="13">
        <f t="shared" si="42"/>
        <v>6.0506046254090978E-2</v>
      </c>
      <c r="P197" s="8">
        <f t="shared" si="43"/>
        <v>11624942.528735632</v>
      </c>
      <c r="Q197" s="12">
        <f t="shared" si="44"/>
        <v>651000</v>
      </c>
      <c r="R197" s="13">
        <f t="shared" si="45"/>
        <v>5.6000276852190591E-2</v>
      </c>
    </row>
    <row r="198" spans="1:18" x14ac:dyDescent="0.3">
      <c r="A198" s="1">
        <v>7600001</v>
      </c>
      <c r="B198" s="1">
        <v>7650000</v>
      </c>
      <c r="C198" s="9">
        <v>15900</v>
      </c>
      <c r="E198" s="3">
        <f t="shared" si="34"/>
        <v>994500</v>
      </c>
      <c r="F198" s="3">
        <f t="shared" si="35"/>
        <v>864450</v>
      </c>
      <c r="G198" s="2">
        <f t="shared" si="36"/>
        <v>8.1699346405228759E-2</v>
      </c>
      <c r="H198" s="8">
        <f t="shared" si="37"/>
        <v>30000</v>
      </c>
      <c r="I198" s="8">
        <f t="shared" si="38"/>
        <v>655000</v>
      </c>
      <c r="L198" s="8">
        <f t="shared" si="39"/>
        <v>10179850</v>
      </c>
      <c r="M198" s="8">
        <f t="shared" si="40"/>
        <v>10829627.65957447</v>
      </c>
      <c r="N198" s="12">
        <f t="shared" si="41"/>
        <v>655000</v>
      </c>
      <c r="O198" s="13">
        <f t="shared" si="42"/>
        <v>6.0482227144800747E-2</v>
      </c>
      <c r="P198" s="8">
        <f t="shared" si="43"/>
        <v>11700977.011494253</v>
      </c>
      <c r="Q198" s="12">
        <f t="shared" si="44"/>
        <v>655000</v>
      </c>
      <c r="R198" s="13">
        <f t="shared" si="45"/>
        <v>5.5978231506358146E-2</v>
      </c>
    </row>
    <row r="199" spans="1:18" x14ac:dyDescent="0.3">
      <c r="A199" s="1">
        <v>7650001</v>
      </c>
      <c r="B199" s="1">
        <v>7700000</v>
      </c>
      <c r="C199" s="9">
        <v>15900</v>
      </c>
      <c r="E199" s="3">
        <f t="shared" si="34"/>
        <v>1001000</v>
      </c>
      <c r="F199" s="3">
        <f t="shared" si="35"/>
        <v>870100</v>
      </c>
      <c r="G199" s="2">
        <f t="shared" si="36"/>
        <v>8.1688311688311685E-2</v>
      </c>
      <c r="H199" s="8">
        <f t="shared" si="37"/>
        <v>30000</v>
      </c>
      <c r="I199" s="8">
        <f t="shared" si="38"/>
        <v>659000</v>
      </c>
      <c r="L199" s="8">
        <f t="shared" si="39"/>
        <v>10246000</v>
      </c>
      <c r="M199" s="8">
        <f t="shared" si="40"/>
        <v>10900000</v>
      </c>
      <c r="N199" s="12">
        <f t="shared" si="41"/>
        <v>659000</v>
      </c>
      <c r="O199" s="13">
        <f t="shared" si="42"/>
        <v>6.0458715596330273E-2</v>
      </c>
      <c r="P199" s="8">
        <f t="shared" si="43"/>
        <v>11777011.494252874</v>
      </c>
      <c r="Q199" s="12">
        <f t="shared" si="44"/>
        <v>659000</v>
      </c>
      <c r="R199" s="13">
        <f t="shared" si="45"/>
        <v>5.5956470817880147E-2</v>
      </c>
    </row>
    <row r="200" spans="1:18" x14ac:dyDescent="0.3">
      <c r="A200" s="1">
        <v>7700001</v>
      </c>
      <c r="B200" s="1">
        <v>7750000</v>
      </c>
      <c r="C200" s="9">
        <v>15900</v>
      </c>
      <c r="E200" s="3">
        <f t="shared" si="34"/>
        <v>1007500</v>
      </c>
      <c r="F200" s="3">
        <f t="shared" si="35"/>
        <v>875750</v>
      </c>
      <c r="G200" s="2">
        <f t="shared" si="36"/>
        <v>8.1677419354838715E-2</v>
      </c>
      <c r="H200" s="8">
        <f t="shared" si="37"/>
        <v>30000</v>
      </c>
      <c r="I200" s="8">
        <f t="shared" si="38"/>
        <v>663000</v>
      </c>
      <c r="L200" s="8">
        <f t="shared" si="39"/>
        <v>10312150</v>
      </c>
      <c r="M200" s="8">
        <f t="shared" si="40"/>
        <v>10970372.340425532</v>
      </c>
      <c r="N200" s="12">
        <f t="shared" si="41"/>
        <v>663000</v>
      </c>
      <c r="O200" s="13">
        <f t="shared" si="42"/>
        <v>6.0435505689890076E-2</v>
      </c>
      <c r="P200" s="8">
        <f t="shared" si="43"/>
        <v>11853045.977011494</v>
      </c>
      <c r="Q200" s="12">
        <f t="shared" si="44"/>
        <v>663000</v>
      </c>
      <c r="R200" s="13">
        <f t="shared" si="45"/>
        <v>5.5934989308728054E-2</v>
      </c>
    </row>
    <row r="201" spans="1:18" x14ac:dyDescent="0.3">
      <c r="A201" s="1">
        <v>7750001</v>
      </c>
      <c r="B201" s="1">
        <v>7800000</v>
      </c>
      <c r="C201" s="9">
        <v>15900</v>
      </c>
      <c r="E201" s="3">
        <f t="shared" si="34"/>
        <v>1014000</v>
      </c>
      <c r="F201" s="3">
        <f t="shared" si="35"/>
        <v>881400</v>
      </c>
      <c r="G201" s="2">
        <f t="shared" si="36"/>
        <v>8.1666666666666665E-2</v>
      </c>
      <c r="H201" s="8">
        <f t="shared" si="37"/>
        <v>30000</v>
      </c>
      <c r="I201" s="8">
        <f t="shared" si="38"/>
        <v>667000</v>
      </c>
      <c r="L201" s="8">
        <f t="shared" si="39"/>
        <v>10378300</v>
      </c>
      <c r="M201" s="8">
        <f t="shared" si="40"/>
        <v>11040744.680851065</v>
      </c>
      <c r="N201" s="12">
        <f t="shared" si="41"/>
        <v>667000</v>
      </c>
      <c r="O201" s="13">
        <f t="shared" si="42"/>
        <v>6.0412591657593245E-2</v>
      </c>
      <c r="P201" s="8">
        <f t="shared" si="43"/>
        <v>11929080.459770115</v>
      </c>
      <c r="Q201" s="12">
        <f t="shared" si="44"/>
        <v>667000</v>
      </c>
      <c r="R201" s="13">
        <f t="shared" si="45"/>
        <v>5.5913781640538431E-2</v>
      </c>
    </row>
    <row r="202" spans="1:18" x14ac:dyDescent="0.3">
      <c r="A202" s="1">
        <v>7800001</v>
      </c>
      <c r="B202" s="1">
        <v>7850000</v>
      </c>
      <c r="C202" s="9">
        <v>15900</v>
      </c>
      <c r="E202" s="3">
        <f t="shared" si="34"/>
        <v>1020500</v>
      </c>
      <c r="F202" s="3">
        <f t="shared" si="35"/>
        <v>887050</v>
      </c>
      <c r="G202" s="2">
        <f t="shared" si="36"/>
        <v>8.165605095541402E-2</v>
      </c>
      <c r="H202" s="8">
        <f t="shared" si="37"/>
        <v>30000</v>
      </c>
      <c r="I202" s="8">
        <f t="shared" si="38"/>
        <v>671000</v>
      </c>
      <c r="L202" s="8">
        <f t="shared" si="39"/>
        <v>10444450</v>
      </c>
      <c r="M202" s="8">
        <f t="shared" si="40"/>
        <v>11111117.021276597</v>
      </c>
      <c r="N202" s="12">
        <f t="shared" si="41"/>
        <v>671000</v>
      </c>
      <c r="O202" s="13">
        <f t="shared" si="42"/>
        <v>6.0389967877676656E-2</v>
      </c>
      <c r="P202" s="8">
        <f t="shared" si="43"/>
        <v>12005114.942528736</v>
      </c>
      <c r="Q202" s="12">
        <f t="shared" si="44"/>
        <v>671000</v>
      </c>
      <c r="R202" s="13">
        <f t="shared" si="45"/>
        <v>5.5892842610190098E-2</v>
      </c>
    </row>
    <row r="203" spans="1:18" x14ac:dyDescent="0.3">
      <c r="A203" s="1">
        <v>7850001</v>
      </c>
      <c r="B203" s="1">
        <v>7900000</v>
      </c>
      <c r="C203" s="9">
        <v>15900</v>
      </c>
      <c r="E203" s="3">
        <f t="shared" si="34"/>
        <v>1027000</v>
      </c>
      <c r="F203" s="3">
        <f t="shared" si="35"/>
        <v>892700</v>
      </c>
      <c r="G203" s="2">
        <f t="shared" si="36"/>
        <v>8.1645569620253169E-2</v>
      </c>
      <c r="H203" s="8">
        <f t="shared" si="37"/>
        <v>30000</v>
      </c>
      <c r="I203" s="8">
        <f t="shared" si="38"/>
        <v>675000</v>
      </c>
      <c r="L203" s="8">
        <f t="shared" si="39"/>
        <v>10510600</v>
      </c>
      <c r="M203" s="8">
        <f t="shared" si="40"/>
        <v>11181489.361702127</v>
      </c>
      <c r="N203" s="12">
        <f t="shared" si="41"/>
        <v>675000</v>
      </c>
      <c r="O203" s="13">
        <f t="shared" si="42"/>
        <v>6.0367628869902767E-2</v>
      </c>
      <c r="P203" s="8">
        <f t="shared" si="43"/>
        <v>12081149.425287357</v>
      </c>
      <c r="Q203" s="12">
        <f t="shared" si="44"/>
        <v>675000</v>
      </c>
      <c r="R203" s="13">
        <f t="shared" si="45"/>
        <v>5.5872167145548303E-2</v>
      </c>
    </row>
    <row r="204" spans="1:18" x14ac:dyDescent="0.3">
      <c r="A204" s="1">
        <v>7900001</v>
      </c>
      <c r="B204" s="1">
        <v>7950000</v>
      </c>
      <c r="C204" s="9">
        <v>15900</v>
      </c>
      <c r="E204" s="3">
        <f t="shared" si="34"/>
        <v>1033500</v>
      </c>
      <c r="F204" s="3">
        <f t="shared" si="35"/>
        <v>898350</v>
      </c>
      <c r="G204" s="2">
        <f t="shared" si="36"/>
        <v>8.1635220125786168E-2</v>
      </c>
      <c r="H204" s="8">
        <f t="shared" si="37"/>
        <v>30000</v>
      </c>
      <c r="I204" s="8">
        <f t="shared" si="38"/>
        <v>679000</v>
      </c>
      <c r="L204" s="8">
        <f t="shared" si="39"/>
        <v>10576750</v>
      </c>
      <c r="M204" s="8">
        <f t="shared" si="40"/>
        <v>11251861.70212766</v>
      </c>
      <c r="N204" s="12">
        <f t="shared" si="41"/>
        <v>679000</v>
      </c>
      <c r="O204" s="13">
        <f t="shared" si="42"/>
        <v>6.0345569291133855E-2</v>
      </c>
      <c r="P204" s="8">
        <f t="shared" si="43"/>
        <v>12157183.908045977</v>
      </c>
      <c r="Q204" s="12">
        <f t="shared" si="44"/>
        <v>679000</v>
      </c>
      <c r="R204" s="13">
        <f t="shared" si="45"/>
        <v>5.5851750301368568E-2</v>
      </c>
    </row>
    <row r="205" spans="1:18" x14ac:dyDescent="0.3">
      <c r="A205" s="1">
        <v>7950001</v>
      </c>
      <c r="B205" s="1">
        <v>8000000</v>
      </c>
      <c r="C205" s="9">
        <v>15900</v>
      </c>
      <c r="E205" s="3">
        <f t="shared" si="34"/>
        <v>1040000</v>
      </c>
      <c r="F205" s="3">
        <f t="shared" si="35"/>
        <v>904000</v>
      </c>
      <c r="G205" s="2">
        <f t="shared" si="36"/>
        <v>8.1625000000000003E-2</v>
      </c>
      <c r="H205" s="8">
        <f t="shared" si="37"/>
        <v>30000</v>
      </c>
      <c r="I205" s="8">
        <f t="shared" si="38"/>
        <v>683000</v>
      </c>
      <c r="L205" s="8">
        <f t="shared" si="39"/>
        <v>10642900</v>
      </c>
      <c r="M205" s="8">
        <f t="shared" si="40"/>
        <v>11322234.042553192</v>
      </c>
      <c r="N205" s="12">
        <f t="shared" si="41"/>
        <v>683000</v>
      </c>
      <c r="O205" s="13">
        <f t="shared" si="42"/>
        <v>6.0323783931071413E-2</v>
      </c>
      <c r="P205" s="8">
        <f t="shared" si="43"/>
        <v>12233218.390804598</v>
      </c>
      <c r="Q205" s="12">
        <f t="shared" si="44"/>
        <v>683000</v>
      </c>
      <c r="R205" s="13">
        <f t="shared" si="45"/>
        <v>5.5831587255353331E-2</v>
      </c>
    </row>
    <row r="206" spans="1:18" x14ac:dyDescent="0.3">
      <c r="A206" s="1">
        <v>8000001</v>
      </c>
      <c r="B206" s="1">
        <v>8050000</v>
      </c>
      <c r="C206" s="9">
        <v>15900</v>
      </c>
      <c r="E206" s="3">
        <f t="shared" si="34"/>
        <v>1046500</v>
      </c>
      <c r="F206" s="3">
        <f t="shared" si="35"/>
        <v>909650</v>
      </c>
      <c r="G206" s="2">
        <f t="shared" si="36"/>
        <v>8.1614906832298134E-2</v>
      </c>
      <c r="H206" s="8">
        <f t="shared" si="37"/>
        <v>30000</v>
      </c>
      <c r="I206" s="8">
        <f t="shared" si="38"/>
        <v>687000</v>
      </c>
      <c r="L206" s="8">
        <f t="shared" si="39"/>
        <v>10709050</v>
      </c>
      <c r="M206" s="8">
        <f t="shared" si="40"/>
        <v>11392606.382978724</v>
      </c>
      <c r="N206" s="12">
        <f t="shared" si="41"/>
        <v>687000</v>
      </c>
      <c r="O206" s="13">
        <f t="shared" si="42"/>
        <v>6.0302267708153383E-2</v>
      </c>
      <c r="P206" s="8">
        <f t="shared" si="43"/>
        <v>12309252.873563219</v>
      </c>
      <c r="Q206" s="12">
        <f t="shared" si="44"/>
        <v>687000</v>
      </c>
      <c r="R206" s="13">
        <f t="shared" si="45"/>
        <v>5.5811673304354728E-2</v>
      </c>
    </row>
    <row r="207" spans="1:18" x14ac:dyDescent="0.3">
      <c r="A207" s="1">
        <v>8050001</v>
      </c>
      <c r="B207" s="1">
        <v>8100000</v>
      </c>
      <c r="C207" s="9">
        <v>15900</v>
      </c>
      <c r="E207" s="3">
        <f t="shared" si="34"/>
        <v>1053000</v>
      </c>
      <c r="F207" s="3">
        <f t="shared" si="35"/>
        <v>915300</v>
      </c>
      <c r="G207" s="2">
        <f t="shared" si="36"/>
        <v>8.1604938271604935E-2</v>
      </c>
      <c r="H207" s="8">
        <f t="shared" si="37"/>
        <v>30000</v>
      </c>
      <c r="I207" s="8">
        <f t="shared" si="38"/>
        <v>691000</v>
      </c>
      <c r="L207" s="8">
        <f t="shared" si="39"/>
        <v>10775200</v>
      </c>
      <c r="M207" s="8">
        <f t="shared" si="40"/>
        <v>11462978.723404257</v>
      </c>
      <c r="N207" s="12">
        <f t="shared" si="41"/>
        <v>691000</v>
      </c>
      <c r="O207" s="13">
        <f t="shared" si="42"/>
        <v>6.028101566560249E-2</v>
      </c>
      <c r="P207" s="8">
        <f t="shared" si="43"/>
        <v>12385287.35632184</v>
      </c>
      <c r="Q207" s="12">
        <f t="shared" si="44"/>
        <v>691000</v>
      </c>
      <c r="R207" s="13">
        <f t="shared" si="45"/>
        <v>5.5792003860717199E-2</v>
      </c>
    </row>
    <row r="208" spans="1:18" x14ac:dyDescent="0.3">
      <c r="A208" s="1">
        <v>8100001</v>
      </c>
      <c r="B208" s="1">
        <v>8150000</v>
      </c>
      <c r="C208" s="9">
        <v>15900</v>
      </c>
      <c r="E208" s="3">
        <f t="shared" si="34"/>
        <v>1059500</v>
      </c>
      <c r="F208" s="3">
        <f t="shared" si="35"/>
        <v>920950</v>
      </c>
      <c r="G208" s="2">
        <f t="shared" si="36"/>
        <v>8.1595092024539878E-2</v>
      </c>
      <c r="H208" s="8">
        <f t="shared" si="37"/>
        <v>30000</v>
      </c>
      <c r="I208" s="8">
        <f t="shared" si="38"/>
        <v>695000</v>
      </c>
      <c r="L208" s="8">
        <f t="shared" si="39"/>
        <v>10841350</v>
      </c>
      <c r="M208" s="8">
        <f t="shared" si="40"/>
        <v>11533351.063829787</v>
      </c>
      <c r="N208" s="12">
        <f t="shared" si="41"/>
        <v>695000</v>
      </c>
      <c r="O208" s="13">
        <f t="shared" si="42"/>
        <v>6.0260022967619349E-2</v>
      </c>
      <c r="P208" s="8">
        <f t="shared" si="43"/>
        <v>12461321.83908046</v>
      </c>
      <c r="Q208" s="12">
        <f t="shared" si="44"/>
        <v>695000</v>
      </c>
      <c r="R208" s="13">
        <f t="shared" si="45"/>
        <v>5.5772574448754074E-2</v>
      </c>
    </row>
    <row r="209" spans="1:18" x14ac:dyDescent="0.3">
      <c r="A209" s="1">
        <v>8150001</v>
      </c>
      <c r="B209" s="1">
        <v>8200000</v>
      </c>
      <c r="C209" s="9">
        <v>15900</v>
      </c>
      <c r="E209" s="3">
        <f t="shared" si="34"/>
        <v>1066000</v>
      </c>
      <c r="F209" s="3">
        <f t="shared" si="35"/>
        <v>926600</v>
      </c>
      <c r="G209" s="2">
        <f t="shared" si="36"/>
        <v>8.158536585365854E-2</v>
      </c>
      <c r="H209" s="8">
        <f t="shared" si="37"/>
        <v>30000</v>
      </c>
      <c r="I209" s="8">
        <f t="shared" si="38"/>
        <v>699000</v>
      </c>
      <c r="L209" s="8">
        <f t="shared" si="39"/>
        <v>10907500</v>
      </c>
      <c r="M209" s="8">
        <f t="shared" si="40"/>
        <v>11603723.404255319</v>
      </c>
      <c r="N209" s="12">
        <f t="shared" si="41"/>
        <v>699000</v>
      </c>
      <c r="O209" s="13">
        <f t="shared" si="42"/>
        <v>6.0239284895713958E-2</v>
      </c>
      <c r="P209" s="8">
        <f t="shared" si="43"/>
        <v>12537356.321839081</v>
      </c>
      <c r="Q209" s="12">
        <f t="shared" si="44"/>
        <v>699000</v>
      </c>
      <c r="R209" s="13">
        <f t="shared" si="45"/>
        <v>5.575338070135228E-2</v>
      </c>
    </row>
    <row r="210" spans="1:18" x14ac:dyDescent="0.3">
      <c r="A210" s="1">
        <v>8200001</v>
      </c>
      <c r="B210" s="1">
        <v>8250000</v>
      </c>
      <c r="C210" s="9">
        <v>15900</v>
      </c>
      <c r="E210" s="3">
        <f t="shared" si="34"/>
        <v>1072500</v>
      </c>
      <c r="F210" s="3">
        <f t="shared" si="35"/>
        <v>932250</v>
      </c>
      <c r="G210" s="2">
        <f t="shared" si="36"/>
        <v>8.1575757575757579E-2</v>
      </c>
      <c r="H210" s="8">
        <f t="shared" si="37"/>
        <v>30000</v>
      </c>
      <c r="I210" s="8">
        <f t="shared" si="38"/>
        <v>703000</v>
      </c>
      <c r="L210" s="8">
        <f t="shared" si="39"/>
        <v>10973650</v>
      </c>
      <c r="M210" s="8">
        <f t="shared" si="40"/>
        <v>11674095.744680852</v>
      </c>
      <c r="N210" s="12">
        <f t="shared" si="41"/>
        <v>703000</v>
      </c>
      <c r="O210" s="13">
        <f t="shared" si="42"/>
        <v>6.0218796845170015E-2</v>
      </c>
      <c r="P210" s="8">
        <f t="shared" si="43"/>
        <v>12613390.804597702</v>
      </c>
      <c r="Q210" s="12">
        <f t="shared" si="44"/>
        <v>703000</v>
      </c>
      <c r="R210" s="13">
        <f t="shared" si="45"/>
        <v>5.5734418356699907E-2</v>
      </c>
    </row>
    <row r="211" spans="1:18" x14ac:dyDescent="0.3">
      <c r="A211" s="1">
        <v>8250001</v>
      </c>
      <c r="B211" s="1">
        <v>8300000</v>
      </c>
      <c r="C211" s="9">
        <v>15900</v>
      </c>
      <c r="E211" s="3">
        <f t="shared" si="34"/>
        <v>1079000</v>
      </c>
      <c r="F211" s="3">
        <f t="shared" si="35"/>
        <v>937900</v>
      </c>
      <c r="G211" s="2">
        <f t="shared" si="36"/>
        <v>8.1566265060240964E-2</v>
      </c>
      <c r="H211" s="8">
        <f t="shared" si="37"/>
        <v>30000</v>
      </c>
      <c r="I211" s="8">
        <f t="shared" si="38"/>
        <v>707000</v>
      </c>
      <c r="L211" s="8">
        <f t="shared" si="39"/>
        <v>11039800</v>
      </c>
      <c r="M211" s="8">
        <f t="shared" si="40"/>
        <v>11744468.085106384</v>
      </c>
      <c r="N211" s="12">
        <f t="shared" si="41"/>
        <v>707000</v>
      </c>
      <c r="O211" s="13">
        <f t="shared" si="42"/>
        <v>6.0198554321636254E-2</v>
      </c>
      <c r="P211" s="8">
        <f t="shared" si="43"/>
        <v>12689425.287356323</v>
      </c>
      <c r="Q211" s="12">
        <f t="shared" si="44"/>
        <v>707000</v>
      </c>
      <c r="R211" s="13">
        <f t="shared" si="45"/>
        <v>5.5715683255131432E-2</v>
      </c>
    </row>
    <row r="212" spans="1:18" x14ac:dyDescent="0.3">
      <c r="A212" s="1">
        <v>8300001</v>
      </c>
      <c r="B212" s="1">
        <v>8350000</v>
      </c>
      <c r="C212" s="9">
        <v>15900</v>
      </c>
      <c r="E212" s="3">
        <f t="shared" si="34"/>
        <v>1085500</v>
      </c>
      <c r="F212" s="3">
        <f t="shared" si="35"/>
        <v>943550</v>
      </c>
      <c r="G212" s="2">
        <f t="shared" si="36"/>
        <v>8.1556886227544909E-2</v>
      </c>
      <c r="H212" s="8">
        <f t="shared" si="37"/>
        <v>30000</v>
      </c>
      <c r="I212" s="8">
        <f t="shared" si="38"/>
        <v>711000</v>
      </c>
      <c r="L212" s="8">
        <f t="shared" si="39"/>
        <v>11105950</v>
      </c>
      <c r="M212" s="8">
        <f t="shared" si="40"/>
        <v>11814840.425531916</v>
      </c>
      <c r="N212" s="12">
        <f t="shared" si="41"/>
        <v>711000</v>
      </c>
      <c r="O212" s="13">
        <f t="shared" si="42"/>
        <v>6.0178552937839622E-2</v>
      </c>
      <c r="P212" s="8">
        <f t="shared" si="43"/>
        <v>12765459.770114943</v>
      </c>
      <c r="Q212" s="12">
        <f t="shared" si="44"/>
        <v>711000</v>
      </c>
      <c r="R212" s="13">
        <f t="shared" si="45"/>
        <v>5.5697171336085607E-2</v>
      </c>
    </row>
    <row r="213" spans="1:18" x14ac:dyDescent="0.3">
      <c r="A213" s="1">
        <v>8350001</v>
      </c>
      <c r="B213" s="1">
        <v>8400000</v>
      </c>
      <c r="C213" s="9">
        <v>15900</v>
      </c>
      <c r="E213" s="3">
        <f t="shared" si="34"/>
        <v>1092000</v>
      </c>
      <c r="F213" s="3">
        <f t="shared" si="35"/>
        <v>949200</v>
      </c>
      <c r="G213" s="2">
        <f t="shared" si="36"/>
        <v>8.1547619047619049E-2</v>
      </c>
      <c r="H213" s="8">
        <f t="shared" si="37"/>
        <v>30000</v>
      </c>
      <c r="I213" s="8">
        <f t="shared" si="38"/>
        <v>715000</v>
      </c>
      <c r="L213" s="8">
        <f t="shared" si="39"/>
        <v>11172100</v>
      </c>
      <c r="M213" s="8">
        <f t="shared" si="40"/>
        <v>11885212.765957447</v>
      </c>
      <c r="N213" s="12">
        <f t="shared" si="41"/>
        <v>715000</v>
      </c>
      <c r="O213" s="13">
        <f t="shared" si="42"/>
        <v>6.0158788410415234E-2</v>
      </c>
      <c r="P213" s="8">
        <f t="shared" si="43"/>
        <v>12841494.252873564</v>
      </c>
      <c r="Q213" s="12">
        <f t="shared" si="44"/>
        <v>715000</v>
      </c>
      <c r="R213" s="13">
        <f t="shared" si="45"/>
        <v>5.5678878635171541E-2</v>
      </c>
    </row>
    <row r="214" spans="1:18" x14ac:dyDescent="0.3">
      <c r="A214" s="1">
        <v>8400001</v>
      </c>
      <c r="B214" s="1">
        <v>8450000</v>
      </c>
      <c r="C214" s="9">
        <v>15900</v>
      </c>
      <c r="E214" s="3">
        <f t="shared" si="34"/>
        <v>1098500</v>
      </c>
      <c r="F214" s="3">
        <f t="shared" si="35"/>
        <v>954850</v>
      </c>
      <c r="G214" s="2">
        <f t="shared" si="36"/>
        <v>8.1538461538461546E-2</v>
      </c>
      <c r="H214" s="8">
        <f t="shared" si="37"/>
        <v>30000</v>
      </c>
      <c r="I214" s="8">
        <f t="shared" si="38"/>
        <v>719000.00000000012</v>
      </c>
      <c r="L214" s="8">
        <f t="shared" si="39"/>
        <v>11238250</v>
      </c>
      <c r="M214" s="8">
        <f t="shared" si="40"/>
        <v>11955585.106382979</v>
      </c>
      <c r="N214" s="12">
        <f t="shared" si="41"/>
        <v>719000</v>
      </c>
      <c r="O214" s="13">
        <f t="shared" si="42"/>
        <v>6.0139256556848264E-2</v>
      </c>
      <c r="P214" s="8">
        <f t="shared" si="43"/>
        <v>12917528.735632185</v>
      </c>
      <c r="Q214" s="12">
        <f t="shared" si="44"/>
        <v>719000</v>
      </c>
      <c r="R214" s="13">
        <f t="shared" si="45"/>
        <v>5.5660801281338282E-2</v>
      </c>
    </row>
    <row r="215" spans="1:18" x14ac:dyDescent="0.3">
      <c r="A215" s="1">
        <v>8450001</v>
      </c>
      <c r="B215" s="1">
        <v>8500000</v>
      </c>
      <c r="C215" s="9">
        <v>15900</v>
      </c>
      <c r="E215" s="3">
        <f t="shared" si="34"/>
        <v>1105000</v>
      </c>
      <c r="F215" s="3">
        <f t="shared" si="35"/>
        <v>960500</v>
      </c>
      <c r="G215" s="2">
        <f t="shared" si="36"/>
        <v>8.1529411764705878E-2</v>
      </c>
      <c r="H215" s="8">
        <f t="shared" si="37"/>
        <v>30000</v>
      </c>
      <c r="I215" s="8">
        <f t="shared" si="38"/>
        <v>723000</v>
      </c>
      <c r="L215" s="8">
        <f t="shared" si="39"/>
        <v>11304400</v>
      </c>
      <c r="M215" s="8">
        <f t="shared" si="40"/>
        <v>12025957.446808511</v>
      </c>
      <c r="N215" s="12">
        <f t="shared" si="41"/>
        <v>723000</v>
      </c>
      <c r="O215" s="13">
        <f t="shared" si="42"/>
        <v>6.0119953292523259E-2</v>
      </c>
      <c r="P215" s="8">
        <f t="shared" si="43"/>
        <v>12993563.218390804</v>
      </c>
      <c r="Q215" s="12">
        <f t="shared" si="44"/>
        <v>723000</v>
      </c>
      <c r="R215" s="13">
        <f t="shared" si="45"/>
        <v>5.5642935494143876E-2</v>
      </c>
    </row>
    <row r="216" spans="1:18" x14ac:dyDescent="0.3">
      <c r="A216" s="1">
        <v>8500001</v>
      </c>
      <c r="B216" s="1">
        <v>8550000</v>
      </c>
      <c r="C216" s="9">
        <v>15900</v>
      </c>
      <c r="E216" s="3">
        <f t="shared" si="34"/>
        <v>1111500</v>
      </c>
      <c r="F216" s="3">
        <f t="shared" si="35"/>
        <v>966150</v>
      </c>
      <c r="G216" s="2">
        <f t="shared" si="36"/>
        <v>8.1520467836257313E-2</v>
      </c>
      <c r="H216" s="8">
        <f t="shared" si="37"/>
        <v>30000</v>
      </c>
      <c r="I216" s="8">
        <f t="shared" si="38"/>
        <v>727000</v>
      </c>
      <c r="L216" s="8">
        <f t="shared" si="39"/>
        <v>11370550</v>
      </c>
      <c r="M216" s="8">
        <f t="shared" si="40"/>
        <v>12096329.787234044</v>
      </c>
      <c r="N216" s="12">
        <f t="shared" si="41"/>
        <v>727000</v>
      </c>
      <c r="O216" s="13">
        <f t="shared" si="42"/>
        <v>6.0100874627876395E-2</v>
      </c>
      <c r="P216" s="8">
        <f t="shared" si="43"/>
        <v>13069597.701149425</v>
      </c>
      <c r="Q216" s="12">
        <f t="shared" si="44"/>
        <v>727000</v>
      </c>
      <c r="R216" s="13">
        <f t="shared" si="45"/>
        <v>5.5625277581119653E-2</v>
      </c>
    </row>
    <row r="217" spans="1:18" x14ac:dyDescent="0.3">
      <c r="A217" s="1">
        <v>8550001</v>
      </c>
      <c r="B217" s="1">
        <v>8600000</v>
      </c>
      <c r="C217" s="9">
        <v>15900</v>
      </c>
      <c r="E217" s="3">
        <f t="shared" si="34"/>
        <v>1118000</v>
      </c>
      <c r="F217" s="3">
        <f t="shared" si="35"/>
        <v>971800</v>
      </c>
      <c r="G217" s="2">
        <f t="shared" si="36"/>
        <v>8.1511627906976747E-2</v>
      </c>
      <c r="H217" s="8">
        <f t="shared" si="37"/>
        <v>30000</v>
      </c>
      <c r="I217" s="8">
        <f t="shared" si="38"/>
        <v>731000</v>
      </c>
      <c r="L217" s="8">
        <f t="shared" si="39"/>
        <v>11436700</v>
      </c>
      <c r="M217" s="8">
        <f t="shared" si="40"/>
        <v>12166702.127659576</v>
      </c>
      <c r="N217" s="12">
        <f t="shared" si="41"/>
        <v>731000</v>
      </c>
      <c r="O217" s="13">
        <f t="shared" si="42"/>
        <v>6.0082016665646554E-2</v>
      </c>
      <c r="P217" s="8">
        <f t="shared" si="43"/>
        <v>13145632.183908045</v>
      </c>
      <c r="Q217" s="12">
        <f t="shared" si="44"/>
        <v>731000</v>
      </c>
      <c r="R217" s="13">
        <f t="shared" si="45"/>
        <v>5.5607823935226071E-2</v>
      </c>
    </row>
    <row r="218" spans="1:18" x14ac:dyDescent="0.3">
      <c r="A218" s="1">
        <v>8600001</v>
      </c>
      <c r="B218" s="1">
        <v>8650000</v>
      </c>
      <c r="C218" s="9">
        <v>15900</v>
      </c>
      <c r="E218" s="3">
        <f t="shared" si="34"/>
        <v>1124500</v>
      </c>
      <c r="F218" s="3">
        <f t="shared" si="35"/>
        <v>977450</v>
      </c>
      <c r="G218" s="2">
        <f t="shared" si="36"/>
        <v>8.1502890173410406E-2</v>
      </c>
      <c r="H218" s="8">
        <f t="shared" si="37"/>
        <v>30000</v>
      </c>
      <c r="I218" s="8">
        <f t="shared" si="38"/>
        <v>735000</v>
      </c>
      <c r="L218" s="8">
        <f t="shared" si="39"/>
        <v>11502850</v>
      </c>
      <c r="M218" s="8">
        <f t="shared" si="40"/>
        <v>12237074.468085106</v>
      </c>
      <c r="N218" s="12">
        <f t="shared" si="41"/>
        <v>735000</v>
      </c>
      <c r="O218" s="13">
        <f t="shared" si="42"/>
        <v>6.0063375598221308E-2</v>
      </c>
      <c r="P218" s="8">
        <f t="shared" si="43"/>
        <v>13221666.666666666</v>
      </c>
      <c r="Q218" s="12">
        <f t="shared" si="44"/>
        <v>735000</v>
      </c>
      <c r="R218" s="13">
        <f t="shared" si="45"/>
        <v>5.559057103239632E-2</v>
      </c>
    </row>
    <row r="219" spans="1:18" x14ac:dyDescent="0.3">
      <c r="A219" s="1">
        <v>8650001</v>
      </c>
      <c r="B219" s="1">
        <v>8700000</v>
      </c>
      <c r="C219" s="9">
        <v>15900</v>
      </c>
      <c r="E219" s="3">
        <f t="shared" si="34"/>
        <v>1131000</v>
      </c>
      <c r="F219" s="3">
        <f t="shared" si="35"/>
        <v>983100</v>
      </c>
      <c r="G219" s="2">
        <f t="shared" si="36"/>
        <v>8.1494252873563225E-2</v>
      </c>
      <c r="H219" s="8">
        <f t="shared" si="37"/>
        <v>30000</v>
      </c>
      <c r="I219" s="8">
        <f t="shared" si="38"/>
        <v>739000</v>
      </c>
      <c r="L219" s="8">
        <f t="shared" si="39"/>
        <v>11569000</v>
      </c>
      <c r="M219" s="8">
        <f t="shared" si="40"/>
        <v>12307446.808510639</v>
      </c>
      <c r="N219" s="12">
        <f t="shared" si="41"/>
        <v>739000</v>
      </c>
      <c r="O219" s="13">
        <f t="shared" si="42"/>
        <v>6.0044947705073903E-2</v>
      </c>
      <c r="P219" s="8">
        <f t="shared" si="43"/>
        <v>13297701.149425287</v>
      </c>
      <c r="Q219" s="12">
        <f t="shared" si="44"/>
        <v>739000</v>
      </c>
      <c r="R219" s="13">
        <f t="shared" si="45"/>
        <v>5.5573515429164146E-2</v>
      </c>
    </row>
    <row r="220" spans="1:18" x14ac:dyDescent="0.3">
      <c r="A220" s="1">
        <v>8700001</v>
      </c>
      <c r="B220" s="1">
        <v>8750000</v>
      </c>
      <c r="C220" s="9">
        <v>15900</v>
      </c>
      <c r="E220" s="3">
        <f t="shared" si="34"/>
        <v>1137500</v>
      </c>
      <c r="F220" s="3">
        <f t="shared" si="35"/>
        <v>988750</v>
      </c>
      <c r="G220" s="2">
        <f t="shared" si="36"/>
        <v>8.1485714285714286E-2</v>
      </c>
      <c r="H220" s="8">
        <f t="shared" si="37"/>
        <v>30000</v>
      </c>
      <c r="I220" s="8">
        <f t="shared" si="38"/>
        <v>743000</v>
      </c>
      <c r="L220" s="8">
        <f t="shared" si="39"/>
        <v>11635150</v>
      </c>
      <c r="M220" s="8">
        <f t="shared" si="40"/>
        <v>12377819.148936171</v>
      </c>
      <c r="N220" s="12">
        <f t="shared" si="41"/>
        <v>743000</v>
      </c>
      <c r="O220" s="13">
        <f t="shared" si="42"/>
        <v>6.0026729350287703E-2</v>
      </c>
      <c r="P220" s="8">
        <f t="shared" si="43"/>
        <v>13373735.632183908</v>
      </c>
      <c r="Q220" s="12">
        <f t="shared" si="44"/>
        <v>743000</v>
      </c>
      <c r="R220" s="13">
        <f t="shared" si="45"/>
        <v>5.5556653760372665E-2</v>
      </c>
    </row>
    <row r="221" spans="1:18" x14ac:dyDescent="0.3">
      <c r="A221" s="1">
        <v>8750001</v>
      </c>
      <c r="B221" s="1">
        <v>8800000</v>
      </c>
      <c r="C221" s="9">
        <v>15900</v>
      </c>
      <c r="E221" s="3">
        <f t="shared" si="34"/>
        <v>1144000</v>
      </c>
      <c r="F221" s="3">
        <f t="shared" si="35"/>
        <v>994400</v>
      </c>
      <c r="G221" s="2">
        <f t="shared" si="36"/>
        <v>8.1477272727272732E-2</v>
      </c>
      <c r="H221" s="8">
        <f t="shared" si="37"/>
        <v>30000</v>
      </c>
      <c r="I221" s="8">
        <f t="shared" si="38"/>
        <v>747000</v>
      </c>
      <c r="L221" s="8">
        <f t="shared" si="39"/>
        <v>11701300</v>
      </c>
      <c r="M221" s="8">
        <f t="shared" si="40"/>
        <v>12448191.489361703</v>
      </c>
      <c r="N221" s="12">
        <f t="shared" si="41"/>
        <v>747000</v>
      </c>
      <c r="O221" s="13">
        <f t="shared" si="42"/>
        <v>6.0008716980164592E-2</v>
      </c>
      <c r="P221" s="8">
        <f t="shared" si="43"/>
        <v>13449770.114942528</v>
      </c>
      <c r="Q221" s="12">
        <f t="shared" si="44"/>
        <v>747000</v>
      </c>
      <c r="R221" s="13">
        <f t="shared" si="45"/>
        <v>5.5539982736960855E-2</v>
      </c>
    </row>
    <row r="222" spans="1:18" x14ac:dyDescent="0.3">
      <c r="A222" s="1">
        <v>8800001</v>
      </c>
      <c r="B222" s="1">
        <v>8850000</v>
      </c>
      <c r="C222" s="9">
        <v>15900</v>
      </c>
      <c r="E222" s="3">
        <f t="shared" si="34"/>
        <v>1150500</v>
      </c>
      <c r="F222" s="3">
        <f t="shared" si="35"/>
        <v>1000050</v>
      </c>
      <c r="G222" s="2">
        <f t="shared" si="36"/>
        <v>8.1468926553672313E-2</v>
      </c>
      <c r="H222" s="8">
        <f t="shared" si="37"/>
        <v>30000</v>
      </c>
      <c r="I222" s="8">
        <f t="shared" si="38"/>
        <v>751000</v>
      </c>
      <c r="L222" s="8">
        <f t="shared" si="39"/>
        <v>11767450</v>
      </c>
      <c r="M222" s="8">
        <f t="shared" si="40"/>
        <v>12518563.829787234</v>
      </c>
      <c r="N222" s="12">
        <f t="shared" si="41"/>
        <v>751000</v>
      </c>
      <c r="O222" s="13">
        <f t="shared" si="42"/>
        <v>5.9990907120914046E-2</v>
      </c>
      <c r="P222" s="8">
        <f t="shared" si="43"/>
        <v>13525804.597701149</v>
      </c>
      <c r="Q222" s="12">
        <f t="shared" si="44"/>
        <v>751000</v>
      </c>
      <c r="R222" s="13">
        <f t="shared" si="45"/>
        <v>5.5523499143824706E-2</v>
      </c>
    </row>
    <row r="223" spans="1:18" x14ac:dyDescent="0.3">
      <c r="A223" s="1">
        <v>8850001</v>
      </c>
      <c r="B223" s="1">
        <v>8900000</v>
      </c>
      <c r="C223" s="9">
        <v>15900</v>
      </c>
      <c r="E223" s="3">
        <f t="shared" si="34"/>
        <v>1157000</v>
      </c>
      <c r="F223" s="3">
        <f t="shared" si="35"/>
        <v>1005700</v>
      </c>
      <c r="G223" s="2">
        <f t="shared" si="36"/>
        <v>8.1460674157303375E-2</v>
      </c>
      <c r="H223" s="8">
        <f t="shared" si="37"/>
        <v>30000</v>
      </c>
      <c r="I223" s="8">
        <f t="shared" si="38"/>
        <v>755000</v>
      </c>
      <c r="L223" s="8">
        <f t="shared" si="39"/>
        <v>11833600</v>
      </c>
      <c r="M223" s="8">
        <f t="shared" si="40"/>
        <v>12588936.170212766</v>
      </c>
      <c r="N223" s="12">
        <f t="shared" si="41"/>
        <v>755000</v>
      </c>
      <c r="O223" s="13">
        <f t="shared" si="42"/>
        <v>5.9973296376419682E-2</v>
      </c>
      <c r="P223" s="8">
        <f t="shared" si="43"/>
        <v>13601839.08045977</v>
      </c>
      <c r="Q223" s="12">
        <f t="shared" si="44"/>
        <v>755000</v>
      </c>
      <c r="R223" s="13">
        <f t="shared" si="45"/>
        <v>5.5507199837750133E-2</v>
      </c>
    </row>
    <row r="224" spans="1:18" x14ac:dyDescent="0.3">
      <c r="A224" s="1">
        <v>8900001</v>
      </c>
      <c r="B224" s="1">
        <v>8950000</v>
      </c>
      <c r="C224" s="9">
        <v>15900</v>
      </c>
      <c r="E224" s="3">
        <f t="shared" si="34"/>
        <v>1163500</v>
      </c>
      <c r="F224" s="3">
        <f t="shared" si="35"/>
        <v>1011350</v>
      </c>
      <c r="G224" s="2">
        <f t="shared" si="36"/>
        <v>8.1452513966480455E-2</v>
      </c>
      <c r="H224" s="8">
        <f t="shared" si="37"/>
        <v>30000</v>
      </c>
      <c r="I224" s="8">
        <f t="shared" si="38"/>
        <v>759000.00000000012</v>
      </c>
      <c r="L224" s="8">
        <f t="shared" si="39"/>
        <v>11899750</v>
      </c>
      <c r="M224" s="8">
        <f t="shared" si="40"/>
        <v>12659308.510638298</v>
      </c>
      <c r="N224" s="12">
        <f t="shared" si="41"/>
        <v>759000</v>
      </c>
      <c r="O224" s="13">
        <f t="shared" si="42"/>
        <v>5.9955881426080375E-2</v>
      </c>
      <c r="P224" s="8">
        <f t="shared" si="43"/>
        <v>13677873.563218391</v>
      </c>
      <c r="Q224" s="12">
        <f t="shared" si="44"/>
        <v>759000</v>
      </c>
      <c r="R224" s="13">
        <f t="shared" si="45"/>
        <v>5.5491081745414818E-2</v>
      </c>
    </row>
    <row r="225" spans="1:18" x14ac:dyDescent="0.3">
      <c r="A225" s="1">
        <v>8950001</v>
      </c>
      <c r="B225" s="1">
        <v>9000000</v>
      </c>
      <c r="C225" s="9">
        <v>15900</v>
      </c>
      <c r="E225" s="3">
        <f t="shared" ref="E225:E288" si="46">B225*13%</f>
        <v>1170000</v>
      </c>
      <c r="F225" s="3">
        <f t="shared" ref="F225:F288" si="47">(B225+E225)*10%</f>
        <v>1017000</v>
      </c>
      <c r="G225" s="2">
        <f t="shared" si="36"/>
        <v>8.1444444444444444E-2</v>
      </c>
      <c r="H225" s="8">
        <f t="shared" si="37"/>
        <v>30000</v>
      </c>
      <c r="I225" s="8">
        <f t="shared" si="38"/>
        <v>763000</v>
      </c>
      <c r="L225" s="8">
        <f t="shared" si="39"/>
        <v>11965900</v>
      </c>
      <c r="M225" s="8">
        <f t="shared" si="40"/>
        <v>12729680.851063831</v>
      </c>
      <c r="N225" s="12">
        <f t="shared" si="41"/>
        <v>763000</v>
      </c>
      <c r="O225" s="13">
        <f t="shared" si="42"/>
        <v>5.9938659022722898E-2</v>
      </c>
      <c r="P225" s="8">
        <f t="shared" si="43"/>
        <v>13753908.045977011</v>
      </c>
      <c r="Q225" s="12">
        <f t="shared" si="44"/>
        <v>763000</v>
      </c>
      <c r="R225" s="13">
        <f t="shared" si="45"/>
        <v>5.5475141861456308E-2</v>
      </c>
    </row>
    <row r="226" spans="1:18" x14ac:dyDescent="0.3">
      <c r="A226" s="1">
        <v>9000001</v>
      </c>
      <c r="B226" s="1">
        <v>9050000</v>
      </c>
      <c r="C226" s="9">
        <v>15900</v>
      </c>
      <c r="E226" s="3">
        <f t="shared" si="46"/>
        <v>1176500</v>
      </c>
      <c r="F226" s="3">
        <f t="shared" si="47"/>
        <v>1022650</v>
      </c>
      <c r="G226" s="2">
        <f t="shared" si="36"/>
        <v>8.1436464088397789E-2</v>
      </c>
      <c r="H226" s="8">
        <f t="shared" si="37"/>
        <v>30000</v>
      </c>
      <c r="I226" s="8">
        <f t="shared" si="38"/>
        <v>767000</v>
      </c>
      <c r="L226" s="8">
        <f t="shared" si="39"/>
        <v>12032050</v>
      </c>
      <c r="M226" s="8">
        <f t="shared" si="40"/>
        <v>12800053.191489363</v>
      </c>
      <c r="N226" s="12">
        <f t="shared" si="41"/>
        <v>767000</v>
      </c>
      <c r="O226" s="13">
        <f t="shared" si="42"/>
        <v>5.9921625990583476E-2</v>
      </c>
      <c r="P226" s="8">
        <f t="shared" si="43"/>
        <v>13829942.528735632</v>
      </c>
      <c r="Q226" s="12">
        <f t="shared" si="44"/>
        <v>767000</v>
      </c>
      <c r="R226" s="13">
        <f t="shared" si="45"/>
        <v>5.545937724660386E-2</v>
      </c>
    </row>
    <row r="227" spans="1:18" x14ac:dyDescent="0.3">
      <c r="A227" s="1">
        <v>9050001</v>
      </c>
      <c r="B227" s="1">
        <v>9100000</v>
      </c>
      <c r="C227" s="9">
        <v>15900</v>
      </c>
      <c r="E227" s="3">
        <f t="shared" si="46"/>
        <v>1183000</v>
      </c>
      <c r="F227" s="3">
        <f t="shared" si="47"/>
        <v>1028300</v>
      </c>
      <c r="G227" s="2">
        <f t="shared" si="36"/>
        <v>8.1428571428571433E-2</v>
      </c>
      <c r="H227" s="8">
        <f t="shared" si="37"/>
        <v>30000</v>
      </c>
      <c r="I227" s="8">
        <f t="shared" si="38"/>
        <v>771000</v>
      </c>
      <c r="L227" s="8">
        <f t="shared" si="39"/>
        <v>12098200</v>
      </c>
      <c r="M227" s="8">
        <f t="shared" si="40"/>
        <v>12870425.531914894</v>
      </c>
      <c r="N227" s="12">
        <f t="shared" si="41"/>
        <v>771000</v>
      </c>
      <c r="O227" s="13">
        <f t="shared" si="42"/>
        <v>5.9904779223355541E-2</v>
      </c>
      <c r="P227" s="8">
        <f t="shared" si="43"/>
        <v>13905977.011494253</v>
      </c>
      <c r="Q227" s="12">
        <f t="shared" si="44"/>
        <v>771000</v>
      </c>
      <c r="R227" s="13">
        <f t="shared" si="45"/>
        <v>5.544378502587162E-2</v>
      </c>
    </row>
    <row r="228" spans="1:18" x14ac:dyDescent="0.3">
      <c r="A228" s="1">
        <v>9100001</v>
      </c>
      <c r="B228" s="1">
        <v>9150000</v>
      </c>
      <c r="C228" s="9">
        <v>15900</v>
      </c>
      <c r="E228" s="3">
        <f t="shared" si="46"/>
        <v>1189500</v>
      </c>
      <c r="F228" s="3">
        <f t="shared" si="47"/>
        <v>1033950</v>
      </c>
      <c r="G228" s="2">
        <f t="shared" si="36"/>
        <v>8.14207650273224E-2</v>
      </c>
      <c r="H228" s="8">
        <f t="shared" si="37"/>
        <v>30000</v>
      </c>
      <c r="I228" s="8">
        <f t="shared" si="38"/>
        <v>775000</v>
      </c>
      <c r="L228" s="8">
        <f t="shared" si="39"/>
        <v>12164350</v>
      </c>
      <c r="M228" s="8">
        <f t="shared" si="40"/>
        <v>12940797.872340426</v>
      </c>
      <c r="N228" s="12">
        <f t="shared" si="41"/>
        <v>775000</v>
      </c>
      <c r="O228" s="13">
        <f t="shared" si="42"/>
        <v>5.9888115682301152E-2</v>
      </c>
      <c r="P228" s="8">
        <f t="shared" si="43"/>
        <v>13982011.494252874</v>
      </c>
      <c r="Q228" s="12">
        <f t="shared" si="44"/>
        <v>775000</v>
      </c>
      <c r="R228" s="13">
        <f t="shared" si="45"/>
        <v>5.5428362386810641E-2</v>
      </c>
    </row>
    <row r="229" spans="1:18" x14ac:dyDescent="0.3">
      <c r="A229" s="1">
        <v>9150001</v>
      </c>
      <c r="B229" s="1">
        <v>9200000</v>
      </c>
      <c r="C229" s="9">
        <v>15900</v>
      </c>
      <c r="E229" s="3">
        <f t="shared" si="46"/>
        <v>1196000</v>
      </c>
      <c r="F229" s="3">
        <f t="shared" si="47"/>
        <v>1039600</v>
      </c>
      <c r="G229" s="2">
        <f t="shared" si="36"/>
        <v>8.1413043478260866E-2</v>
      </c>
      <c r="H229" s="8">
        <f t="shared" si="37"/>
        <v>30000</v>
      </c>
      <c r="I229" s="8">
        <f t="shared" si="38"/>
        <v>779000</v>
      </c>
      <c r="L229" s="8">
        <f t="shared" si="39"/>
        <v>12230500</v>
      </c>
      <c r="M229" s="8">
        <f t="shared" si="40"/>
        <v>13011170.212765958</v>
      </c>
      <c r="N229" s="12">
        <f t="shared" si="41"/>
        <v>779000</v>
      </c>
      <c r="O229" s="13">
        <f t="shared" si="42"/>
        <v>5.9871632394423772E-2</v>
      </c>
      <c r="P229" s="8">
        <f t="shared" si="43"/>
        <v>14058045.977011494</v>
      </c>
      <c r="Q229" s="12">
        <f t="shared" si="44"/>
        <v>779000</v>
      </c>
      <c r="R229" s="13">
        <f t="shared" si="45"/>
        <v>5.5413106577817749E-2</v>
      </c>
    </row>
    <row r="230" spans="1:18" x14ac:dyDescent="0.3">
      <c r="A230" s="1">
        <v>9200001</v>
      </c>
      <c r="B230" s="1">
        <v>9250000</v>
      </c>
      <c r="C230" s="9">
        <v>15900</v>
      </c>
      <c r="E230" s="3">
        <f t="shared" si="46"/>
        <v>1202500</v>
      </c>
      <c r="F230" s="3">
        <f t="shared" si="47"/>
        <v>1045250</v>
      </c>
      <c r="G230" s="2">
        <f t="shared" si="36"/>
        <v>8.1405405405405404E-2</v>
      </c>
      <c r="H230" s="8">
        <f t="shared" si="37"/>
        <v>30000</v>
      </c>
      <c r="I230" s="8">
        <f t="shared" si="38"/>
        <v>783000</v>
      </c>
      <c r="L230" s="8">
        <f t="shared" si="39"/>
        <v>12296650</v>
      </c>
      <c r="M230" s="8">
        <f t="shared" si="40"/>
        <v>13081542.55319149</v>
      </c>
      <c r="N230" s="12">
        <f t="shared" si="41"/>
        <v>783000</v>
      </c>
      <c r="O230" s="13">
        <f t="shared" si="42"/>
        <v>5.9855326450699985E-2</v>
      </c>
      <c r="P230" s="8">
        <f t="shared" si="43"/>
        <v>14134080.459770115</v>
      </c>
      <c r="Q230" s="12">
        <f t="shared" si="44"/>
        <v>783000</v>
      </c>
      <c r="R230" s="13">
        <f t="shared" si="45"/>
        <v>5.5398014906498927E-2</v>
      </c>
    </row>
    <row r="231" spans="1:18" x14ac:dyDescent="0.3">
      <c r="A231" s="1">
        <v>9250001</v>
      </c>
      <c r="B231" s="1">
        <v>9300000</v>
      </c>
      <c r="C231" s="9">
        <v>15900</v>
      </c>
      <c r="E231" s="3">
        <f t="shared" si="46"/>
        <v>1209000</v>
      </c>
      <c r="F231" s="3">
        <f t="shared" si="47"/>
        <v>1050900</v>
      </c>
      <c r="G231" s="2">
        <f t="shared" si="36"/>
        <v>8.1397849462365598E-2</v>
      </c>
      <c r="H231" s="8">
        <f t="shared" si="37"/>
        <v>30000</v>
      </c>
      <c r="I231" s="8">
        <f t="shared" si="38"/>
        <v>787000.00000000012</v>
      </c>
      <c r="L231" s="8">
        <f t="shared" si="39"/>
        <v>12362800</v>
      </c>
      <c r="M231" s="8">
        <f t="shared" si="40"/>
        <v>13151914.893617023</v>
      </c>
      <c r="N231" s="12">
        <f t="shared" si="41"/>
        <v>787000</v>
      </c>
      <c r="O231" s="13">
        <f t="shared" si="42"/>
        <v>5.9839195004367934E-2</v>
      </c>
      <c r="P231" s="8">
        <f t="shared" si="43"/>
        <v>14210114.942528736</v>
      </c>
      <c r="Q231" s="12">
        <f t="shared" si="44"/>
        <v>787000</v>
      </c>
      <c r="R231" s="13">
        <f t="shared" si="45"/>
        <v>5.5383084738085224E-2</v>
      </c>
    </row>
    <row r="232" spans="1:18" x14ac:dyDescent="0.3">
      <c r="A232" s="1">
        <v>9300001</v>
      </c>
      <c r="B232" s="1">
        <v>9350000</v>
      </c>
      <c r="C232" s="9">
        <v>15900</v>
      </c>
      <c r="E232" s="3">
        <f t="shared" si="46"/>
        <v>1215500</v>
      </c>
      <c r="F232" s="3">
        <f t="shared" si="47"/>
        <v>1056550</v>
      </c>
      <c r="G232" s="2">
        <f t="shared" si="36"/>
        <v>8.1390374331550802E-2</v>
      </c>
      <c r="H232" s="8">
        <f t="shared" si="37"/>
        <v>30000</v>
      </c>
      <c r="I232" s="8">
        <f t="shared" si="38"/>
        <v>791000</v>
      </c>
      <c r="L232" s="8">
        <f t="shared" si="39"/>
        <v>12428950</v>
      </c>
      <c r="M232" s="8">
        <f t="shared" si="40"/>
        <v>13222287.234042553</v>
      </c>
      <c r="N232" s="12">
        <f t="shared" si="41"/>
        <v>791000</v>
      </c>
      <c r="O232" s="13">
        <f t="shared" si="42"/>
        <v>5.9823235269270532E-2</v>
      </c>
      <c r="P232" s="8">
        <f t="shared" si="43"/>
        <v>14286149.425287357</v>
      </c>
      <c r="Q232" s="12">
        <f t="shared" si="44"/>
        <v>791000</v>
      </c>
      <c r="R232" s="13">
        <f t="shared" si="45"/>
        <v>5.536831349389932E-2</v>
      </c>
    </row>
    <row r="233" spans="1:18" x14ac:dyDescent="0.3">
      <c r="A233" s="1">
        <v>9350001</v>
      </c>
      <c r="B233" s="1">
        <v>9400000</v>
      </c>
      <c r="C233" s="9">
        <v>15900</v>
      </c>
      <c r="E233" s="3">
        <f t="shared" si="46"/>
        <v>1222000</v>
      </c>
      <c r="F233" s="3">
        <f t="shared" si="47"/>
        <v>1062200</v>
      </c>
      <c r="G233" s="2">
        <f t="shared" si="36"/>
        <v>8.1382978723404262E-2</v>
      </c>
      <c r="H233" s="8">
        <f t="shared" si="37"/>
        <v>30000</v>
      </c>
      <c r="I233" s="8">
        <f t="shared" si="38"/>
        <v>795000.00000000012</v>
      </c>
      <c r="L233" s="8">
        <f t="shared" si="39"/>
        <v>12495100</v>
      </c>
      <c r="M233" s="8">
        <f t="shared" si="40"/>
        <v>13292659.574468086</v>
      </c>
      <c r="N233" s="12">
        <f t="shared" si="41"/>
        <v>795000</v>
      </c>
      <c r="O233" s="13">
        <f t="shared" si="42"/>
        <v>5.9807444518251152E-2</v>
      </c>
      <c r="P233" s="8">
        <f t="shared" si="43"/>
        <v>14362183.908045977</v>
      </c>
      <c r="Q233" s="12">
        <f t="shared" si="44"/>
        <v>795000</v>
      </c>
      <c r="R233" s="13">
        <f t="shared" si="45"/>
        <v>5.5353698649870747E-2</v>
      </c>
    </row>
    <row r="234" spans="1:18" x14ac:dyDescent="0.3">
      <c r="A234" s="1">
        <v>9400001</v>
      </c>
      <c r="B234" s="1">
        <v>9450000</v>
      </c>
      <c r="C234" s="9">
        <v>15900</v>
      </c>
      <c r="E234" s="3">
        <f t="shared" si="46"/>
        <v>1228500</v>
      </c>
      <c r="F234" s="3">
        <f t="shared" si="47"/>
        <v>1067850</v>
      </c>
      <c r="G234" s="2">
        <f t="shared" si="36"/>
        <v>8.1375661375661379E-2</v>
      </c>
      <c r="H234" s="8">
        <f t="shared" si="37"/>
        <v>30000</v>
      </c>
      <c r="I234" s="8">
        <f t="shared" si="38"/>
        <v>799000</v>
      </c>
      <c r="L234" s="8">
        <f t="shared" si="39"/>
        <v>12561250</v>
      </c>
      <c r="M234" s="8">
        <f t="shared" si="40"/>
        <v>13363031.914893618</v>
      </c>
      <c r="N234" s="12">
        <f t="shared" si="41"/>
        <v>799000</v>
      </c>
      <c r="O234" s="13">
        <f t="shared" si="42"/>
        <v>5.9791820081600153E-2</v>
      </c>
      <c r="P234" s="8">
        <f t="shared" si="43"/>
        <v>14438218.390804598</v>
      </c>
      <c r="Q234" s="12">
        <f t="shared" si="44"/>
        <v>799000</v>
      </c>
      <c r="R234" s="13">
        <f t="shared" si="45"/>
        <v>5.5339237735098017E-2</v>
      </c>
    </row>
    <row r="235" spans="1:18" x14ac:dyDescent="0.3">
      <c r="A235" s="1">
        <v>9450001</v>
      </c>
      <c r="B235" s="1">
        <v>9500000</v>
      </c>
      <c r="C235" s="9">
        <v>15900</v>
      </c>
      <c r="E235" s="3">
        <f t="shared" si="46"/>
        <v>1235000</v>
      </c>
      <c r="F235" s="3">
        <f t="shared" si="47"/>
        <v>1073500</v>
      </c>
      <c r="G235" s="2">
        <f t="shared" si="36"/>
        <v>8.1368421052631576E-2</v>
      </c>
      <c r="H235" s="8">
        <f t="shared" si="37"/>
        <v>30000</v>
      </c>
      <c r="I235" s="8">
        <f t="shared" si="38"/>
        <v>803000</v>
      </c>
      <c r="L235" s="8">
        <f t="shared" si="39"/>
        <v>12627400</v>
      </c>
      <c r="M235" s="8">
        <f t="shared" si="40"/>
        <v>13433404.25531915</v>
      </c>
      <c r="N235" s="12">
        <f t="shared" si="41"/>
        <v>803000</v>
      </c>
      <c r="O235" s="13">
        <f t="shared" si="42"/>
        <v>5.9776359345550145E-2</v>
      </c>
      <c r="P235" s="8">
        <f t="shared" si="43"/>
        <v>14514252.873563219</v>
      </c>
      <c r="Q235" s="12">
        <f t="shared" si="44"/>
        <v>803000</v>
      </c>
      <c r="R235" s="13">
        <f t="shared" si="45"/>
        <v>5.5324928330455991E-2</v>
      </c>
    </row>
    <row r="236" spans="1:18" x14ac:dyDescent="0.3">
      <c r="A236" s="1">
        <v>9500001</v>
      </c>
      <c r="B236" s="1">
        <v>9550000</v>
      </c>
      <c r="C236" s="9">
        <v>15900</v>
      </c>
      <c r="E236" s="3">
        <f t="shared" si="46"/>
        <v>1241500</v>
      </c>
      <c r="F236" s="3">
        <f t="shared" si="47"/>
        <v>1079150</v>
      </c>
      <c r="G236" s="2">
        <f t="shared" si="36"/>
        <v>8.1361256544502616E-2</v>
      </c>
      <c r="H236" s="8">
        <f t="shared" si="37"/>
        <v>30000</v>
      </c>
      <c r="I236" s="8">
        <f t="shared" si="38"/>
        <v>807000</v>
      </c>
      <c r="L236" s="8">
        <f t="shared" si="39"/>
        <v>12693550</v>
      </c>
      <c r="M236" s="8">
        <f t="shared" si="40"/>
        <v>13503776.595744682</v>
      </c>
      <c r="N236" s="12">
        <f t="shared" si="41"/>
        <v>807000</v>
      </c>
      <c r="O236" s="13">
        <f t="shared" si="42"/>
        <v>5.9761059750818323E-2</v>
      </c>
      <c r="P236" s="8">
        <f t="shared" si="43"/>
        <v>14590287.35632184</v>
      </c>
      <c r="Q236" s="12">
        <f t="shared" si="44"/>
        <v>807000</v>
      </c>
      <c r="R236" s="13">
        <f t="shared" si="45"/>
        <v>5.5310768067246746E-2</v>
      </c>
    </row>
    <row r="237" spans="1:18" x14ac:dyDescent="0.3">
      <c r="A237" s="1">
        <v>9550001</v>
      </c>
      <c r="B237" s="1">
        <v>9600000</v>
      </c>
      <c r="C237" s="9">
        <v>15900</v>
      </c>
      <c r="E237" s="3">
        <f t="shared" si="46"/>
        <v>1248000</v>
      </c>
      <c r="F237" s="3">
        <f t="shared" si="47"/>
        <v>1084800</v>
      </c>
      <c r="G237" s="2">
        <f t="shared" si="36"/>
        <v>8.1354166666666672E-2</v>
      </c>
      <c r="H237" s="8">
        <f t="shared" si="37"/>
        <v>30000</v>
      </c>
      <c r="I237" s="8">
        <f t="shared" si="38"/>
        <v>811000</v>
      </c>
      <c r="L237" s="8">
        <f t="shared" si="39"/>
        <v>12759700</v>
      </c>
      <c r="M237" s="8">
        <f t="shared" si="40"/>
        <v>13574148.936170213</v>
      </c>
      <c r="N237" s="12">
        <f t="shared" si="41"/>
        <v>811000</v>
      </c>
      <c r="O237" s="13">
        <f t="shared" si="42"/>
        <v>5.9745918791194147E-2</v>
      </c>
      <c r="P237" s="8">
        <f t="shared" si="43"/>
        <v>14666321.83908046</v>
      </c>
      <c r="Q237" s="12">
        <f t="shared" si="44"/>
        <v>811000</v>
      </c>
      <c r="R237" s="13">
        <f t="shared" si="45"/>
        <v>5.5296754625892459E-2</v>
      </c>
    </row>
    <row r="238" spans="1:18" x14ac:dyDescent="0.3">
      <c r="A238" s="1">
        <v>9600001</v>
      </c>
      <c r="B238" s="1">
        <v>9650000</v>
      </c>
      <c r="C238" s="9">
        <v>15900</v>
      </c>
      <c r="E238" s="3">
        <f t="shared" si="46"/>
        <v>1254500</v>
      </c>
      <c r="F238" s="3">
        <f t="shared" si="47"/>
        <v>1090450</v>
      </c>
      <c r="G238" s="2">
        <f t="shared" si="36"/>
        <v>8.1347150259067358E-2</v>
      </c>
      <c r="H238" s="8">
        <f t="shared" si="37"/>
        <v>30000</v>
      </c>
      <c r="I238" s="8">
        <f t="shared" si="38"/>
        <v>815000</v>
      </c>
      <c r="L238" s="8">
        <f t="shared" si="39"/>
        <v>12825850</v>
      </c>
      <c r="M238" s="8">
        <f t="shared" si="40"/>
        <v>13644521.276595745</v>
      </c>
      <c r="N238" s="12">
        <f t="shared" si="41"/>
        <v>815000</v>
      </c>
      <c r="O238" s="13">
        <f t="shared" si="42"/>
        <v>5.9730934012170729E-2</v>
      </c>
      <c r="P238" s="8">
        <f t="shared" si="43"/>
        <v>14742356.321839081</v>
      </c>
      <c r="Q238" s="12">
        <f t="shared" si="44"/>
        <v>815000</v>
      </c>
      <c r="R238" s="13">
        <f t="shared" si="45"/>
        <v>5.5282885734668656E-2</v>
      </c>
    </row>
    <row r="239" spans="1:18" x14ac:dyDescent="0.3">
      <c r="A239" s="1">
        <v>9650001</v>
      </c>
      <c r="B239" s="1">
        <v>9700000</v>
      </c>
      <c r="C239" s="9">
        <v>15900</v>
      </c>
      <c r="E239" s="3">
        <f t="shared" si="46"/>
        <v>1261000</v>
      </c>
      <c r="F239" s="3">
        <f t="shared" si="47"/>
        <v>1096100</v>
      </c>
      <c r="G239" s="2">
        <f t="shared" si="36"/>
        <v>8.1340206185567018E-2</v>
      </c>
      <c r="H239" s="8">
        <f t="shared" si="37"/>
        <v>30000</v>
      </c>
      <c r="I239" s="8">
        <f t="shared" si="38"/>
        <v>819000.00000000012</v>
      </c>
      <c r="L239" s="8">
        <f t="shared" si="39"/>
        <v>12892000</v>
      </c>
      <c r="M239" s="8">
        <f t="shared" si="40"/>
        <v>13714893.617021278</v>
      </c>
      <c r="N239" s="12">
        <f t="shared" si="41"/>
        <v>819000</v>
      </c>
      <c r="O239" s="13">
        <f t="shared" si="42"/>
        <v>5.9716103009618361E-2</v>
      </c>
      <c r="P239" s="8">
        <f t="shared" si="43"/>
        <v>14818390.804597702</v>
      </c>
      <c r="Q239" s="12">
        <f t="shared" si="44"/>
        <v>819000</v>
      </c>
      <c r="R239" s="13">
        <f t="shared" si="45"/>
        <v>5.5269159168476571E-2</v>
      </c>
    </row>
    <row r="240" spans="1:18" x14ac:dyDescent="0.3">
      <c r="A240" s="1">
        <v>9700001</v>
      </c>
      <c r="B240" s="1">
        <v>9750000</v>
      </c>
      <c r="C240" s="9">
        <v>15900</v>
      </c>
      <c r="E240" s="3">
        <f t="shared" si="46"/>
        <v>1267500</v>
      </c>
      <c r="F240" s="3">
        <f t="shared" si="47"/>
        <v>1101750</v>
      </c>
      <c r="G240" s="2">
        <f t="shared" si="36"/>
        <v>8.1333333333333341E-2</v>
      </c>
      <c r="H240" s="8">
        <f t="shared" si="37"/>
        <v>30000</v>
      </c>
      <c r="I240" s="8">
        <f t="shared" si="38"/>
        <v>823000.00000000012</v>
      </c>
      <c r="L240" s="8">
        <f t="shared" si="39"/>
        <v>12958150</v>
      </c>
      <c r="M240" s="8">
        <f t="shared" si="40"/>
        <v>13785265.95744681</v>
      </c>
      <c r="N240" s="12">
        <f t="shared" si="41"/>
        <v>823000</v>
      </c>
      <c r="O240" s="13">
        <f t="shared" si="42"/>
        <v>5.9701423428498664E-2</v>
      </c>
      <c r="P240" s="8">
        <f t="shared" si="43"/>
        <v>14894425.287356323</v>
      </c>
      <c r="Q240" s="12">
        <f t="shared" si="44"/>
        <v>823000</v>
      </c>
      <c r="R240" s="13">
        <f t="shared" si="45"/>
        <v>5.5255572747653019E-2</v>
      </c>
    </row>
    <row r="241" spans="1:18" x14ac:dyDescent="0.3">
      <c r="A241" s="1">
        <v>9750001</v>
      </c>
      <c r="B241" s="1">
        <v>9800000</v>
      </c>
      <c r="C241" s="9">
        <v>15900</v>
      </c>
      <c r="E241" s="3">
        <f t="shared" si="46"/>
        <v>1274000</v>
      </c>
      <c r="F241" s="3">
        <f t="shared" si="47"/>
        <v>1107400</v>
      </c>
      <c r="G241" s="2">
        <f t="shared" si="36"/>
        <v>8.1326530612244902E-2</v>
      </c>
      <c r="H241" s="8">
        <f t="shared" si="37"/>
        <v>30000</v>
      </c>
      <c r="I241" s="8">
        <f t="shared" si="38"/>
        <v>827000</v>
      </c>
      <c r="L241" s="8">
        <f t="shared" si="39"/>
        <v>13024300</v>
      </c>
      <c r="M241" s="8">
        <f t="shared" si="40"/>
        <v>13855638.29787234</v>
      </c>
      <c r="N241" s="12">
        <f t="shared" si="41"/>
        <v>827000</v>
      </c>
      <c r="O241" s="13">
        <f t="shared" si="42"/>
        <v>5.9686892961617902E-2</v>
      </c>
      <c r="P241" s="8">
        <f t="shared" si="43"/>
        <v>14970459.770114943</v>
      </c>
      <c r="Q241" s="12">
        <f t="shared" si="44"/>
        <v>827000</v>
      </c>
      <c r="R241" s="13">
        <f t="shared" si="45"/>
        <v>5.5242124336816564E-2</v>
      </c>
    </row>
    <row r="242" spans="1:18" x14ac:dyDescent="0.3">
      <c r="A242" s="1">
        <v>9800001</v>
      </c>
      <c r="B242" s="1">
        <v>9850000</v>
      </c>
      <c r="C242" s="9">
        <v>15900</v>
      </c>
      <c r="E242" s="3">
        <f t="shared" si="46"/>
        <v>1280500</v>
      </c>
      <c r="F242" s="3">
        <f t="shared" si="47"/>
        <v>1113050</v>
      </c>
      <c r="G242" s="2">
        <f t="shared" si="36"/>
        <v>8.1319796954314724E-2</v>
      </c>
      <c r="H242" s="8">
        <f t="shared" si="37"/>
        <v>30000</v>
      </c>
      <c r="I242" s="8">
        <f t="shared" si="38"/>
        <v>831000</v>
      </c>
      <c r="L242" s="8">
        <f t="shared" si="39"/>
        <v>13090450</v>
      </c>
      <c r="M242" s="8">
        <f t="shared" si="40"/>
        <v>13926010.638297873</v>
      </c>
      <c r="N242" s="12">
        <f t="shared" si="41"/>
        <v>831000</v>
      </c>
      <c r="O242" s="13">
        <f t="shared" si="42"/>
        <v>5.9672509348418119E-2</v>
      </c>
      <c r="P242" s="8">
        <f t="shared" si="43"/>
        <v>15046494.252873564</v>
      </c>
      <c r="Q242" s="12">
        <f t="shared" si="44"/>
        <v>831000</v>
      </c>
      <c r="R242" s="13">
        <f t="shared" si="45"/>
        <v>5.5228811843748685E-2</v>
      </c>
    </row>
    <row r="243" spans="1:18" x14ac:dyDescent="0.3">
      <c r="A243" s="1">
        <v>9850001</v>
      </c>
      <c r="B243" s="1">
        <v>9900000</v>
      </c>
      <c r="C243" s="9">
        <v>15900</v>
      </c>
      <c r="E243" s="3">
        <f t="shared" si="46"/>
        <v>1287000</v>
      </c>
      <c r="F243" s="3">
        <f t="shared" si="47"/>
        <v>1118700</v>
      </c>
      <c r="G243" s="2">
        <f t="shared" si="36"/>
        <v>8.1313131313131309E-2</v>
      </c>
      <c r="H243" s="8">
        <f t="shared" si="37"/>
        <v>30000</v>
      </c>
      <c r="I243" s="8">
        <f t="shared" si="38"/>
        <v>835000</v>
      </c>
      <c r="L243" s="8">
        <f t="shared" si="39"/>
        <v>13156600</v>
      </c>
      <c r="M243" s="8">
        <f t="shared" si="40"/>
        <v>13996382.978723405</v>
      </c>
      <c r="N243" s="12">
        <f t="shared" si="41"/>
        <v>835000</v>
      </c>
      <c r="O243" s="13">
        <f t="shared" si="42"/>
        <v>5.9658270373804778E-2</v>
      </c>
      <c r="P243" s="8">
        <f t="shared" si="43"/>
        <v>15122528.735632185</v>
      </c>
      <c r="Q243" s="12">
        <f t="shared" si="44"/>
        <v>835000</v>
      </c>
      <c r="R243" s="13">
        <f t="shared" si="45"/>
        <v>5.5215633218308677E-2</v>
      </c>
    </row>
    <row r="244" spans="1:18" x14ac:dyDescent="0.3">
      <c r="A244" s="1">
        <v>9900001</v>
      </c>
      <c r="B244" s="1">
        <v>9950000</v>
      </c>
      <c r="C244" s="9">
        <v>15900</v>
      </c>
      <c r="E244" s="3">
        <f t="shared" si="46"/>
        <v>1293500</v>
      </c>
      <c r="F244" s="3">
        <f t="shared" si="47"/>
        <v>1124350</v>
      </c>
      <c r="G244" s="2">
        <f t="shared" si="36"/>
        <v>8.1306532663316583E-2</v>
      </c>
      <c r="H244" s="8">
        <f t="shared" si="37"/>
        <v>30000</v>
      </c>
      <c r="I244" s="8">
        <f t="shared" si="38"/>
        <v>839000</v>
      </c>
      <c r="L244" s="8">
        <f t="shared" si="39"/>
        <v>13222750</v>
      </c>
      <c r="M244" s="8">
        <f t="shared" si="40"/>
        <v>14066755.319148937</v>
      </c>
      <c r="N244" s="12">
        <f t="shared" si="41"/>
        <v>839000</v>
      </c>
      <c r="O244" s="13">
        <f t="shared" si="42"/>
        <v>5.9644173867009508E-2</v>
      </c>
      <c r="P244" s="8">
        <f t="shared" si="43"/>
        <v>15198563.218390804</v>
      </c>
      <c r="Q244" s="12">
        <f t="shared" si="44"/>
        <v>839000</v>
      </c>
      <c r="R244" s="13">
        <f t="shared" si="45"/>
        <v>5.5202586451381146E-2</v>
      </c>
    </row>
    <row r="245" spans="1:18" x14ac:dyDescent="0.3">
      <c r="A245" s="1">
        <v>9950001</v>
      </c>
      <c r="B245" s="1">
        <v>10000000</v>
      </c>
      <c r="C245" s="9">
        <v>15900</v>
      </c>
      <c r="E245" s="3">
        <f t="shared" si="46"/>
        <v>1300000</v>
      </c>
      <c r="F245" s="3">
        <f t="shared" si="47"/>
        <v>1130000</v>
      </c>
      <c r="G245" s="2">
        <f t="shared" si="36"/>
        <v>8.1299999999999997E-2</v>
      </c>
      <c r="H245" s="8">
        <f t="shared" si="37"/>
        <v>30000</v>
      </c>
      <c r="I245" s="8">
        <f t="shared" si="38"/>
        <v>843000</v>
      </c>
      <c r="L245" s="8">
        <f t="shared" si="39"/>
        <v>13288900</v>
      </c>
      <c r="M245" s="8">
        <f t="shared" si="40"/>
        <v>14137127.65957447</v>
      </c>
      <c r="N245" s="12">
        <f t="shared" si="41"/>
        <v>843000</v>
      </c>
      <c r="O245" s="13">
        <f t="shared" si="42"/>
        <v>5.9630217700486869E-2</v>
      </c>
      <c r="P245" s="8">
        <f t="shared" si="43"/>
        <v>15274597.701149425</v>
      </c>
      <c r="Q245" s="12">
        <f t="shared" si="44"/>
        <v>843000</v>
      </c>
      <c r="R245" s="13">
        <f t="shared" si="45"/>
        <v>5.5189669573854877E-2</v>
      </c>
    </row>
    <row r="246" spans="1:18" x14ac:dyDescent="0.3">
      <c r="A246" s="1">
        <v>10000001</v>
      </c>
      <c r="B246" s="1">
        <v>10050000</v>
      </c>
      <c r="C246" s="9">
        <v>15900</v>
      </c>
      <c r="E246" s="3">
        <f t="shared" si="46"/>
        <v>1306500</v>
      </c>
      <c r="F246" s="3">
        <f t="shared" si="47"/>
        <v>1135650</v>
      </c>
      <c r="G246" s="2">
        <f t="shared" si="36"/>
        <v>8.1293532338308466E-2</v>
      </c>
      <c r="H246" s="8">
        <f t="shared" si="37"/>
        <v>30000</v>
      </c>
      <c r="I246" s="8">
        <f t="shared" si="38"/>
        <v>847000.00000000012</v>
      </c>
      <c r="L246" s="8">
        <f t="shared" si="39"/>
        <v>13355050</v>
      </c>
      <c r="M246" s="8">
        <f t="shared" si="40"/>
        <v>14207500</v>
      </c>
      <c r="N246" s="12">
        <f t="shared" si="41"/>
        <v>847000</v>
      </c>
      <c r="O246" s="13">
        <f t="shared" si="42"/>
        <v>5.9616399788843921E-2</v>
      </c>
      <c r="P246" s="8">
        <f t="shared" si="43"/>
        <v>15350632.183908045</v>
      </c>
      <c r="Q246" s="12">
        <f t="shared" si="44"/>
        <v>847000</v>
      </c>
      <c r="R246" s="13">
        <f t="shared" si="45"/>
        <v>5.5176880655632143E-2</v>
      </c>
    </row>
    <row r="247" spans="1:18" x14ac:dyDescent="0.3">
      <c r="A247" s="1">
        <v>10050001</v>
      </c>
      <c r="B247" s="1">
        <v>10100000</v>
      </c>
      <c r="C247" s="9">
        <v>15900</v>
      </c>
      <c r="E247" s="3">
        <f t="shared" si="46"/>
        <v>1313000</v>
      </c>
      <c r="F247" s="3">
        <f t="shared" si="47"/>
        <v>1141300</v>
      </c>
      <c r="G247" s="2">
        <f t="shared" si="36"/>
        <v>8.128712871287129E-2</v>
      </c>
      <c r="H247" s="8">
        <f t="shared" si="37"/>
        <v>30000</v>
      </c>
      <c r="I247" s="8">
        <f t="shared" si="38"/>
        <v>851000</v>
      </c>
      <c r="L247" s="8">
        <f t="shared" si="39"/>
        <v>13421200</v>
      </c>
      <c r="M247" s="8">
        <f t="shared" si="40"/>
        <v>14277872.340425532</v>
      </c>
      <c r="N247" s="12">
        <f t="shared" si="41"/>
        <v>851000</v>
      </c>
      <c r="O247" s="13">
        <f t="shared" si="42"/>
        <v>5.960271808780139E-2</v>
      </c>
      <c r="P247" s="8">
        <f t="shared" si="43"/>
        <v>15426666.666666666</v>
      </c>
      <c r="Q247" s="12">
        <f t="shared" si="44"/>
        <v>851000</v>
      </c>
      <c r="R247" s="13">
        <f t="shared" si="45"/>
        <v>5.5164217804667244E-2</v>
      </c>
    </row>
    <row r="248" spans="1:18" x14ac:dyDescent="0.3">
      <c r="A248" s="1">
        <v>10100001</v>
      </c>
      <c r="B248" s="1">
        <v>10150000</v>
      </c>
      <c r="C248" s="9">
        <v>15900</v>
      </c>
      <c r="E248" s="3">
        <f t="shared" si="46"/>
        <v>1319500</v>
      </c>
      <c r="F248" s="3">
        <f t="shared" si="47"/>
        <v>1146950</v>
      </c>
      <c r="G248" s="2">
        <f t="shared" si="36"/>
        <v>8.1280788177339899E-2</v>
      </c>
      <c r="H248" s="8">
        <f t="shared" si="37"/>
        <v>30000</v>
      </c>
      <c r="I248" s="8">
        <f t="shared" si="38"/>
        <v>855000</v>
      </c>
      <c r="L248" s="8">
        <f t="shared" si="39"/>
        <v>13487350</v>
      </c>
      <c r="M248" s="8">
        <f t="shared" si="40"/>
        <v>14348244.680851065</v>
      </c>
      <c r="N248" s="12">
        <f t="shared" si="41"/>
        <v>855000</v>
      </c>
      <c r="O248" s="13">
        <f t="shared" si="42"/>
        <v>5.9589170593185463E-2</v>
      </c>
      <c r="P248" s="8">
        <f t="shared" si="43"/>
        <v>15502701.149425287</v>
      </c>
      <c r="Q248" s="12">
        <f t="shared" si="44"/>
        <v>855000</v>
      </c>
      <c r="R248" s="13">
        <f t="shared" si="45"/>
        <v>5.5151679166033356E-2</v>
      </c>
    </row>
    <row r="249" spans="1:18" x14ac:dyDescent="0.3">
      <c r="A249" s="1">
        <v>10150001</v>
      </c>
      <c r="B249" s="1">
        <v>10200000</v>
      </c>
      <c r="C249" s="9">
        <v>15900</v>
      </c>
      <c r="E249" s="3">
        <f t="shared" si="46"/>
        <v>1326000</v>
      </c>
      <c r="F249" s="3">
        <f t="shared" si="47"/>
        <v>1152600</v>
      </c>
      <c r="G249" s="2">
        <f t="shared" si="36"/>
        <v>8.1274509803921577E-2</v>
      </c>
      <c r="H249" s="8">
        <f t="shared" si="37"/>
        <v>30000</v>
      </c>
      <c r="I249" s="8">
        <f t="shared" si="38"/>
        <v>859000.00000000012</v>
      </c>
      <c r="L249" s="8">
        <f t="shared" si="39"/>
        <v>13553500</v>
      </c>
      <c r="M249" s="8">
        <f t="shared" si="40"/>
        <v>14418617.021276597</v>
      </c>
      <c r="N249" s="12">
        <f t="shared" si="41"/>
        <v>859000</v>
      </c>
      <c r="O249" s="13">
        <f t="shared" si="42"/>
        <v>5.9575755339949084E-2</v>
      </c>
      <c r="P249" s="8">
        <f t="shared" si="43"/>
        <v>15578735.632183908</v>
      </c>
      <c r="Q249" s="12">
        <f t="shared" si="44"/>
        <v>859000</v>
      </c>
      <c r="R249" s="13">
        <f t="shared" si="45"/>
        <v>5.5139262921016716E-2</v>
      </c>
    </row>
    <row r="250" spans="1:18" x14ac:dyDescent="0.3">
      <c r="A250" s="1">
        <v>10200001</v>
      </c>
      <c r="B250" s="1">
        <v>10250000</v>
      </c>
      <c r="C250" s="9">
        <v>15900</v>
      </c>
      <c r="E250" s="3">
        <f t="shared" si="46"/>
        <v>1332500</v>
      </c>
      <c r="F250" s="3">
        <f t="shared" si="47"/>
        <v>1158250</v>
      </c>
      <c r="G250" s="2">
        <f t="shared" si="36"/>
        <v>8.1268292682926832E-2</v>
      </c>
      <c r="H250" s="8">
        <f t="shared" si="37"/>
        <v>30000</v>
      </c>
      <c r="I250" s="8">
        <f t="shared" si="38"/>
        <v>863000</v>
      </c>
      <c r="L250" s="8">
        <f t="shared" si="39"/>
        <v>13619650</v>
      </c>
      <c r="M250" s="8">
        <f t="shared" si="40"/>
        <v>14488989.361702129</v>
      </c>
      <c r="N250" s="12">
        <f t="shared" si="41"/>
        <v>863000</v>
      </c>
      <c r="O250" s="13">
        <f t="shared" si="42"/>
        <v>5.9562470401221757E-2</v>
      </c>
      <c r="P250" s="8">
        <f t="shared" si="43"/>
        <v>15654770.114942528</v>
      </c>
      <c r="Q250" s="12">
        <f t="shared" si="44"/>
        <v>863000</v>
      </c>
      <c r="R250" s="13">
        <f t="shared" si="45"/>
        <v>5.5126967286237165E-2</v>
      </c>
    </row>
    <row r="251" spans="1:18" x14ac:dyDescent="0.3">
      <c r="A251" s="1">
        <v>10250001</v>
      </c>
      <c r="B251" s="1">
        <v>10300000</v>
      </c>
      <c r="C251" s="9">
        <v>15900</v>
      </c>
      <c r="E251" s="3">
        <f t="shared" si="46"/>
        <v>1339000</v>
      </c>
      <c r="F251" s="3">
        <f t="shared" si="47"/>
        <v>1163900</v>
      </c>
      <c r="G251" s="2">
        <f t="shared" si="36"/>
        <v>8.12621359223301E-2</v>
      </c>
      <c r="H251" s="8">
        <f t="shared" si="37"/>
        <v>30000</v>
      </c>
      <c r="I251" s="8">
        <f t="shared" si="38"/>
        <v>867000</v>
      </c>
      <c r="L251" s="8">
        <f t="shared" si="39"/>
        <v>13685800</v>
      </c>
      <c r="M251" s="8">
        <f t="shared" si="40"/>
        <v>14559361.70212766</v>
      </c>
      <c r="N251" s="12">
        <f t="shared" si="41"/>
        <v>867000</v>
      </c>
      <c r="O251" s="13">
        <f t="shared" si="42"/>
        <v>5.9549313887386927E-2</v>
      </c>
      <c r="P251" s="8">
        <f t="shared" si="43"/>
        <v>15730804.597701149</v>
      </c>
      <c r="Q251" s="12">
        <f t="shared" si="44"/>
        <v>867000</v>
      </c>
      <c r="R251" s="13">
        <f t="shared" si="45"/>
        <v>5.5114790512794283E-2</v>
      </c>
    </row>
    <row r="252" spans="1:18" x14ac:dyDescent="0.3">
      <c r="A252" s="1">
        <v>10300001</v>
      </c>
      <c r="B252" s="1">
        <v>10350000</v>
      </c>
      <c r="C252" s="9">
        <v>15900</v>
      </c>
      <c r="E252" s="3">
        <f t="shared" si="46"/>
        <v>1345500</v>
      </c>
      <c r="F252" s="3">
        <f t="shared" si="47"/>
        <v>1169550</v>
      </c>
      <c r="G252" s="2">
        <f t="shared" si="36"/>
        <v>8.1256038647343001E-2</v>
      </c>
      <c r="H252" s="8">
        <f t="shared" si="37"/>
        <v>30000</v>
      </c>
      <c r="I252" s="8">
        <f t="shared" si="38"/>
        <v>871000.00000000012</v>
      </c>
      <c r="L252" s="8">
        <f t="shared" si="39"/>
        <v>13751950</v>
      </c>
      <c r="M252" s="8">
        <f t="shared" si="40"/>
        <v>14629734.042553192</v>
      </c>
      <c r="N252" s="12">
        <f t="shared" si="41"/>
        <v>871000</v>
      </c>
      <c r="O252" s="13">
        <f t="shared" si="42"/>
        <v>5.9536283945185953E-2</v>
      </c>
      <c r="P252" s="8">
        <f t="shared" si="43"/>
        <v>15806839.08045977</v>
      </c>
      <c r="Q252" s="12">
        <f t="shared" si="44"/>
        <v>871000</v>
      </c>
      <c r="R252" s="13">
        <f t="shared" si="45"/>
        <v>5.5102730885438066E-2</v>
      </c>
    </row>
    <row r="253" spans="1:18" x14ac:dyDescent="0.3">
      <c r="A253" s="1">
        <v>10350001</v>
      </c>
      <c r="B253" s="1">
        <v>10400000</v>
      </c>
      <c r="C253" s="9">
        <v>15900</v>
      </c>
      <c r="E253" s="3">
        <f t="shared" si="46"/>
        <v>1352000</v>
      </c>
      <c r="F253" s="3">
        <f t="shared" si="47"/>
        <v>1175200</v>
      </c>
      <c r="G253" s="2">
        <f t="shared" si="36"/>
        <v>8.1250000000000003E-2</v>
      </c>
      <c r="H253" s="8">
        <f t="shared" si="37"/>
        <v>30000</v>
      </c>
      <c r="I253" s="8">
        <f t="shared" si="38"/>
        <v>875000</v>
      </c>
      <c r="L253" s="8">
        <f t="shared" si="39"/>
        <v>13818100</v>
      </c>
      <c r="M253" s="8">
        <f t="shared" si="40"/>
        <v>14700106.382978724</v>
      </c>
      <c r="N253" s="12">
        <f t="shared" si="41"/>
        <v>875000</v>
      </c>
      <c r="O253" s="13">
        <f t="shared" si="42"/>
        <v>5.9523378756847899E-2</v>
      </c>
      <c r="P253" s="8">
        <f t="shared" si="43"/>
        <v>15882873.563218391</v>
      </c>
      <c r="Q253" s="12">
        <f t="shared" si="44"/>
        <v>875000</v>
      </c>
      <c r="R253" s="13">
        <f t="shared" si="45"/>
        <v>5.5090786721763485E-2</v>
      </c>
    </row>
    <row r="254" spans="1:18" x14ac:dyDescent="0.3">
      <c r="A254" s="1">
        <v>10400001</v>
      </c>
      <c r="B254" s="1">
        <v>10450000</v>
      </c>
      <c r="C254" s="9">
        <v>15900</v>
      </c>
      <c r="E254" s="3">
        <f t="shared" si="46"/>
        <v>1358500</v>
      </c>
      <c r="F254" s="3">
        <f t="shared" si="47"/>
        <v>1180850</v>
      </c>
      <c r="G254" s="2">
        <f t="shared" si="36"/>
        <v>8.124401913875598E-2</v>
      </c>
      <c r="H254" s="8">
        <f t="shared" si="37"/>
        <v>30000</v>
      </c>
      <c r="I254" s="8">
        <f t="shared" si="38"/>
        <v>879000</v>
      </c>
      <c r="L254" s="8">
        <f t="shared" si="39"/>
        <v>13884250</v>
      </c>
      <c r="M254" s="8">
        <f t="shared" si="40"/>
        <v>14770478.723404257</v>
      </c>
      <c r="N254" s="12">
        <f t="shared" si="41"/>
        <v>879000</v>
      </c>
      <c r="O254" s="13">
        <f t="shared" si="42"/>
        <v>5.95105965392441E-2</v>
      </c>
      <c r="P254" s="8">
        <f t="shared" si="43"/>
        <v>15958908.045977011</v>
      </c>
      <c r="Q254" s="12">
        <f t="shared" si="44"/>
        <v>879000</v>
      </c>
      <c r="R254" s="13">
        <f t="shared" si="45"/>
        <v>5.507895637142806E-2</v>
      </c>
    </row>
    <row r="255" spans="1:18" x14ac:dyDescent="0.3">
      <c r="A255" s="1">
        <v>10450001</v>
      </c>
      <c r="B255" s="1">
        <v>10500000</v>
      </c>
      <c r="C255" s="9">
        <v>15900</v>
      </c>
      <c r="E255" s="3">
        <f t="shared" si="46"/>
        <v>1365000</v>
      </c>
      <c r="F255" s="3">
        <f t="shared" si="47"/>
        <v>1186500</v>
      </c>
      <c r="G255" s="2">
        <f t="shared" si="36"/>
        <v>8.1238095238095234E-2</v>
      </c>
      <c r="H255" s="8">
        <f t="shared" si="37"/>
        <v>30000</v>
      </c>
      <c r="I255" s="8">
        <f t="shared" si="38"/>
        <v>883000</v>
      </c>
      <c r="L255" s="8">
        <f t="shared" si="39"/>
        <v>13950400</v>
      </c>
      <c r="M255" s="8">
        <f t="shared" si="40"/>
        <v>14840851.063829789</v>
      </c>
      <c r="N255" s="12">
        <f t="shared" si="41"/>
        <v>883000</v>
      </c>
      <c r="O255" s="13">
        <f t="shared" si="42"/>
        <v>5.9497935543066857E-2</v>
      </c>
      <c r="P255" s="8">
        <f t="shared" si="43"/>
        <v>16034942.528735632</v>
      </c>
      <c r="Q255" s="12">
        <f t="shared" si="44"/>
        <v>883000</v>
      </c>
      <c r="R255" s="13">
        <f t="shared" si="45"/>
        <v>5.5067238215391674E-2</v>
      </c>
    </row>
    <row r="256" spans="1:18" x14ac:dyDescent="0.3">
      <c r="A256" s="1">
        <v>10500001</v>
      </c>
      <c r="B256" s="1">
        <v>10550000</v>
      </c>
      <c r="C256" s="9">
        <v>15900</v>
      </c>
      <c r="E256" s="3">
        <f t="shared" si="46"/>
        <v>1371500</v>
      </c>
      <c r="F256" s="3">
        <f t="shared" si="47"/>
        <v>1192150</v>
      </c>
      <c r="G256" s="2">
        <f t="shared" si="36"/>
        <v>8.1232227488151662E-2</v>
      </c>
      <c r="H256" s="8">
        <f t="shared" si="37"/>
        <v>30000</v>
      </c>
      <c r="I256" s="8">
        <f t="shared" si="38"/>
        <v>887000</v>
      </c>
      <c r="L256" s="8">
        <f t="shared" si="39"/>
        <v>14016550</v>
      </c>
      <c r="M256" s="8">
        <f t="shared" si="40"/>
        <v>14911223.404255319</v>
      </c>
      <c r="N256" s="12">
        <f t="shared" si="41"/>
        <v>887000</v>
      </c>
      <c r="O256" s="13">
        <f t="shared" si="42"/>
        <v>5.9485394052031348E-2</v>
      </c>
      <c r="P256" s="8">
        <f t="shared" si="43"/>
        <v>16110977.011494253</v>
      </c>
      <c r="Q256" s="12">
        <f t="shared" si="44"/>
        <v>887000</v>
      </c>
      <c r="R256" s="13">
        <f t="shared" si="45"/>
        <v>5.5055630665177949E-2</v>
      </c>
    </row>
    <row r="257" spans="1:18" x14ac:dyDescent="0.3">
      <c r="A257" s="1">
        <v>10550001</v>
      </c>
      <c r="B257" s="1">
        <v>10600000</v>
      </c>
      <c r="C257" s="9">
        <v>15900</v>
      </c>
      <c r="E257" s="3">
        <f t="shared" si="46"/>
        <v>1378000</v>
      </c>
      <c r="F257" s="3">
        <f t="shared" si="47"/>
        <v>1197800</v>
      </c>
      <c r="G257" s="2">
        <f t="shared" si="36"/>
        <v>8.122641509433963E-2</v>
      </c>
      <c r="H257" s="8">
        <f t="shared" si="37"/>
        <v>30000</v>
      </c>
      <c r="I257" s="8">
        <f t="shared" si="38"/>
        <v>891000.00000000012</v>
      </c>
      <c r="L257" s="8">
        <f t="shared" si="39"/>
        <v>14082700</v>
      </c>
      <c r="M257" s="8">
        <f t="shared" si="40"/>
        <v>14981595.744680852</v>
      </c>
      <c r="N257" s="12">
        <f t="shared" si="41"/>
        <v>891000</v>
      </c>
      <c r="O257" s="13">
        <f t="shared" si="42"/>
        <v>5.9472970382100018E-2</v>
      </c>
      <c r="P257" s="8">
        <f t="shared" si="43"/>
        <v>16187011.494252874</v>
      </c>
      <c r="Q257" s="12">
        <f t="shared" si="44"/>
        <v>891000</v>
      </c>
      <c r="R257" s="13">
        <f t="shared" si="45"/>
        <v>5.5044132162156402E-2</v>
      </c>
    </row>
    <row r="258" spans="1:18" x14ac:dyDescent="0.3">
      <c r="A258" s="1">
        <v>10600001</v>
      </c>
      <c r="B258" s="1">
        <v>10650000</v>
      </c>
      <c r="C258" s="9">
        <v>15900</v>
      </c>
      <c r="E258" s="3">
        <f t="shared" si="46"/>
        <v>1384500</v>
      </c>
      <c r="F258" s="3">
        <f t="shared" si="47"/>
        <v>1203450</v>
      </c>
      <c r="G258" s="2">
        <f t="shared" si="36"/>
        <v>8.1220657276995303E-2</v>
      </c>
      <c r="H258" s="8">
        <f t="shared" si="37"/>
        <v>30000</v>
      </c>
      <c r="I258" s="8">
        <f t="shared" si="38"/>
        <v>895000</v>
      </c>
      <c r="L258" s="8">
        <f t="shared" si="39"/>
        <v>14148850</v>
      </c>
      <c r="M258" s="8">
        <f t="shared" si="40"/>
        <v>15051968.085106384</v>
      </c>
      <c r="N258" s="12">
        <f t="shared" si="41"/>
        <v>895000</v>
      </c>
      <c r="O258" s="13">
        <f t="shared" si="42"/>
        <v>5.9460662880728821E-2</v>
      </c>
      <c r="P258" s="8">
        <f t="shared" si="43"/>
        <v>16263045.977011494</v>
      </c>
      <c r="Q258" s="12">
        <f t="shared" si="44"/>
        <v>895000</v>
      </c>
      <c r="R258" s="13">
        <f t="shared" si="45"/>
        <v>5.5032741176844764E-2</v>
      </c>
    </row>
    <row r="259" spans="1:18" x14ac:dyDescent="0.3">
      <c r="A259" s="1">
        <v>10650001</v>
      </c>
      <c r="B259" s="1">
        <v>10700000</v>
      </c>
      <c r="C259" s="9">
        <v>15900</v>
      </c>
      <c r="E259" s="3">
        <f t="shared" si="46"/>
        <v>1391000</v>
      </c>
      <c r="F259" s="3">
        <f t="shared" si="47"/>
        <v>1209100</v>
      </c>
      <c r="G259" s="2">
        <f t="shared" ref="G259:G322" si="48">MIN($K$2,MAX($K$3,$K$4/B259+$K$3))</f>
        <v>8.121495327102804E-2</v>
      </c>
      <c r="H259" s="8">
        <f t="shared" ref="H259:H322" si="49">MIN($K$11,$K$9+$K$10*(B259-$B$2))</f>
        <v>30000</v>
      </c>
      <c r="I259" s="8">
        <f t="shared" ref="I259:I322" si="50">B259*G259+H259</f>
        <v>899000</v>
      </c>
      <c r="L259" s="8">
        <f t="shared" ref="L259:L322" si="51">B259+C259+E259+F259+I259</f>
        <v>14215000</v>
      </c>
      <c r="M259" s="8">
        <f t="shared" ref="M259:M322" si="52">L259/(1-$K$14)</f>
        <v>15122340.425531916</v>
      </c>
      <c r="N259" s="12">
        <f t="shared" ref="N259:N322" si="53">M259*(1-$K$14)-B259-C259-E259-F259</f>
        <v>899000</v>
      </c>
      <c r="O259" s="13">
        <f t="shared" ref="O259:O322" si="54">N259/M259</f>
        <v>5.944846992613436E-2</v>
      </c>
      <c r="P259" s="8">
        <f t="shared" ref="P259:P322" si="55">L259/(1-$K$15)</f>
        <v>16339080.459770115</v>
      </c>
      <c r="Q259" s="12">
        <f t="shared" ref="Q259:Q322" si="56">P259*(1-$K$15)-B259-C259-E259-F259</f>
        <v>899000</v>
      </c>
      <c r="R259" s="13">
        <f t="shared" ref="R259:R322" si="57">Q259/P259</f>
        <v>5.5021456208230742E-2</v>
      </c>
    </row>
    <row r="260" spans="1:18" x14ac:dyDescent="0.3">
      <c r="A260" s="1">
        <v>10700001</v>
      </c>
      <c r="B260" s="1">
        <v>10750000</v>
      </c>
      <c r="C260" s="9">
        <v>15900</v>
      </c>
      <c r="E260" s="3">
        <f t="shared" si="46"/>
        <v>1397500</v>
      </c>
      <c r="F260" s="3">
        <f t="shared" si="47"/>
        <v>1214750</v>
      </c>
      <c r="G260" s="2">
        <f t="shared" si="48"/>
        <v>8.1209302325581392E-2</v>
      </c>
      <c r="H260" s="8">
        <f t="shared" si="49"/>
        <v>30000</v>
      </c>
      <c r="I260" s="8">
        <f t="shared" si="50"/>
        <v>903000</v>
      </c>
      <c r="L260" s="8">
        <f t="shared" si="51"/>
        <v>14281150</v>
      </c>
      <c r="M260" s="8">
        <f t="shared" si="52"/>
        <v>15192712.765957447</v>
      </c>
      <c r="N260" s="12">
        <f t="shared" si="53"/>
        <v>903000</v>
      </c>
      <c r="O260" s="13">
        <f t="shared" si="54"/>
        <v>5.943638992658154E-2</v>
      </c>
      <c r="P260" s="8">
        <f t="shared" si="55"/>
        <v>16415114.942528736</v>
      </c>
      <c r="Q260" s="12">
        <f t="shared" si="56"/>
        <v>903000</v>
      </c>
      <c r="R260" s="13">
        <f t="shared" si="57"/>
        <v>5.5010275783112704E-2</v>
      </c>
    </row>
    <row r="261" spans="1:18" x14ac:dyDescent="0.3">
      <c r="A261" s="1">
        <v>10750001</v>
      </c>
      <c r="B261" s="1">
        <v>10800000</v>
      </c>
      <c r="C261" s="9">
        <v>15900</v>
      </c>
      <c r="E261" s="3">
        <f t="shared" si="46"/>
        <v>1404000</v>
      </c>
      <c r="F261" s="3">
        <f t="shared" si="47"/>
        <v>1220400</v>
      </c>
      <c r="G261" s="2">
        <f t="shared" si="48"/>
        <v>8.1203703703703708E-2</v>
      </c>
      <c r="H261" s="8">
        <f t="shared" si="49"/>
        <v>30000</v>
      </c>
      <c r="I261" s="8">
        <f t="shared" si="50"/>
        <v>907000</v>
      </c>
      <c r="L261" s="8">
        <f t="shared" si="51"/>
        <v>14347300</v>
      </c>
      <c r="M261" s="8">
        <f t="shared" si="52"/>
        <v>15263085.106382979</v>
      </c>
      <c r="N261" s="12">
        <f t="shared" si="53"/>
        <v>907000</v>
      </c>
      <c r="O261" s="13">
        <f t="shared" si="54"/>
        <v>5.9424421319690814E-2</v>
      </c>
      <c r="P261" s="8">
        <f t="shared" si="55"/>
        <v>16491149.425287357</v>
      </c>
      <c r="Q261" s="12">
        <f t="shared" si="56"/>
        <v>907000</v>
      </c>
      <c r="R261" s="13">
        <f t="shared" si="57"/>
        <v>5.4999198455458517E-2</v>
      </c>
    </row>
    <row r="262" spans="1:18" x14ac:dyDescent="0.3">
      <c r="A262" s="1">
        <v>10800001</v>
      </c>
      <c r="B262" s="1">
        <v>10850000</v>
      </c>
      <c r="C262" s="9">
        <v>15900</v>
      </c>
      <c r="E262" s="3">
        <f t="shared" si="46"/>
        <v>1410500</v>
      </c>
      <c r="F262" s="3">
        <f t="shared" si="47"/>
        <v>1226050</v>
      </c>
      <c r="G262" s="2">
        <f t="shared" si="48"/>
        <v>8.119815668202765E-2</v>
      </c>
      <c r="H262" s="8">
        <f t="shared" si="49"/>
        <v>30000</v>
      </c>
      <c r="I262" s="8">
        <f t="shared" si="50"/>
        <v>911000</v>
      </c>
      <c r="L262" s="8">
        <f t="shared" si="51"/>
        <v>14413450</v>
      </c>
      <c r="M262" s="8">
        <f t="shared" si="52"/>
        <v>15333457.446808511</v>
      </c>
      <c r="N262" s="12">
        <f t="shared" si="53"/>
        <v>911000</v>
      </c>
      <c r="O262" s="13">
        <f t="shared" si="54"/>
        <v>5.9412562571764561E-2</v>
      </c>
      <c r="P262" s="8">
        <f t="shared" si="55"/>
        <v>16567183.908045977</v>
      </c>
      <c r="Q262" s="12">
        <f t="shared" si="56"/>
        <v>911000</v>
      </c>
      <c r="R262" s="13">
        <f t="shared" si="57"/>
        <v>5.4988222805782097E-2</v>
      </c>
    </row>
    <row r="263" spans="1:18" x14ac:dyDescent="0.3">
      <c r="A263" s="1">
        <v>10850001</v>
      </c>
      <c r="B263" s="1">
        <v>10900000</v>
      </c>
      <c r="C263" s="9">
        <v>15900</v>
      </c>
      <c r="E263" s="3">
        <f t="shared" si="46"/>
        <v>1417000</v>
      </c>
      <c r="F263" s="3">
        <f t="shared" si="47"/>
        <v>1231700</v>
      </c>
      <c r="G263" s="2">
        <f t="shared" si="48"/>
        <v>8.119266055045872E-2</v>
      </c>
      <c r="H263" s="8">
        <f t="shared" si="49"/>
        <v>30000</v>
      </c>
      <c r="I263" s="8">
        <f t="shared" si="50"/>
        <v>915000</v>
      </c>
      <c r="L263" s="8">
        <f t="shared" si="51"/>
        <v>14479600</v>
      </c>
      <c r="M263" s="8">
        <f t="shared" si="52"/>
        <v>15403829.787234044</v>
      </c>
      <c r="N263" s="12">
        <f t="shared" si="53"/>
        <v>915000</v>
      </c>
      <c r="O263" s="13">
        <f t="shared" si="54"/>
        <v>5.9400812177131959E-2</v>
      </c>
      <c r="P263" s="8">
        <f t="shared" si="55"/>
        <v>16643218.390804598</v>
      </c>
      <c r="Q263" s="12">
        <f t="shared" si="56"/>
        <v>915000</v>
      </c>
      <c r="R263" s="13">
        <f t="shared" si="57"/>
        <v>5.4977347440537033E-2</v>
      </c>
    </row>
    <row r="264" spans="1:18" x14ac:dyDescent="0.3">
      <c r="A264" s="1">
        <v>10900001</v>
      </c>
      <c r="B264" s="1">
        <v>10950000</v>
      </c>
      <c r="C264" s="9">
        <v>15900</v>
      </c>
      <c r="E264" s="3">
        <f t="shared" si="46"/>
        <v>1423500</v>
      </c>
      <c r="F264" s="3">
        <f t="shared" si="47"/>
        <v>1237350</v>
      </c>
      <c r="G264" s="2">
        <f t="shared" si="48"/>
        <v>8.1187214611872144E-2</v>
      </c>
      <c r="H264" s="8">
        <f t="shared" si="49"/>
        <v>30000</v>
      </c>
      <c r="I264" s="8">
        <f t="shared" si="50"/>
        <v>919000</v>
      </c>
      <c r="L264" s="8">
        <f t="shared" si="51"/>
        <v>14545750</v>
      </c>
      <c r="M264" s="8">
        <f t="shared" si="52"/>
        <v>15474202.127659576</v>
      </c>
      <c r="N264" s="12">
        <f t="shared" si="53"/>
        <v>919000</v>
      </c>
      <c r="O264" s="13">
        <f t="shared" si="54"/>
        <v>5.9389168657511641E-2</v>
      </c>
      <c r="P264" s="8">
        <f t="shared" si="55"/>
        <v>16719252.873563219</v>
      </c>
      <c r="Q264" s="12">
        <f t="shared" si="56"/>
        <v>919000</v>
      </c>
      <c r="R264" s="13">
        <f t="shared" si="57"/>
        <v>5.4966570991526735E-2</v>
      </c>
    </row>
    <row r="265" spans="1:18" x14ac:dyDescent="0.3">
      <c r="A265" s="1">
        <v>10950001</v>
      </c>
      <c r="B265" s="1">
        <v>11000000</v>
      </c>
      <c r="C265" s="9">
        <v>15900</v>
      </c>
      <c r="E265" s="3">
        <f t="shared" si="46"/>
        <v>1430000</v>
      </c>
      <c r="F265" s="3">
        <f t="shared" si="47"/>
        <v>1243000</v>
      </c>
      <c r="G265" s="2">
        <f t="shared" si="48"/>
        <v>8.1181818181818188E-2</v>
      </c>
      <c r="H265" s="8">
        <f t="shared" si="49"/>
        <v>30000</v>
      </c>
      <c r="I265" s="8">
        <f t="shared" si="50"/>
        <v>923000.00000000012</v>
      </c>
      <c r="L265" s="8">
        <f t="shared" si="51"/>
        <v>14611900</v>
      </c>
      <c r="M265" s="8">
        <f t="shared" si="52"/>
        <v>15544574.468085106</v>
      </c>
      <c r="N265" s="12">
        <f t="shared" si="53"/>
        <v>923000</v>
      </c>
      <c r="O265" s="13">
        <f t="shared" si="54"/>
        <v>5.9377630561391739E-2</v>
      </c>
      <c r="P265" s="8">
        <f t="shared" si="55"/>
        <v>16795287.356321838</v>
      </c>
      <c r="Q265" s="12">
        <f t="shared" si="56"/>
        <v>922999.99999999814</v>
      </c>
      <c r="R265" s="13">
        <f t="shared" si="57"/>
        <v>5.495589211533055E-2</v>
      </c>
    </row>
    <row r="266" spans="1:18" x14ac:dyDescent="0.3">
      <c r="A266" s="1">
        <v>11000001</v>
      </c>
      <c r="B266" s="1">
        <v>11050000</v>
      </c>
      <c r="C266" s="9">
        <v>15900</v>
      </c>
      <c r="E266" s="3">
        <f t="shared" si="46"/>
        <v>1436500</v>
      </c>
      <c r="F266" s="3">
        <f t="shared" si="47"/>
        <v>1248650</v>
      </c>
      <c r="G266" s="2">
        <f t="shared" si="48"/>
        <v>8.1176470588235294E-2</v>
      </c>
      <c r="H266" s="8">
        <f t="shared" si="49"/>
        <v>30000</v>
      </c>
      <c r="I266" s="8">
        <f t="shared" si="50"/>
        <v>927000</v>
      </c>
      <c r="L266" s="8">
        <f t="shared" si="51"/>
        <v>14678050</v>
      </c>
      <c r="M266" s="8">
        <f t="shared" si="52"/>
        <v>15614946.808510639</v>
      </c>
      <c r="N266" s="12">
        <f t="shared" si="53"/>
        <v>927000</v>
      </c>
      <c r="O266" s="13">
        <f t="shared" si="54"/>
        <v>5.9366196463426682E-2</v>
      </c>
      <c r="P266" s="8">
        <f t="shared" si="55"/>
        <v>16871321.83908046</v>
      </c>
      <c r="Q266" s="12">
        <f t="shared" si="56"/>
        <v>927000</v>
      </c>
      <c r="R266" s="13">
        <f t="shared" si="57"/>
        <v>5.4945309492745967E-2</v>
      </c>
    </row>
    <row r="267" spans="1:18" x14ac:dyDescent="0.3">
      <c r="A267" s="1">
        <v>11050001</v>
      </c>
      <c r="B267" s="1">
        <v>11100000</v>
      </c>
      <c r="C267" s="9">
        <v>15900</v>
      </c>
      <c r="E267" s="3">
        <f t="shared" si="46"/>
        <v>1443000</v>
      </c>
      <c r="F267" s="3">
        <f t="shared" si="47"/>
        <v>1254300</v>
      </c>
      <c r="G267" s="2">
        <f t="shared" si="48"/>
        <v>8.1171171171171175E-2</v>
      </c>
      <c r="H267" s="8">
        <f t="shared" si="49"/>
        <v>30000</v>
      </c>
      <c r="I267" s="8">
        <f t="shared" si="50"/>
        <v>931000</v>
      </c>
      <c r="L267" s="8">
        <f t="shared" si="51"/>
        <v>14744200</v>
      </c>
      <c r="M267" s="8">
        <f t="shared" si="52"/>
        <v>15685319.148936171</v>
      </c>
      <c r="N267" s="12">
        <f t="shared" si="53"/>
        <v>931000</v>
      </c>
      <c r="O267" s="13">
        <f t="shared" si="54"/>
        <v>5.9354864963850187E-2</v>
      </c>
      <c r="P267" s="8">
        <f t="shared" si="55"/>
        <v>16947356.321839079</v>
      </c>
      <c r="Q267" s="12">
        <f t="shared" si="56"/>
        <v>930999.99999999814</v>
      </c>
      <c r="R267" s="13">
        <f t="shared" si="57"/>
        <v>5.4934821828244218E-2</v>
      </c>
    </row>
    <row r="268" spans="1:18" x14ac:dyDescent="0.3">
      <c r="A268" s="1">
        <v>11100001</v>
      </c>
      <c r="B268" s="1">
        <v>11150000</v>
      </c>
      <c r="C268" s="9">
        <v>15900</v>
      </c>
      <c r="E268" s="3">
        <f t="shared" si="46"/>
        <v>1449500</v>
      </c>
      <c r="F268" s="3">
        <f t="shared" si="47"/>
        <v>1259950</v>
      </c>
      <c r="G268" s="2">
        <f t="shared" si="48"/>
        <v>8.1165919282511212E-2</v>
      </c>
      <c r="H268" s="8">
        <f t="shared" si="49"/>
        <v>30000</v>
      </c>
      <c r="I268" s="8">
        <f t="shared" si="50"/>
        <v>935000</v>
      </c>
      <c r="L268" s="8">
        <f t="shared" si="51"/>
        <v>14810350</v>
      </c>
      <c r="M268" s="8">
        <f t="shared" si="52"/>
        <v>15755691.489361703</v>
      </c>
      <c r="N268" s="12">
        <f t="shared" si="53"/>
        <v>935000</v>
      </c>
      <c r="O268" s="13">
        <f t="shared" si="54"/>
        <v>5.9343634687904059E-2</v>
      </c>
      <c r="P268" s="8">
        <f t="shared" si="55"/>
        <v>17023390.804597702</v>
      </c>
      <c r="Q268" s="12">
        <f t="shared" si="56"/>
        <v>935000</v>
      </c>
      <c r="R268" s="13">
        <f t="shared" si="57"/>
        <v>5.4924427849443125E-2</v>
      </c>
    </row>
    <row r="269" spans="1:18" x14ac:dyDescent="0.3">
      <c r="A269" s="1">
        <v>11150001</v>
      </c>
      <c r="B269" s="1">
        <v>11200000</v>
      </c>
      <c r="C269" s="9">
        <v>15900</v>
      </c>
      <c r="E269" s="3">
        <f t="shared" si="46"/>
        <v>1456000</v>
      </c>
      <c r="F269" s="3">
        <f t="shared" si="47"/>
        <v>1265600</v>
      </c>
      <c r="G269" s="2">
        <f t="shared" si="48"/>
        <v>8.116071428571428E-2</v>
      </c>
      <c r="H269" s="8">
        <f t="shared" si="49"/>
        <v>30000</v>
      </c>
      <c r="I269" s="8">
        <f t="shared" si="50"/>
        <v>938999.99999999988</v>
      </c>
      <c r="L269" s="8">
        <f t="shared" si="51"/>
        <v>14876500</v>
      </c>
      <c r="M269" s="8">
        <f t="shared" si="52"/>
        <v>15826063.829787236</v>
      </c>
      <c r="N269" s="12">
        <f t="shared" si="53"/>
        <v>939000</v>
      </c>
      <c r="O269" s="13">
        <f t="shared" si="54"/>
        <v>5.9332504285282153E-2</v>
      </c>
      <c r="P269" s="8">
        <f t="shared" si="55"/>
        <v>17099425.287356321</v>
      </c>
      <c r="Q269" s="12">
        <f t="shared" si="56"/>
        <v>938999.99999999814</v>
      </c>
      <c r="R269" s="13">
        <f t="shared" si="57"/>
        <v>5.491412630659083E-2</v>
      </c>
    </row>
    <row r="270" spans="1:18" x14ac:dyDescent="0.3">
      <c r="A270" s="1">
        <v>11200001</v>
      </c>
      <c r="B270" s="1">
        <v>11250000</v>
      </c>
      <c r="C270" s="9">
        <v>15900</v>
      </c>
      <c r="E270" s="3">
        <f t="shared" si="46"/>
        <v>1462500</v>
      </c>
      <c r="F270" s="3">
        <f t="shared" si="47"/>
        <v>1271250</v>
      </c>
      <c r="G270" s="2">
        <f t="shared" si="48"/>
        <v>8.1155555555555564E-2</v>
      </c>
      <c r="H270" s="8">
        <f t="shared" si="49"/>
        <v>30000</v>
      </c>
      <c r="I270" s="8">
        <f t="shared" si="50"/>
        <v>943000.00000000012</v>
      </c>
      <c r="L270" s="8">
        <f t="shared" si="51"/>
        <v>14942650</v>
      </c>
      <c r="M270" s="8">
        <f t="shared" si="52"/>
        <v>15896436.170212766</v>
      </c>
      <c r="N270" s="12">
        <f t="shared" si="53"/>
        <v>943000</v>
      </c>
      <c r="O270" s="13">
        <f t="shared" si="54"/>
        <v>5.9321472429589128E-2</v>
      </c>
      <c r="P270" s="8">
        <f t="shared" si="55"/>
        <v>17175459.770114943</v>
      </c>
      <c r="Q270" s="12">
        <f t="shared" si="56"/>
        <v>943000</v>
      </c>
      <c r="R270" s="13">
        <f t="shared" si="57"/>
        <v>5.4903915972066529E-2</v>
      </c>
    </row>
    <row r="271" spans="1:18" x14ac:dyDescent="0.3">
      <c r="A271" s="1">
        <v>11250001</v>
      </c>
      <c r="B271" s="1">
        <v>11300000</v>
      </c>
      <c r="C271" s="9">
        <v>15900</v>
      </c>
      <c r="E271" s="3">
        <f t="shared" si="46"/>
        <v>1469000</v>
      </c>
      <c r="F271" s="3">
        <f t="shared" si="47"/>
        <v>1276900</v>
      </c>
      <c r="G271" s="2">
        <f t="shared" si="48"/>
        <v>8.1150442477876103E-2</v>
      </c>
      <c r="H271" s="8">
        <f t="shared" si="49"/>
        <v>30000</v>
      </c>
      <c r="I271" s="8">
        <f t="shared" si="50"/>
        <v>947000</v>
      </c>
      <c r="L271" s="8">
        <f t="shared" si="51"/>
        <v>15008800</v>
      </c>
      <c r="M271" s="8">
        <f t="shared" si="52"/>
        <v>15966808.510638298</v>
      </c>
      <c r="N271" s="12">
        <f t="shared" si="53"/>
        <v>947000</v>
      </c>
      <c r="O271" s="13">
        <f t="shared" si="54"/>
        <v>5.9310537817813549E-2</v>
      </c>
      <c r="P271" s="8">
        <f t="shared" si="55"/>
        <v>17251494.252873562</v>
      </c>
      <c r="Q271" s="12">
        <f t="shared" si="56"/>
        <v>947000</v>
      </c>
      <c r="R271" s="13">
        <f t="shared" si="57"/>
        <v>5.4893795639891267E-2</v>
      </c>
    </row>
    <row r="272" spans="1:18" x14ac:dyDescent="0.3">
      <c r="A272" s="1">
        <v>11300001</v>
      </c>
      <c r="B272" s="1">
        <v>11350000</v>
      </c>
      <c r="C272" s="9">
        <v>15900</v>
      </c>
      <c r="E272" s="3">
        <f t="shared" si="46"/>
        <v>1475500</v>
      </c>
      <c r="F272" s="3">
        <f t="shared" si="47"/>
        <v>1282550</v>
      </c>
      <c r="G272" s="2">
        <f t="shared" si="48"/>
        <v>8.1145374449339211E-2</v>
      </c>
      <c r="H272" s="8">
        <f t="shared" si="49"/>
        <v>30000</v>
      </c>
      <c r="I272" s="8">
        <f t="shared" si="50"/>
        <v>951000</v>
      </c>
      <c r="L272" s="8">
        <f t="shared" si="51"/>
        <v>15074950</v>
      </c>
      <c r="M272" s="8">
        <f t="shared" si="52"/>
        <v>16037180.851063831</v>
      </c>
      <c r="N272" s="12">
        <f t="shared" si="53"/>
        <v>951000</v>
      </c>
      <c r="O272" s="13">
        <f t="shared" si="54"/>
        <v>5.9299699169814819E-2</v>
      </c>
      <c r="P272" s="8">
        <f t="shared" si="55"/>
        <v>17327528.735632185</v>
      </c>
      <c r="Q272" s="12">
        <f t="shared" si="56"/>
        <v>951000</v>
      </c>
      <c r="R272" s="13">
        <f t="shared" si="57"/>
        <v>5.4883764125254142E-2</v>
      </c>
    </row>
    <row r="273" spans="1:18" x14ac:dyDescent="0.3">
      <c r="A273" s="1">
        <v>11350001</v>
      </c>
      <c r="B273" s="1">
        <v>11400000</v>
      </c>
      <c r="C273" s="9">
        <v>15900</v>
      </c>
      <c r="E273" s="3">
        <f t="shared" si="46"/>
        <v>1482000</v>
      </c>
      <c r="F273" s="3">
        <f t="shared" si="47"/>
        <v>1288200</v>
      </c>
      <c r="G273" s="2">
        <f t="shared" si="48"/>
        <v>8.1140350877192985E-2</v>
      </c>
      <c r="H273" s="8">
        <f t="shared" si="49"/>
        <v>30000</v>
      </c>
      <c r="I273" s="8">
        <f t="shared" si="50"/>
        <v>955000</v>
      </c>
      <c r="L273" s="8">
        <f t="shared" si="51"/>
        <v>15141100</v>
      </c>
      <c r="M273" s="8">
        <f t="shared" si="52"/>
        <v>16107553.191489363</v>
      </c>
      <c r="N273" s="12">
        <f t="shared" si="53"/>
        <v>955000</v>
      </c>
      <c r="O273" s="13">
        <f t="shared" si="54"/>
        <v>5.9288955227823598E-2</v>
      </c>
      <c r="P273" s="8">
        <f t="shared" si="55"/>
        <v>17403563.218390804</v>
      </c>
      <c r="Q273" s="12">
        <f t="shared" si="56"/>
        <v>955000</v>
      </c>
      <c r="R273" s="13">
        <f t="shared" si="57"/>
        <v>5.4873820264049508E-2</v>
      </c>
    </row>
    <row r="274" spans="1:18" x14ac:dyDescent="0.3">
      <c r="A274" s="1">
        <v>11400001</v>
      </c>
      <c r="B274" s="1">
        <v>11450000</v>
      </c>
      <c r="C274" s="9">
        <v>15900</v>
      </c>
      <c r="E274" s="3">
        <f t="shared" si="46"/>
        <v>1488500</v>
      </c>
      <c r="F274" s="3">
        <f t="shared" si="47"/>
        <v>1293850</v>
      </c>
      <c r="G274" s="2">
        <f t="shared" si="48"/>
        <v>8.1135371179039309E-2</v>
      </c>
      <c r="H274" s="8">
        <f t="shared" si="49"/>
        <v>30000</v>
      </c>
      <c r="I274" s="8">
        <f t="shared" si="50"/>
        <v>959000.00000000012</v>
      </c>
      <c r="L274" s="8">
        <f t="shared" si="51"/>
        <v>15207250</v>
      </c>
      <c r="M274" s="8">
        <f t="shared" si="52"/>
        <v>16177925.531914895</v>
      </c>
      <c r="N274" s="12">
        <f t="shared" si="53"/>
        <v>959000</v>
      </c>
      <c r="O274" s="13">
        <f t="shared" si="54"/>
        <v>5.9278304755955212E-2</v>
      </c>
      <c r="P274" s="8">
        <f t="shared" si="55"/>
        <v>17479597.701149426</v>
      </c>
      <c r="Q274" s="12">
        <f t="shared" si="56"/>
        <v>959000</v>
      </c>
      <c r="R274" s="13">
        <f t="shared" si="57"/>
        <v>5.4863962912426636E-2</v>
      </c>
    </row>
    <row r="275" spans="1:18" x14ac:dyDescent="0.3">
      <c r="A275" s="1">
        <v>11450001</v>
      </c>
      <c r="B275" s="1">
        <v>11500000</v>
      </c>
      <c r="C275" s="9">
        <v>15900</v>
      </c>
      <c r="E275" s="3">
        <f t="shared" si="46"/>
        <v>1495000</v>
      </c>
      <c r="F275" s="3">
        <f t="shared" si="47"/>
        <v>1299500</v>
      </c>
      <c r="G275" s="2">
        <f t="shared" si="48"/>
        <v>8.1130434782608701E-2</v>
      </c>
      <c r="H275" s="8">
        <f t="shared" si="49"/>
        <v>30000</v>
      </c>
      <c r="I275" s="8">
        <f t="shared" si="50"/>
        <v>963000.00000000012</v>
      </c>
      <c r="L275" s="8">
        <f t="shared" si="51"/>
        <v>15273400</v>
      </c>
      <c r="M275" s="8">
        <f t="shared" si="52"/>
        <v>16248297.872340426</v>
      </c>
      <c r="N275" s="12">
        <f t="shared" si="53"/>
        <v>963000</v>
      </c>
      <c r="O275" s="13">
        <f t="shared" si="54"/>
        <v>5.9267746539735745E-2</v>
      </c>
      <c r="P275" s="8">
        <f t="shared" si="55"/>
        <v>17555632.183908045</v>
      </c>
      <c r="Q275" s="12">
        <f t="shared" si="56"/>
        <v>963000</v>
      </c>
      <c r="R275" s="13">
        <f t="shared" si="57"/>
        <v>5.4854190946351175E-2</v>
      </c>
    </row>
    <row r="276" spans="1:18" x14ac:dyDescent="0.3">
      <c r="A276" s="1">
        <v>11500001</v>
      </c>
      <c r="B276" s="1">
        <v>11550000</v>
      </c>
      <c r="C276" s="9">
        <v>15900</v>
      </c>
      <c r="E276" s="3">
        <f t="shared" si="46"/>
        <v>1501500</v>
      </c>
      <c r="F276" s="3">
        <f t="shared" si="47"/>
        <v>1305150</v>
      </c>
      <c r="G276" s="2">
        <f t="shared" si="48"/>
        <v>8.1125541125541129E-2</v>
      </c>
      <c r="H276" s="8">
        <f t="shared" si="49"/>
        <v>30000</v>
      </c>
      <c r="I276" s="8">
        <f t="shared" si="50"/>
        <v>967000</v>
      </c>
      <c r="L276" s="8">
        <f t="shared" si="51"/>
        <v>15339550</v>
      </c>
      <c r="M276" s="8">
        <f t="shared" si="52"/>
        <v>16318670.212765958</v>
      </c>
      <c r="N276" s="12">
        <f t="shared" si="53"/>
        <v>967000</v>
      </c>
      <c r="O276" s="13">
        <f t="shared" si="54"/>
        <v>5.9257279385640384E-2</v>
      </c>
      <c r="P276" s="8">
        <f t="shared" si="55"/>
        <v>17631666.666666668</v>
      </c>
      <c r="Q276" s="12">
        <f t="shared" si="56"/>
        <v>967000.00000000186</v>
      </c>
      <c r="R276" s="13">
        <f t="shared" si="57"/>
        <v>5.4844503261177908E-2</v>
      </c>
    </row>
    <row r="277" spans="1:18" x14ac:dyDescent="0.3">
      <c r="A277" s="1">
        <v>11550001</v>
      </c>
      <c r="B277" s="1">
        <v>11600000</v>
      </c>
      <c r="C277" s="9">
        <v>15900</v>
      </c>
      <c r="E277" s="3">
        <f t="shared" si="46"/>
        <v>1508000</v>
      </c>
      <c r="F277" s="3">
        <f t="shared" si="47"/>
        <v>1310800</v>
      </c>
      <c r="G277" s="2">
        <f t="shared" si="48"/>
        <v>8.1120689655172412E-2</v>
      </c>
      <c r="H277" s="8">
        <f t="shared" si="49"/>
        <v>30000</v>
      </c>
      <c r="I277" s="8">
        <f t="shared" si="50"/>
        <v>971000</v>
      </c>
      <c r="L277" s="8">
        <f t="shared" si="51"/>
        <v>15405700</v>
      </c>
      <c r="M277" s="8">
        <f t="shared" si="52"/>
        <v>16389042.55319149</v>
      </c>
      <c r="N277" s="12">
        <f t="shared" si="53"/>
        <v>971000</v>
      </c>
      <c r="O277" s="13">
        <f t="shared" si="54"/>
        <v>5.9246902120643652E-2</v>
      </c>
      <c r="P277" s="8">
        <f t="shared" si="55"/>
        <v>17707701.149425287</v>
      </c>
      <c r="Q277" s="12">
        <f t="shared" si="56"/>
        <v>971000</v>
      </c>
      <c r="R277" s="13">
        <f t="shared" si="57"/>
        <v>5.4834898771234028E-2</v>
      </c>
    </row>
    <row r="278" spans="1:18" x14ac:dyDescent="0.3">
      <c r="A278" s="1">
        <v>11600001</v>
      </c>
      <c r="B278" s="1">
        <v>11650000</v>
      </c>
      <c r="C278" s="9">
        <v>15900</v>
      </c>
      <c r="E278" s="3">
        <f t="shared" si="46"/>
        <v>1514500</v>
      </c>
      <c r="F278" s="3">
        <f t="shared" si="47"/>
        <v>1316450</v>
      </c>
      <c r="G278" s="2">
        <f t="shared" si="48"/>
        <v>8.1115879828326187E-2</v>
      </c>
      <c r="H278" s="8">
        <f t="shared" si="49"/>
        <v>30000</v>
      </c>
      <c r="I278" s="8">
        <f t="shared" si="50"/>
        <v>975000.00000000012</v>
      </c>
      <c r="L278" s="8">
        <f t="shared" si="51"/>
        <v>15471850</v>
      </c>
      <c r="M278" s="8">
        <f t="shared" si="52"/>
        <v>16459414.893617023</v>
      </c>
      <c r="N278" s="12">
        <f t="shared" si="53"/>
        <v>975000</v>
      </c>
      <c r="O278" s="13">
        <f t="shared" si="54"/>
        <v>5.9236613591781194E-2</v>
      </c>
      <c r="P278" s="8">
        <f t="shared" si="55"/>
        <v>17783735.632183909</v>
      </c>
      <c r="Q278" s="12">
        <f t="shared" si="56"/>
        <v>975000.00000000186</v>
      </c>
      <c r="R278" s="13">
        <f t="shared" si="57"/>
        <v>5.4825376409414615E-2</v>
      </c>
    </row>
    <row r="279" spans="1:18" x14ac:dyDescent="0.3">
      <c r="A279" s="1">
        <v>11650001</v>
      </c>
      <c r="B279" s="1">
        <v>11700000</v>
      </c>
      <c r="C279" s="9">
        <v>15900</v>
      </c>
      <c r="E279" s="3">
        <f t="shared" si="46"/>
        <v>1521000</v>
      </c>
      <c r="F279" s="3">
        <f t="shared" si="47"/>
        <v>1322100</v>
      </c>
      <c r="G279" s="2">
        <f t="shared" si="48"/>
        <v>8.1111111111111106E-2</v>
      </c>
      <c r="H279" s="8">
        <f t="shared" si="49"/>
        <v>30000</v>
      </c>
      <c r="I279" s="8">
        <f t="shared" si="50"/>
        <v>978999.99999999988</v>
      </c>
      <c r="L279" s="8">
        <f t="shared" si="51"/>
        <v>15538000</v>
      </c>
      <c r="M279" s="8">
        <f t="shared" si="52"/>
        <v>16529787.234042553</v>
      </c>
      <c r="N279" s="12">
        <f t="shared" si="53"/>
        <v>979000</v>
      </c>
      <c r="O279" s="13">
        <f t="shared" si="54"/>
        <v>5.9226412665722747E-2</v>
      </c>
      <c r="P279" s="8">
        <f t="shared" si="55"/>
        <v>17859770.114942528</v>
      </c>
      <c r="Q279" s="12">
        <f t="shared" si="56"/>
        <v>979000</v>
      </c>
      <c r="R279" s="13">
        <f t="shared" si="57"/>
        <v>5.4815935126785946E-2</v>
      </c>
    </row>
    <row r="280" spans="1:18" x14ac:dyDescent="0.3">
      <c r="A280" s="1">
        <v>11700001</v>
      </c>
      <c r="B280" s="1">
        <v>11750000</v>
      </c>
      <c r="C280" s="9">
        <v>15900</v>
      </c>
      <c r="E280" s="3">
        <f t="shared" si="46"/>
        <v>1527500</v>
      </c>
      <c r="F280" s="3">
        <f t="shared" si="47"/>
        <v>1327750</v>
      </c>
      <c r="G280" s="2">
        <f t="shared" si="48"/>
        <v>8.1106382978723413E-2</v>
      </c>
      <c r="H280" s="8">
        <f t="shared" si="49"/>
        <v>30000</v>
      </c>
      <c r="I280" s="8">
        <f t="shared" si="50"/>
        <v>983000.00000000012</v>
      </c>
      <c r="L280" s="8">
        <f t="shared" si="51"/>
        <v>15604150</v>
      </c>
      <c r="M280" s="8">
        <f t="shared" si="52"/>
        <v>16600159.574468086</v>
      </c>
      <c r="N280" s="12">
        <f t="shared" si="53"/>
        <v>983000</v>
      </c>
      <c r="O280" s="13">
        <f t="shared" si="54"/>
        <v>5.9216298228355918E-2</v>
      </c>
      <c r="P280" s="8">
        <f t="shared" si="55"/>
        <v>17935804.597701151</v>
      </c>
      <c r="Q280" s="12">
        <f t="shared" si="56"/>
        <v>983000.00000000186</v>
      </c>
      <c r="R280" s="13">
        <f t="shared" si="57"/>
        <v>5.4806573892201851E-2</v>
      </c>
    </row>
    <row r="281" spans="1:18" x14ac:dyDescent="0.3">
      <c r="A281" s="1">
        <v>11750001</v>
      </c>
      <c r="B281" s="1">
        <v>11800000</v>
      </c>
      <c r="C281" s="9">
        <v>15900</v>
      </c>
      <c r="E281" s="3">
        <f t="shared" si="46"/>
        <v>1534000</v>
      </c>
      <c r="F281" s="3">
        <f t="shared" si="47"/>
        <v>1333400</v>
      </c>
      <c r="G281" s="2">
        <f t="shared" si="48"/>
        <v>8.1101694915254235E-2</v>
      </c>
      <c r="H281" s="8">
        <f t="shared" si="49"/>
        <v>30000</v>
      </c>
      <c r="I281" s="8">
        <f t="shared" si="50"/>
        <v>987000</v>
      </c>
      <c r="L281" s="8">
        <f t="shared" si="51"/>
        <v>15670300</v>
      </c>
      <c r="M281" s="8">
        <f t="shared" si="52"/>
        <v>16670531.914893618</v>
      </c>
      <c r="N281" s="12">
        <f t="shared" si="53"/>
        <v>987000</v>
      </c>
      <c r="O281" s="13">
        <f t="shared" si="54"/>
        <v>5.9206269184380642E-2</v>
      </c>
      <c r="P281" s="8">
        <f t="shared" si="55"/>
        <v>18011839.08045977</v>
      </c>
      <c r="Q281" s="12">
        <f t="shared" si="56"/>
        <v>987000</v>
      </c>
      <c r="R281" s="13">
        <f t="shared" si="57"/>
        <v>5.4797291691926764E-2</v>
      </c>
    </row>
    <row r="282" spans="1:18" x14ac:dyDescent="0.3">
      <c r="A282" s="1">
        <v>11800001</v>
      </c>
      <c r="B282" s="1">
        <v>11850000</v>
      </c>
      <c r="C282" s="9">
        <v>15900</v>
      </c>
      <c r="E282" s="3">
        <f t="shared" si="46"/>
        <v>1540500</v>
      </c>
      <c r="F282" s="3">
        <f t="shared" si="47"/>
        <v>1339050</v>
      </c>
      <c r="G282" s="2">
        <f t="shared" si="48"/>
        <v>8.1097046413502114E-2</v>
      </c>
      <c r="H282" s="8">
        <f t="shared" si="49"/>
        <v>30000</v>
      </c>
      <c r="I282" s="8">
        <f t="shared" si="50"/>
        <v>991000</v>
      </c>
      <c r="L282" s="8">
        <f t="shared" si="51"/>
        <v>15736450</v>
      </c>
      <c r="M282" s="8">
        <f t="shared" si="52"/>
        <v>16740904.25531915</v>
      </c>
      <c r="N282" s="12">
        <f t="shared" si="53"/>
        <v>991000</v>
      </c>
      <c r="O282" s="13">
        <f t="shared" si="54"/>
        <v>5.9196324456913724E-2</v>
      </c>
      <c r="P282" s="8">
        <f t="shared" si="55"/>
        <v>18087873.563218392</v>
      </c>
      <c r="Q282" s="12">
        <f t="shared" si="56"/>
        <v>991000.00000000186</v>
      </c>
      <c r="R282" s="13">
        <f t="shared" si="57"/>
        <v>5.4788087529271313E-2</v>
      </c>
    </row>
    <row r="283" spans="1:18" x14ac:dyDescent="0.3">
      <c r="A283" s="1">
        <v>11850001</v>
      </c>
      <c r="B283" s="1">
        <v>11900000</v>
      </c>
      <c r="C283" s="9">
        <v>15900</v>
      </c>
      <c r="E283" s="3">
        <f t="shared" si="46"/>
        <v>1547000</v>
      </c>
      <c r="F283" s="3">
        <f t="shared" si="47"/>
        <v>1344700</v>
      </c>
      <c r="G283" s="2">
        <f t="shared" si="48"/>
        <v>8.1092436974789919E-2</v>
      </c>
      <c r="H283" s="8">
        <f t="shared" si="49"/>
        <v>30000</v>
      </c>
      <c r="I283" s="8">
        <f t="shared" si="50"/>
        <v>995000</v>
      </c>
      <c r="L283" s="8">
        <f t="shared" si="51"/>
        <v>15802600</v>
      </c>
      <c r="M283" s="8">
        <f t="shared" si="52"/>
        <v>16811276.595744681</v>
      </c>
      <c r="N283" s="12">
        <f t="shared" si="53"/>
        <v>994999.99999999814</v>
      </c>
      <c r="O283" s="13">
        <f t="shared" si="54"/>
        <v>5.9186462987103276E-2</v>
      </c>
      <c r="P283" s="8">
        <f t="shared" si="55"/>
        <v>18163908.045977011</v>
      </c>
      <c r="Q283" s="12">
        <f t="shared" si="56"/>
        <v>995000</v>
      </c>
      <c r="R283" s="13">
        <f t="shared" si="57"/>
        <v>5.477896042423399E-2</v>
      </c>
    </row>
    <row r="284" spans="1:18" x14ac:dyDescent="0.3">
      <c r="A284" s="1">
        <v>11900001</v>
      </c>
      <c r="B284" s="1">
        <v>11950000</v>
      </c>
      <c r="C284" s="9">
        <v>15900</v>
      </c>
      <c r="E284" s="3">
        <f t="shared" si="46"/>
        <v>1553500</v>
      </c>
      <c r="F284" s="3">
        <f t="shared" si="47"/>
        <v>1350350</v>
      </c>
      <c r="G284" s="2">
        <f t="shared" si="48"/>
        <v>8.1087866108786613E-2</v>
      </c>
      <c r="H284" s="8">
        <f t="shared" si="49"/>
        <v>30000</v>
      </c>
      <c r="I284" s="8">
        <f t="shared" si="50"/>
        <v>999000</v>
      </c>
      <c r="L284" s="8">
        <f t="shared" si="51"/>
        <v>15868750</v>
      </c>
      <c r="M284" s="8">
        <f t="shared" si="52"/>
        <v>16881648.936170213</v>
      </c>
      <c r="N284" s="12">
        <f t="shared" si="53"/>
        <v>999000</v>
      </c>
      <c r="O284" s="13">
        <f t="shared" si="54"/>
        <v>5.9176683733753448E-2</v>
      </c>
      <c r="P284" s="8">
        <f t="shared" si="55"/>
        <v>18239942.528735634</v>
      </c>
      <c r="Q284" s="12">
        <f t="shared" si="56"/>
        <v>999000.00000000186</v>
      </c>
      <c r="R284" s="13">
        <f t="shared" si="57"/>
        <v>5.4769909413154884E-2</v>
      </c>
    </row>
    <row r="285" spans="1:18" x14ac:dyDescent="0.3">
      <c r="A285" s="1">
        <v>11950001</v>
      </c>
      <c r="B285" s="1">
        <v>12000000</v>
      </c>
      <c r="C285" s="9">
        <v>15900</v>
      </c>
      <c r="E285" s="3">
        <f t="shared" si="46"/>
        <v>1560000</v>
      </c>
      <c r="F285" s="3">
        <f t="shared" si="47"/>
        <v>1356000</v>
      </c>
      <c r="G285" s="2">
        <f t="shared" si="48"/>
        <v>8.1083333333333341E-2</v>
      </c>
      <c r="H285" s="8">
        <f t="shared" si="49"/>
        <v>30000</v>
      </c>
      <c r="I285" s="8">
        <f t="shared" si="50"/>
        <v>1003000.0000000001</v>
      </c>
      <c r="L285" s="8">
        <f t="shared" si="51"/>
        <v>15934900</v>
      </c>
      <c r="M285" s="8">
        <f t="shared" si="52"/>
        <v>16952021.276595745</v>
      </c>
      <c r="N285" s="12">
        <f t="shared" si="53"/>
        <v>1003000</v>
      </c>
      <c r="O285" s="13">
        <f t="shared" si="54"/>
        <v>5.9166985672956841E-2</v>
      </c>
      <c r="P285" s="8">
        <f t="shared" si="55"/>
        <v>18315977.011494253</v>
      </c>
      <c r="Q285" s="12">
        <f t="shared" si="56"/>
        <v>1003000</v>
      </c>
      <c r="R285" s="13">
        <f t="shared" si="57"/>
        <v>5.4760933548374947E-2</v>
      </c>
    </row>
    <row r="286" spans="1:18" x14ac:dyDescent="0.3">
      <c r="A286" s="1">
        <v>12000001</v>
      </c>
      <c r="B286" s="1">
        <v>12050000</v>
      </c>
      <c r="C286" s="9">
        <v>15900</v>
      </c>
      <c r="E286" s="3">
        <f t="shared" si="46"/>
        <v>1566500</v>
      </c>
      <c r="F286" s="3">
        <f t="shared" si="47"/>
        <v>1361650</v>
      </c>
      <c r="G286" s="2">
        <f t="shared" si="48"/>
        <v>8.107883817427386E-2</v>
      </c>
      <c r="H286" s="8">
        <f t="shared" si="49"/>
        <v>30000</v>
      </c>
      <c r="I286" s="8">
        <f t="shared" si="50"/>
        <v>1007000</v>
      </c>
      <c r="L286" s="8">
        <f t="shared" si="51"/>
        <v>16001050</v>
      </c>
      <c r="M286" s="8">
        <f t="shared" si="52"/>
        <v>17022393.617021278</v>
      </c>
      <c r="N286" s="12">
        <f t="shared" si="53"/>
        <v>1007000</v>
      </c>
      <c r="O286" s="13">
        <f t="shared" si="54"/>
        <v>5.9157367797738267E-2</v>
      </c>
      <c r="P286" s="8">
        <f t="shared" si="55"/>
        <v>18392011.494252875</v>
      </c>
      <c r="Q286" s="12">
        <f t="shared" si="56"/>
        <v>1007000.0000000019</v>
      </c>
      <c r="R286" s="13">
        <f t="shared" si="57"/>
        <v>5.4752031897906797E-2</v>
      </c>
    </row>
    <row r="287" spans="1:18" x14ac:dyDescent="0.3">
      <c r="A287" s="1">
        <v>12050001</v>
      </c>
      <c r="B287" s="1">
        <v>12100000</v>
      </c>
      <c r="C287" s="9">
        <v>15900</v>
      </c>
      <c r="E287" s="3">
        <f t="shared" si="46"/>
        <v>1573000</v>
      </c>
      <c r="F287" s="3">
        <f t="shared" si="47"/>
        <v>1367300</v>
      </c>
      <c r="G287" s="2">
        <f t="shared" si="48"/>
        <v>8.1074380165289256E-2</v>
      </c>
      <c r="H287" s="8">
        <f t="shared" si="49"/>
        <v>30000</v>
      </c>
      <c r="I287" s="8">
        <f t="shared" si="50"/>
        <v>1011000</v>
      </c>
      <c r="L287" s="8">
        <f t="shared" si="51"/>
        <v>16067200</v>
      </c>
      <c r="M287" s="8">
        <f t="shared" si="52"/>
        <v>17092765.95744681</v>
      </c>
      <c r="N287" s="12">
        <f t="shared" si="53"/>
        <v>1011000</v>
      </c>
      <c r="O287" s="13">
        <f t="shared" si="54"/>
        <v>5.9147829117705629E-2</v>
      </c>
      <c r="P287" s="8">
        <f t="shared" si="55"/>
        <v>18468045.977011494</v>
      </c>
      <c r="Q287" s="12">
        <f t="shared" si="56"/>
        <v>1011000</v>
      </c>
      <c r="R287" s="13">
        <f t="shared" si="57"/>
        <v>5.4743203545110537E-2</v>
      </c>
    </row>
    <row r="288" spans="1:18" x14ac:dyDescent="0.3">
      <c r="A288" s="1">
        <v>12100001</v>
      </c>
      <c r="B288" s="1">
        <v>12150000</v>
      </c>
      <c r="C288" s="9">
        <v>15900</v>
      </c>
      <c r="E288" s="3">
        <f t="shared" si="46"/>
        <v>1579500</v>
      </c>
      <c r="F288" s="3">
        <f t="shared" si="47"/>
        <v>1372950</v>
      </c>
      <c r="G288" s="2">
        <f t="shared" si="48"/>
        <v>8.1069958847736628E-2</v>
      </c>
      <c r="H288" s="8">
        <f t="shared" si="49"/>
        <v>30000</v>
      </c>
      <c r="I288" s="8">
        <f t="shared" si="50"/>
        <v>1015000</v>
      </c>
      <c r="L288" s="8">
        <f t="shared" si="51"/>
        <v>16133350</v>
      </c>
      <c r="M288" s="8">
        <f t="shared" si="52"/>
        <v>17163138.297872342</v>
      </c>
      <c r="N288" s="12">
        <f t="shared" si="53"/>
        <v>1015000</v>
      </c>
      <c r="O288" s="13">
        <f t="shared" si="54"/>
        <v>5.9138368658710055E-2</v>
      </c>
      <c r="P288" s="8">
        <f t="shared" si="55"/>
        <v>18544080.459770113</v>
      </c>
      <c r="Q288" s="12">
        <f t="shared" si="56"/>
        <v>1014999.9999999981</v>
      </c>
      <c r="R288" s="13">
        <f t="shared" si="57"/>
        <v>5.4734447588380496E-2</v>
      </c>
    </row>
    <row r="289" spans="1:18" x14ac:dyDescent="0.3">
      <c r="A289" s="1">
        <v>12150001</v>
      </c>
      <c r="B289" s="1">
        <v>12200000</v>
      </c>
      <c r="C289" s="9">
        <v>15900</v>
      </c>
      <c r="E289" s="3">
        <f t="shared" ref="E289:E352" si="58">B289*13%</f>
        <v>1586000</v>
      </c>
      <c r="F289" s="3">
        <f t="shared" ref="F289:F352" si="59">(B289+E289)*10%</f>
        <v>1378600</v>
      </c>
      <c r="G289" s="2">
        <f t="shared" si="48"/>
        <v>8.1065573770491811E-2</v>
      </c>
      <c r="H289" s="8">
        <f t="shared" si="49"/>
        <v>30000</v>
      </c>
      <c r="I289" s="8">
        <f t="shared" si="50"/>
        <v>1019000.0000000001</v>
      </c>
      <c r="L289" s="8">
        <f t="shared" si="51"/>
        <v>16199500</v>
      </c>
      <c r="M289" s="8">
        <f t="shared" si="52"/>
        <v>17233510.638297874</v>
      </c>
      <c r="N289" s="12">
        <f t="shared" si="53"/>
        <v>1019000.0000000019</v>
      </c>
      <c r="O289" s="13">
        <f t="shared" si="54"/>
        <v>5.9128985462514376E-2</v>
      </c>
      <c r="P289" s="8">
        <f t="shared" si="55"/>
        <v>18620114.942528736</v>
      </c>
      <c r="Q289" s="12">
        <f t="shared" si="56"/>
        <v>1019000</v>
      </c>
      <c r="R289" s="13">
        <f t="shared" si="57"/>
        <v>5.4725763140837679E-2</v>
      </c>
    </row>
    <row r="290" spans="1:18" x14ac:dyDescent="0.3">
      <c r="A290" s="1">
        <v>12200001</v>
      </c>
      <c r="B290" s="1">
        <v>12250000</v>
      </c>
      <c r="C290" s="9">
        <v>15900</v>
      </c>
      <c r="E290" s="3">
        <f t="shared" si="58"/>
        <v>1592500</v>
      </c>
      <c r="F290" s="3">
        <f t="shared" si="59"/>
        <v>1384250</v>
      </c>
      <c r="G290" s="2">
        <f t="shared" si="48"/>
        <v>8.1061224489795913E-2</v>
      </c>
      <c r="H290" s="8">
        <f t="shared" si="49"/>
        <v>30000</v>
      </c>
      <c r="I290" s="8">
        <f t="shared" si="50"/>
        <v>1022999.9999999999</v>
      </c>
      <c r="L290" s="8">
        <f t="shared" si="51"/>
        <v>16265650</v>
      </c>
      <c r="M290" s="8">
        <f t="shared" si="52"/>
        <v>17303882.978723407</v>
      </c>
      <c r="N290" s="12">
        <f t="shared" si="53"/>
        <v>1023000.0000000019</v>
      </c>
      <c r="O290" s="13">
        <f t="shared" si="54"/>
        <v>5.9119678586469132E-2</v>
      </c>
      <c r="P290" s="8">
        <f t="shared" si="55"/>
        <v>18696149.425287355</v>
      </c>
      <c r="Q290" s="12">
        <f t="shared" si="56"/>
        <v>1022999.9999999981</v>
      </c>
      <c r="R290" s="13">
        <f t="shared" si="57"/>
        <v>5.4717149330029753E-2</v>
      </c>
    </row>
    <row r="291" spans="1:18" x14ac:dyDescent="0.3">
      <c r="A291" s="1">
        <v>12250001</v>
      </c>
      <c r="B291" s="1">
        <v>12300000</v>
      </c>
      <c r="C291" s="9">
        <v>15900</v>
      </c>
      <c r="E291" s="3">
        <f t="shared" si="58"/>
        <v>1599000</v>
      </c>
      <c r="F291" s="3">
        <f t="shared" si="59"/>
        <v>1389900</v>
      </c>
      <c r="G291" s="2">
        <f t="shared" si="48"/>
        <v>8.1056910569105689E-2</v>
      </c>
      <c r="H291" s="8">
        <f t="shared" si="49"/>
        <v>30000</v>
      </c>
      <c r="I291" s="8">
        <f t="shared" si="50"/>
        <v>1027000</v>
      </c>
      <c r="L291" s="8">
        <f t="shared" si="51"/>
        <v>16331800</v>
      </c>
      <c r="M291" s="8">
        <f t="shared" si="52"/>
        <v>17374255.319148935</v>
      </c>
      <c r="N291" s="12">
        <f t="shared" si="53"/>
        <v>1026999.9999999981</v>
      </c>
      <c r="O291" s="13">
        <f t="shared" si="54"/>
        <v>5.9110447103197336E-2</v>
      </c>
      <c r="P291" s="8">
        <f t="shared" si="55"/>
        <v>18772183.908045977</v>
      </c>
      <c r="Q291" s="12">
        <f t="shared" si="56"/>
        <v>1027000</v>
      </c>
      <c r="R291" s="13">
        <f t="shared" si="57"/>
        <v>5.4708605297640184E-2</v>
      </c>
    </row>
    <row r="292" spans="1:18" x14ac:dyDescent="0.3">
      <c r="A292" s="1">
        <v>12300001</v>
      </c>
      <c r="B292" s="1">
        <v>12350000</v>
      </c>
      <c r="C292" s="9">
        <v>15900</v>
      </c>
      <c r="E292" s="3">
        <f t="shared" si="58"/>
        <v>1605500</v>
      </c>
      <c r="F292" s="3">
        <f t="shared" si="59"/>
        <v>1395550</v>
      </c>
      <c r="G292" s="2">
        <f t="shared" si="48"/>
        <v>8.1052631578947376E-2</v>
      </c>
      <c r="H292" s="8">
        <f t="shared" si="49"/>
        <v>30000</v>
      </c>
      <c r="I292" s="8">
        <f t="shared" si="50"/>
        <v>1031000.0000000001</v>
      </c>
      <c r="L292" s="8">
        <f t="shared" si="51"/>
        <v>16397950</v>
      </c>
      <c r="M292" s="8">
        <f t="shared" si="52"/>
        <v>17444627.659574468</v>
      </c>
      <c r="N292" s="12">
        <f t="shared" si="53"/>
        <v>1030999.9999999981</v>
      </c>
      <c r="O292" s="13">
        <f t="shared" si="54"/>
        <v>5.9101290100286821E-2</v>
      </c>
      <c r="P292" s="8">
        <f t="shared" si="55"/>
        <v>18848218.390804596</v>
      </c>
      <c r="Q292" s="12">
        <f t="shared" si="56"/>
        <v>1030999.9999999981</v>
      </c>
      <c r="R292" s="13">
        <f t="shared" si="57"/>
        <v>5.4700130199201634E-2</v>
      </c>
    </row>
    <row r="293" spans="1:18" x14ac:dyDescent="0.3">
      <c r="A293" s="1">
        <v>12350001</v>
      </c>
      <c r="B293" s="1">
        <v>12400000</v>
      </c>
      <c r="C293" s="9">
        <v>15900</v>
      </c>
      <c r="E293" s="3">
        <f t="shared" si="58"/>
        <v>1612000</v>
      </c>
      <c r="F293" s="3">
        <f t="shared" si="59"/>
        <v>1401200</v>
      </c>
      <c r="G293" s="2">
        <f t="shared" si="48"/>
        <v>8.1048387096774199E-2</v>
      </c>
      <c r="H293" s="8">
        <f t="shared" si="49"/>
        <v>30000</v>
      </c>
      <c r="I293" s="8">
        <f t="shared" si="50"/>
        <v>1035000.0000000001</v>
      </c>
      <c r="L293" s="8">
        <f t="shared" si="51"/>
        <v>16464100</v>
      </c>
      <c r="M293" s="8">
        <f t="shared" si="52"/>
        <v>17515000</v>
      </c>
      <c r="N293" s="12">
        <f t="shared" si="53"/>
        <v>1034999.9999999981</v>
      </c>
      <c r="O293" s="13">
        <f t="shared" si="54"/>
        <v>5.9092206679988477E-2</v>
      </c>
      <c r="P293" s="8">
        <f t="shared" si="55"/>
        <v>18924252.873563219</v>
      </c>
      <c r="Q293" s="12">
        <f t="shared" si="56"/>
        <v>1035000</v>
      </c>
      <c r="R293" s="13">
        <f t="shared" si="57"/>
        <v>5.4691723203819216E-2</v>
      </c>
    </row>
    <row r="294" spans="1:18" x14ac:dyDescent="0.3">
      <c r="A294" s="1">
        <v>12400001</v>
      </c>
      <c r="B294" s="1">
        <v>12450000</v>
      </c>
      <c r="C294" s="9">
        <v>15900</v>
      </c>
      <c r="E294" s="3">
        <f t="shared" si="58"/>
        <v>1618500</v>
      </c>
      <c r="F294" s="3">
        <f t="shared" si="59"/>
        <v>1406850</v>
      </c>
      <c r="G294" s="2">
        <f t="shared" si="48"/>
        <v>8.1044176706827314E-2</v>
      </c>
      <c r="H294" s="8">
        <f t="shared" si="49"/>
        <v>30000</v>
      </c>
      <c r="I294" s="8">
        <f t="shared" si="50"/>
        <v>1039000.0000000001</v>
      </c>
      <c r="L294" s="8">
        <f t="shared" si="51"/>
        <v>16530250</v>
      </c>
      <c r="M294" s="8">
        <f t="shared" si="52"/>
        <v>17585372.340425532</v>
      </c>
      <c r="N294" s="12">
        <f t="shared" si="53"/>
        <v>1039000</v>
      </c>
      <c r="O294" s="13">
        <f t="shared" si="54"/>
        <v>5.9083195958923793E-2</v>
      </c>
      <c r="P294" s="8">
        <f t="shared" si="55"/>
        <v>19000287.356321838</v>
      </c>
      <c r="Q294" s="12">
        <f t="shared" si="56"/>
        <v>1038999.9999999981</v>
      </c>
      <c r="R294" s="13">
        <f t="shared" si="57"/>
        <v>5.468338349389746E-2</v>
      </c>
    </row>
    <row r="295" spans="1:18" x14ac:dyDescent="0.3">
      <c r="A295" s="1">
        <v>12450001</v>
      </c>
      <c r="B295" s="1">
        <v>12500000</v>
      </c>
      <c r="C295" s="9">
        <v>15900</v>
      </c>
      <c r="E295" s="3">
        <f t="shared" si="58"/>
        <v>1625000</v>
      </c>
      <c r="F295" s="3">
        <f t="shared" si="59"/>
        <v>1412500</v>
      </c>
      <c r="G295" s="2">
        <f t="shared" si="48"/>
        <v>8.1040000000000001E-2</v>
      </c>
      <c r="H295" s="8">
        <f t="shared" si="49"/>
        <v>30000</v>
      </c>
      <c r="I295" s="8">
        <f t="shared" si="50"/>
        <v>1043000</v>
      </c>
      <c r="L295" s="8">
        <f t="shared" si="51"/>
        <v>16596400</v>
      </c>
      <c r="M295" s="8">
        <f t="shared" si="52"/>
        <v>17655744.680851065</v>
      </c>
      <c r="N295" s="12">
        <f t="shared" si="53"/>
        <v>1043000</v>
      </c>
      <c r="O295" s="13">
        <f t="shared" si="54"/>
        <v>5.9074257067797835E-2</v>
      </c>
      <c r="P295" s="8">
        <f t="shared" si="55"/>
        <v>19076321.83908046</v>
      </c>
      <c r="Q295" s="12">
        <f t="shared" si="56"/>
        <v>1043000</v>
      </c>
      <c r="R295" s="13">
        <f t="shared" si="57"/>
        <v>5.4675110264876717E-2</v>
      </c>
    </row>
    <row r="296" spans="1:18" x14ac:dyDescent="0.3">
      <c r="A296" s="1">
        <v>12500001</v>
      </c>
      <c r="B296" s="1">
        <v>12550000</v>
      </c>
      <c r="C296" s="9">
        <v>15900</v>
      </c>
      <c r="E296" s="3">
        <f t="shared" si="58"/>
        <v>1631500</v>
      </c>
      <c r="F296" s="3">
        <f t="shared" si="59"/>
        <v>1418150</v>
      </c>
      <c r="G296" s="2">
        <f t="shared" si="48"/>
        <v>8.1035856573705184E-2</v>
      </c>
      <c r="H296" s="8">
        <f t="shared" si="49"/>
        <v>30000</v>
      </c>
      <c r="I296" s="8">
        <f t="shared" si="50"/>
        <v>1047000</v>
      </c>
      <c r="L296" s="8">
        <f t="shared" si="51"/>
        <v>16662550</v>
      </c>
      <c r="M296" s="8">
        <f t="shared" si="52"/>
        <v>17726117.021276597</v>
      </c>
      <c r="N296" s="12">
        <f t="shared" si="53"/>
        <v>1047000</v>
      </c>
      <c r="O296" s="13">
        <f t="shared" si="54"/>
        <v>5.9065389151120321E-2</v>
      </c>
      <c r="P296" s="8">
        <f t="shared" si="55"/>
        <v>19152356.321839079</v>
      </c>
      <c r="Q296" s="12">
        <f t="shared" si="56"/>
        <v>1046999.9999999981</v>
      </c>
      <c r="R296" s="13">
        <f t="shared" si="57"/>
        <v>5.4666902724972974E-2</v>
      </c>
    </row>
    <row r="297" spans="1:18" x14ac:dyDescent="0.3">
      <c r="A297" s="1">
        <v>12550001</v>
      </c>
      <c r="B297" s="1">
        <v>12600000</v>
      </c>
      <c r="C297" s="9">
        <v>15900</v>
      </c>
      <c r="E297" s="3">
        <f t="shared" si="58"/>
        <v>1638000</v>
      </c>
      <c r="F297" s="3">
        <f t="shared" si="59"/>
        <v>1423800</v>
      </c>
      <c r="G297" s="2">
        <f t="shared" si="48"/>
        <v>8.1031746031746038E-2</v>
      </c>
      <c r="H297" s="8">
        <f t="shared" si="49"/>
        <v>30000</v>
      </c>
      <c r="I297" s="8">
        <f t="shared" si="50"/>
        <v>1051000</v>
      </c>
      <c r="L297" s="8">
        <f t="shared" si="51"/>
        <v>16728700</v>
      </c>
      <c r="M297" s="8">
        <f t="shared" si="52"/>
        <v>17796489.361702129</v>
      </c>
      <c r="N297" s="12">
        <f t="shared" si="53"/>
        <v>1051000</v>
      </c>
      <c r="O297" s="13">
        <f t="shared" si="54"/>
        <v>5.9056591366932275E-2</v>
      </c>
      <c r="P297" s="8">
        <f t="shared" si="55"/>
        <v>19228390.804597702</v>
      </c>
      <c r="Q297" s="12">
        <f t="shared" si="56"/>
        <v>1051000</v>
      </c>
      <c r="R297" s="13">
        <f t="shared" si="57"/>
        <v>5.4658760094926678E-2</v>
      </c>
    </row>
    <row r="298" spans="1:18" x14ac:dyDescent="0.3">
      <c r="A298" s="1">
        <v>12600001</v>
      </c>
      <c r="B298" s="1">
        <v>12650000</v>
      </c>
      <c r="C298" s="9">
        <v>15900</v>
      </c>
      <c r="E298" s="3">
        <f t="shared" si="58"/>
        <v>1644500</v>
      </c>
      <c r="F298" s="3">
        <f t="shared" si="59"/>
        <v>1429450</v>
      </c>
      <c r="G298" s="2">
        <f t="shared" si="48"/>
        <v>8.1027667984189727E-2</v>
      </c>
      <c r="H298" s="8">
        <f t="shared" si="49"/>
        <v>30000</v>
      </c>
      <c r="I298" s="8">
        <f t="shared" si="50"/>
        <v>1055000</v>
      </c>
      <c r="L298" s="8">
        <f t="shared" si="51"/>
        <v>16794850</v>
      </c>
      <c r="M298" s="8">
        <f t="shared" si="52"/>
        <v>17866861.702127662</v>
      </c>
      <c r="N298" s="12">
        <f t="shared" si="53"/>
        <v>1055000</v>
      </c>
      <c r="O298" s="13">
        <f t="shared" si="54"/>
        <v>5.9047862886539619E-2</v>
      </c>
      <c r="P298" s="8">
        <f t="shared" si="55"/>
        <v>19304425.287356321</v>
      </c>
      <c r="Q298" s="12">
        <f t="shared" si="56"/>
        <v>1055000</v>
      </c>
      <c r="R298" s="13">
        <f t="shared" si="57"/>
        <v>5.4650681607754763E-2</v>
      </c>
    </row>
    <row r="299" spans="1:18" x14ac:dyDescent="0.3">
      <c r="A299" s="1">
        <v>12650001</v>
      </c>
      <c r="B299" s="1">
        <v>12700000</v>
      </c>
      <c r="C299" s="9">
        <v>15900</v>
      </c>
      <c r="E299" s="3">
        <f t="shared" si="58"/>
        <v>1651000</v>
      </c>
      <c r="F299" s="3">
        <f t="shared" si="59"/>
        <v>1435100</v>
      </c>
      <c r="G299" s="2">
        <f t="shared" si="48"/>
        <v>8.1023622047244101E-2</v>
      </c>
      <c r="H299" s="8">
        <f t="shared" si="49"/>
        <v>30000</v>
      </c>
      <c r="I299" s="8">
        <f t="shared" si="50"/>
        <v>1059000</v>
      </c>
      <c r="L299" s="8">
        <f t="shared" si="51"/>
        <v>16861000</v>
      </c>
      <c r="M299" s="8">
        <f t="shared" si="52"/>
        <v>17937234.042553194</v>
      </c>
      <c r="N299" s="12">
        <f t="shared" si="53"/>
        <v>1059000</v>
      </c>
      <c r="O299" s="13">
        <f t="shared" si="54"/>
        <v>5.9039202894253004E-2</v>
      </c>
      <c r="P299" s="8">
        <f t="shared" si="55"/>
        <v>19380459.770114943</v>
      </c>
      <c r="Q299" s="12">
        <f t="shared" si="56"/>
        <v>1059000</v>
      </c>
      <c r="R299" s="13">
        <f t="shared" si="57"/>
        <v>5.4642666508510761E-2</v>
      </c>
    </row>
    <row r="300" spans="1:18" x14ac:dyDescent="0.3">
      <c r="A300" s="1">
        <v>12700001</v>
      </c>
      <c r="B300" s="1">
        <v>12750000</v>
      </c>
      <c r="C300" s="9">
        <v>15900</v>
      </c>
      <c r="E300" s="3">
        <f t="shared" si="58"/>
        <v>1657500</v>
      </c>
      <c r="F300" s="3">
        <f t="shared" si="59"/>
        <v>1440750</v>
      </c>
      <c r="G300" s="2">
        <f t="shared" si="48"/>
        <v>8.1019607843137262E-2</v>
      </c>
      <c r="H300" s="8">
        <f t="shared" si="49"/>
        <v>30000</v>
      </c>
      <c r="I300" s="8">
        <f t="shared" si="50"/>
        <v>1063000</v>
      </c>
      <c r="L300" s="8">
        <f t="shared" si="51"/>
        <v>16927150</v>
      </c>
      <c r="M300" s="8">
        <f t="shared" si="52"/>
        <v>18007606.382978726</v>
      </c>
      <c r="N300" s="12">
        <f t="shared" si="53"/>
        <v>1063000</v>
      </c>
      <c r="O300" s="13">
        <f t="shared" si="54"/>
        <v>5.9030610587133679E-2</v>
      </c>
      <c r="P300" s="8">
        <f t="shared" si="55"/>
        <v>19456494.252873562</v>
      </c>
      <c r="Q300" s="12">
        <f t="shared" si="56"/>
        <v>1063000</v>
      </c>
      <c r="R300" s="13">
        <f t="shared" si="57"/>
        <v>5.4634714054049266E-2</v>
      </c>
    </row>
    <row r="301" spans="1:18" x14ac:dyDescent="0.3">
      <c r="A301" s="1">
        <v>12750001</v>
      </c>
      <c r="B301" s="1">
        <v>12800000</v>
      </c>
      <c r="C301" s="9">
        <v>15900</v>
      </c>
      <c r="E301" s="3">
        <f t="shared" si="58"/>
        <v>1664000</v>
      </c>
      <c r="F301" s="3">
        <f t="shared" si="59"/>
        <v>1446400</v>
      </c>
      <c r="G301" s="2">
        <f t="shared" si="48"/>
        <v>8.1015625000000008E-2</v>
      </c>
      <c r="H301" s="8">
        <f t="shared" si="49"/>
        <v>30000</v>
      </c>
      <c r="I301" s="8">
        <f t="shared" si="50"/>
        <v>1067000</v>
      </c>
      <c r="L301" s="8">
        <f t="shared" si="51"/>
        <v>16993300</v>
      </c>
      <c r="M301" s="8">
        <f t="shared" si="52"/>
        <v>18077978.723404255</v>
      </c>
      <c r="N301" s="12">
        <f t="shared" si="53"/>
        <v>1067000</v>
      </c>
      <c r="O301" s="13">
        <f t="shared" si="54"/>
        <v>5.9022085174745345E-2</v>
      </c>
      <c r="P301" s="8">
        <f t="shared" si="55"/>
        <v>19532528.735632185</v>
      </c>
      <c r="Q301" s="12">
        <f t="shared" si="56"/>
        <v>1067000</v>
      </c>
      <c r="R301" s="13">
        <f t="shared" si="57"/>
        <v>5.462682351279622E-2</v>
      </c>
    </row>
    <row r="302" spans="1:18" x14ac:dyDescent="0.3">
      <c r="A302" s="1">
        <v>12800001</v>
      </c>
      <c r="B302" s="1">
        <v>12850000</v>
      </c>
      <c r="C302" s="9">
        <v>15900</v>
      </c>
      <c r="E302" s="3">
        <f t="shared" si="58"/>
        <v>1670500</v>
      </c>
      <c r="F302" s="3">
        <f t="shared" si="59"/>
        <v>1452050</v>
      </c>
      <c r="G302" s="2">
        <f t="shared" si="48"/>
        <v>8.1011673151750979E-2</v>
      </c>
      <c r="H302" s="8">
        <f t="shared" si="49"/>
        <v>30000</v>
      </c>
      <c r="I302" s="8">
        <f t="shared" si="50"/>
        <v>1071000</v>
      </c>
      <c r="L302" s="8">
        <f t="shared" si="51"/>
        <v>17059450</v>
      </c>
      <c r="M302" s="8">
        <f t="shared" si="52"/>
        <v>18148351.063829787</v>
      </c>
      <c r="N302" s="12">
        <f t="shared" si="53"/>
        <v>1071000</v>
      </c>
      <c r="O302" s="13">
        <f t="shared" si="54"/>
        <v>5.9013625878911687E-2</v>
      </c>
      <c r="P302" s="8">
        <f t="shared" si="55"/>
        <v>19608563.218390804</v>
      </c>
      <c r="Q302" s="12">
        <f t="shared" si="56"/>
        <v>1071000</v>
      </c>
      <c r="R302" s="13">
        <f t="shared" si="57"/>
        <v>5.4618994164524648E-2</v>
      </c>
    </row>
    <row r="303" spans="1:18" x14ac:dyDescent="0.3">
      <c r="A303" s="1">
        <v>12850001</v>
      </c>
      <c r="B303" s="1">
        <v>12900000</v>
      </c>
      <c r="C303" s="9">
        <v>15900</v>
      </c>
      <c r="E303" s="3">
        <f t="shared" si="58"/>
        <v>1677000</v>
      </c>
      <c r="F303" s="3">
        <f t="shared" si="59"/>
        <v>1457700</v>
      </c>
      <c r="G303" s="2">
        <f t="shared" si="48"/>
        <v>8.1007751937984498E-2</v>
      </c>
      <c r="H303" s="8">
        <f t="shared" si="49"/>
        <v>30000</v>
      </c>
      <c r="I303" s="8">
        <f t="shared" si="50"/>
        <v>1075000</v>
      </c>
      <c r="L303" s="8">
        <f t="shared" si="51"/>
        <v>17125600</v>
      </c>
      <c r="M303" s="8">
        <f t="shared" si="52"/>
        <v>18218723.404255319</v>
      </c>
      <c r="N303" s="12">
        <f t="shared" si="53"/>
        <v>1075000</v>
      </c>
      <c r="O303" s="13">
        <f t="shared" si="54"/>
        <v>5.9005231933479702E-2</v>
      </c>
      <c r="P303" s="8">
        <f t="shared" si="55"/>
        <v>19684597.701149426</v>
      </c>
      <c r="Q303" s="12">
        <f t="shared" si="56"/>
        <v>1075000</v>
      </c>
      <c r="R303" s="13">
        <f t="shared" si="57"/>
        <v>5.4611225300135464E-2</v>
      </c>
    </row>
    <row r="304" spans="1:18" x14ac:dyDescent="0.3">
      <c r="A304" s="1">
        <v>12900001</v>
      </c>
      <c r="B304" s="1">
        <v>12950000</v>
      </c>
      <c r="C304" s="9">
        <v>15900</v>
      </c>
      <c r="E304" s="3">
        <f t="shared" si="58"/>
        <v>1683500</v>
      </c>
      <c r="F304" s="3">
        <f t="shared" si="59"/>
        <v>1463350</v>
      </c>
      <c r="G304" s="2">
        <f t="shared" si="48"/>
        <v>8.1003861003861005E-2</v>
      </c>
      <c r="H304" s="8">
        <f t="shared" si="49"/>
        <v>30000</v>
      </c>
      <c r="I304" s="8">
        <f t="shared" si="50"/>
        <v>1079000</v>
      </c>
      <c r="L304" s="8">
        <f t="shared" si="51"/>
        <v>17191750</v>
      </c>
      <c r="M304" s="8">
        <f t="shared" si="52"/>
        <v>18289095.744680852</v>
      </c>
      <c r="N304" s="12">
        <f t="shared" si="53"/>
        <v>1079000</v>
      </c>
      <c r="O304" s="13">
        <f t="shared" si="54"/>
        <v>5.8996902584088295E-2</v>
      </c>
      <c r="P304" s="8">
        <f t="shared" si="55"/>
        <v>19760632.183908045</v>
      </c>
      <c r="Q304" s="12">
        <f t="shared" si="56"/>
        <v>1079000</v>
      </c>
      <c r="R304" s="13">
        <f t="shared" si="57"/>
        <v>5.4603516221443424E-2</v>
      </c>
    </row>
    <row r="305" spans="1:18" x14ac:dyDescent="0.3">
      <c r="A305" s="1">
        <v>12950001</v>
      </c>
      <c r="B305" s="1">
        <v>13000000</v>
      </c>
      <c r="C305" s="9">
        <v>15900</v>
      </c>
      <c r="E305" s="3">
        <f t="shared" si="58"/>
        <v>1690000</v>
      </c>
      <c r="F305" s="3">
        <f t="shared" si="59"/>
        <v>1469000</v>
      </c>
      <c r="G305" s="2">
        <f t="shared" si="48"/>
        <v>8.1000000000000003E-2</v>
      </c>
      <c r="H305" s="8">
        <f t="shared" si="49"/>
        <v>30000</v>
      </c>
      <c r="I305" s="8">
        <f t="shared" si="50"/>
        <v>1083000</v>
      </c>
      <c r="L305" s="8">
        <f t="shared" si="51"/>
        <v>17257900</v>
      </c>
      <c r="M305" s="8">
        <f t="shared" si="52"/>
        <v>18359468.085106384</v>
      </c>
      <c r="N305" s="12">
        <f t="shared" si="53"/>
        <v>1083000</v>
      </c>
      <c r="O305" s="13">
        <f t="shared" si="54"/>
        <v>5.8988637087942331E-2</v>
      </c>
      <c r="P305" s="8">
        <f t="shared" si="55"/>
        <v>19836666.666666668</v>
      </c>
      <c r="Q305" s="12">
        <f t="shared" si="56"/>
        <v>1083000</v>
      </c>
      <c r="R305" s="13">
        <f t="shared" si="57"/>
        <v>5.4595866240967898E-2</v>
      </c>
    </row>
    <row r="306" spans="1:18" x14ac:dyDescent="0.3">
      <c r="A306" s="1">
        <v>13000001</v>
      </c>
      <c r="B306" s="1">
        <v>13050000</v>
      </c>
      <c r="C306" s="9">
        <v>15900</v>
      </c>
      <c r="E306" s="3">
        <f t="shared" si="58"/>
        <v>1696500</v>
      </c>
      <c r="F306" s="3">
        <f t="shared" si="59"/>
        <v>1474650</v>
      </c>
      <c r="G306" s="2">
        <f t="shared" si="48"/>
        <v>8.0996168582375475E-2</v>
      </c>
      <c r="H306" s="8">
        <f t="shared" si="49"/>
        <v>30000</v>
      </c>
      <c r="I306" s="8">
        <f t="shared" si="50"/>
        <v>1087000</v>
      </c>
      <c r="L306" s="8">
        <f t="shared" si="51"/>
        <v>17324050</v>
      </c>
      <c r="M306" s="8">
        <f t="shared" si="52"/>
        <v>18429840.425531916</v>
      </c>
      <c r="N306" s="12">
        <f t="shared" si="53"/>
        <v>1087000</v>
      </c>
      <c r="O306" s="13">
        <f t="shared" si="54"/>
        <v>5.8980434713591795E-2</v>
      </c>
      <c r="P306" s="8">
        <f t="shared" si="55"/>
        <v>19912701.149425287</v>
      </c>
      <c r="Q306" s="12">
        <f t="shared" si="56"/>
        <v>1087000</v>
      </c>
      <c r="R306" s="13">
        <f t="shared" si="57"/>
        <v>5.4588274681728582E-2</v>
      </c>
    </row>
    <row r="307" spans="1:18" x14ac:dyDescent="0.3">
      <c r="A307" s="1">
        <v>13050001</v>
      </c>
      <c r="B307" s="1">
        <v>13100000</v>
      </c>
      <c r="C307" s="9">
        <v>15900</v>
      </c>
      <c r="E307" s="3">
        <f t="shared" si="58"/>
        <v>1703000</v>
      </c>
      <c r="F307" s="3">
        <f t="shared" si="59"/>
        <v>1480300</v>
      </c>
      <c r="G307" s="2">
        <f t="shared" si="48"/>
        <v>8.0992366412213745E-2</v>
      </c>
      <c r="H307" s="8">
        <f t="shared" si="49"/>
        <v>30000</v>
      </c>
      <c r="I307" s="8">
        <f t="shared" si="50"/>
        <v>1091000</v>
      </c>
      <c r="L307" s="8">
        <f t="shared" si="51"/>
        <v>17390200</v>
      </c>
      <c r="M307" s="8">
        <f t="shared" si="52"/>
        <v>18500212.765957449</v>
      </c>
      <c r="N307" s="12">
        <f t="shared" si="53"/>
        <v>1091000</v>
      </c>
      <c r="O307" s="13">
        <f t="shared" si="54"/>
        <v>5.8972294740716032E-2</v>
      </c>
      <c r="P307" s="8">
        <f t="shared" si="55"/>
        <v>19988735.632183909</v>
      </c>
      <c r="Q307" s="12">
        <f t="shared" si="56"/>
        <v>1091000</v>
      </c>
      <c r="R307" s="13">
        <f t="shared" si="57"/>
        <v>5.4580740877045689E-2</v>
      </c>
    </row>
    <row r="308" spans="1:18" x14ac:dyDescent="0.3">
      <c r="A308" s="1">
        <v>13100001</v>
      </c>
      <c r="B308" s="1">
        <v>13150000</v>
      </c>
      <c r="C308" s="9">
        <v>15900</v>
      </c>
      <c r="E308" s="3">
        <f t="shared" si="58"/>
        <v>1709500</v>
      </c>
      <c r="F308" s="3">
        <f t="shared" si="59"/>
        <v>1485950</v>
      </c>
      <c r="G308" s="2">
        <f t="shared" si="48"/>
        <v>8.0988593155893532E-2</v>
      </c>
      <c r="H308" s="8">
        <f t="shared" si="49"/>
        <v>30000</v>
      </c>
      <c r="I308" s="8">
        <f t="shared" si="50"/>
        <v>1095000</v>
      </c>
      <c r="L308" s="8">
        <f t="shared" si="51"/>
        <v>17456350</v>
      </c>
      <c r="M308" s="8">
        <f t="shared" si="52"/>
        <v>18570585.106382981</v>
      </c>
      <c r="N308" s="12">
        <f t="shared" si="53"/>
        <v>1095000</v>
      </c>
      <c r="O308" s="13">
        <f t="shared" si="54"/>
        <v>5.8964216459912865E-2</v>
      </c>
      <c r="P308" s="8">
        <f t="shared" si="55"/>
        <v>20064770.114942528</v>
      </c>
      <c r="Q308" s="12">
        <f t="shared" si="56"/>
        <v>1095000</v>
      </c>
      <c r="R308" s="13">
        <f t="shared" si="57"/>
        <v>5.4573264170344887E-2</v>
      </c>
    </row>
    <row r="309" spans="1:18" x14ac:dyDescent="0.3">
      <c r="A309" s="1">
        <v>13150001</v>
      </c>
      <c r="B309" s="1">
        <v>13200000</v>
      </c>
      <c r="C309" s="9">
        <v>15900</v>
      </c>
      <c r="E309" s="3">
        <f t="shared" si="58"/>
        <v>1716000</v>
      </c>
      <c r="F309" s="3">
        <f t="shared" si="59"/>
        <v>1491600</v>
      </c>
      <c r="G309" s="2">
        <f t="shared" si="48"/>
        <v>8.0984848484848493E-2</v>
      </c>
      <c r="H309" s="8">
        <f t="shared" si="49"/>
        <v>30000</v>
      </c>
      <c r="I309" s="8">
        <f t="shared" si="50"/>
        <v>1099000</v>
      </c>
      <c r="L309" s="8">
        <f t="shared" si="51"/>
        <v>17522500</v>
      </c>
      <c r="M309" s="8">
        <f t="shared" si="52"/>
        <v>18640957.446808513</v>
      </c>
      <c r="N309" s="12">
        <f t="shared" si="53"/>
        <v>1099000</v>
      </c>
      <c r="O309" s="13">
        <f t="shared" si="54"/>
        <v>5.89561991724925E-2</v>
      </c>
      <c r="P309" s="8">
        <f t="shared" si="55"/>
        <v>20140804.597701151</v>
      </c>
      <c r="Q309" s="12">
        <f t="shared" si="56"/>
        <v>1099000</v>
      </c>
      <c r="R309" s="13">
        <f t="shared" si="57"/>
        <v>5.4565843914966466E-2</v>
      </c>
    </row>
    <row r="310" spans="1:18" x14ac:dyDescent="0.3">
      <c r="A310" s="1">
        <v>13200001</v>
      </c>
      <c r="B310" s="1">
        <v>13250000</v>
      </c>
      <c r="C310" s="9">
        <v>15900</v>
      </c>
      <c r="E310" s="3">
        <f t="shared" si="58"/>
        <v>1722500</v>
      </c>
      <c r="F310" s="3">
        <f t="shared" si="59"/>
        <v>1497250</v>
      </c>
      <c r="G310" s="2">
        <f t="shared" si="48"/>
        <v>8.0981132075471696E-2</v>
      </c>
      <c r="H310" s="8">
        <f t="shared" si="49"/>
        <v>30000</v>
      </c>
      <c r="I310" s="8">
        <f t="shared" si="50"/>
        <v>1103000</v>
      </c>
      <c r="L310" s="8">
        <f t="shared" si="51"/>
        <v>17588650</v>
      </c>
      <c r="M310" s="8">
        <f t="shared" si="52"/>
        <v>18711329.787234042</v>
      </c>
      <c r="N310" s="12">
        <f t="shared" si="53"/>
        <v>1103000</v>
      </c>
      <c r="O310" s="13">
        <f t="shared" si="54"/>
        <v>5.8948242190276119E-2</v>
      </c>
      <c r="P310" s="8">
        <f t="shared" si="55"/>
        <v>20216839.08045977</v>
      </c>
      <c r="Q310" s="12">
        <f t="shared" si="56"/>
        <v>1103000</v>
      </c>
      <c r="R310" s="13">
        <f t="shared" si="57"/>
        <v>5.455847947397896E-2</v>
      </c>
    </row>
    <row r="311" spans="1:18" x14ac:dyDescent="0.3">
      <c r="A311" s="1">
        <v>13250001</v>
      </c>
      <c r="B311" s="1">
        <v>13300000</v>
      </c>
      <c r="C311" s="9">
        <v>15900</v>
      </c>
      <c r="E311" s="3">
        <f t="shared" si="58"/>
        <v>1729000</v>
      </c>
      <c r="F311" s="3">
        <f t="shared" si="59"/>
        <v>1502900</v>
      </c>
      <c r="G311" s="2">
        <f t="shared" si="48"/>
        <v>8.0977443609022565E-2</v>
      </c>
      <c r="H311" s="8">
        <f t="shared" si="49"/>
        <v>30000</v>
      </c>
      <c r="I311" s="8">
        <f t="shared" si="50"/>
        <v>1107000</v>
      </c>
      <c r="L311" s="8">
        <f t="shared" si="51"/>
        <v>17654800</v>
      </c>
      <c r="M311" s="8">
        <f t="shared" si="52"/>
        <v>18781702.127659574</v>
      </c>
      <c r="N311" s="12">
        <f t="shared" si="53"/>
        <v>1107000</v>
      </c>
      <c r="O311" s="13">
        <f t="shared" si="54"/>
        <v>5.8940344835398874E-2</v>
      </c>
      <c r="P311" s="8">
        <f t="shared" si="55"/>
        <v>20292873.563218392</v>
      </c>
      <c r="Q311" s="12">
        <f t="shared" si="56"/>
        <v>1107000</v>
      </c>
      <c r="R311" s="13">
        <f t="shared" si="57"/>
        <v>5.4551170219996822E-2</v>
      </c>
    </row>
    <row r="312" spans="1:18" x14ac:dyDescent="0.3">
      <c r="A312" s="1">
        <v>13300001</v>
      </c>
      <c r="B312" s="1">
        <v>13350000</v>
      </c>
      <c r="C312" s="9">
        <v>15900</v>
      </c>
      <c r="E312" s="3">
        <f t="shared" si="58"/>
        <v>1735500</v>
      </c>
      <c r="F312" s="3">
        <f t="shared" si="59"/>
        <v>1508550</v>
      </c>
      <c r="G312" s="2">
        <f t="shared" si="48"/>
        <v>8.097378277153558E-2</v>
      </c>
      <c r="H312" s="8">
        <f t="shared" si="49"/>
        <v>30000</v>
      </c>
      <c r="I312" s="8">
        <f t="shared" si="50"/>
        <v>1111000</v>
      </c>
      <c r="L312" s="8">
        <f t="shared" si="51"/>
        <v>17720950</v>
      </c>
      <c r="M312" s="8">
        <f t="shared" si="52"/>
        <v>18852074.468085106</v>
      </c>
      <c r="N312" s="12">
        <f t="shared" si="53"/>
        <v>1111000</v>
      </c>
      <c r="O312" s="13">
        <f t="shared" si="54"/>
        <v>5.8932506440117487E-2</v>
      </c>
      <c r="P312" s="8">
        <f t="shared" si="55"/>
        <v>20368908.045977011</v>
      </c>
      <c r="Q312" s="12">
        <f t="shared" si="56"/>
        <v>1111000</v>
      </c>
      <c r="R312" s="13">
        <f t="shared" si="57"/>
        <v>5.4543915535002353E-2</v>
      </c>
    </row>
    <row r="313" spans="1:18" x14ac:dyDescent="0.3">
      <c r="A313" s="1">
        <v>13350001</v>
      </c>
      <c r="B313" s="1">
        <v>13400000</v>
      </c>
      <c r="C313" s="9">
        <v>15900</v>
      </c>
      <c r="E313" s="3">
        <f t="shared" si="58"/>
        <v>1742000</v>
      </c>
      <c r="F313" s="3">
        <f t="shared" si="59"/>
        <v>1514200</v>
      </c>
      <c r="G313" s="2">
        <f t="shared" si="48"/>
        <v>8.0970149253731347E-2</v>
      </c>
      <c r="H313" s="8">
        <f t="shared" si="49"/>
        <v>30000</v>
      </c>
      <c r="I313" s="8">
        <f t="shared" si="50"/>
        <v>1115000</v>
      </c>
      <c r="L313" s="8">
        <f t="shared" si="51"/>
        <v>17787100</v>
      </c>
      <c r="M313" s="8">
        <f t="shared" si="52"/>
        <v>18922446.808510639</v>
      </c>
      <c r="N313" s="12">
        <f t="shared" si="53"/>
        <v>1115000</v>
      </c>
      <c r="O313" s="13">
        <f t="shared" si="54"/>
        <v>5.8924726346621992E-2</v>
      </c>
      <c r="P313" s="8">
        <f t="shared" si="55"/>
        <v>20444942.528735634</v>
      </c>
      <c r="Q313" s="12">
        <f t="shared" si="56"/>
        <v>1115000</v>
      </c>
      <c r="R313" s="13">
        <f t="shared" si="57"/>
        <v>5.4536714810171409E-2</v>
      </c>
    </row>
    <row r="314" spans="1:18" x14ac:dyDescent="0.3">
      <c r="A314" s="1">
        <v>13400001</v>
      </c>
      <c r="B314" s="1">
        <v>13450000</v>
      </c>
      <c r="C314" s="9">
        <v>15900</v>
      </c>
      <c r="E314" s="3">
        <f t="shared" si="58"/>
        <v>1748500</v>
      </c>
      <c r="F314" s="3">
        <f t="shared" si="59"/>
        <v>1519850</v>
      </c>
      <c r="G314" s="2">
        <f t="shared" si="48"/>
        <v>8.0966542750929363E-2</v>
      </c>
      <c r="H314" s="8">
        <f t="shared" si="49"/>
        <v>30000</v>
      </c>
      <c r="I314" s="8">
        <f t="shared" si="50"/>
        <v>1119000</v>
      </c>
      <c r="L314" s="8">
        <f t="shared" si="51"/>
        <v>17853250</v>
      </c>
      <c r="M314" s="8">
        <f t="shared" si="52"/>
        <v>18992819.148936171</v>
      </c>
      <c r="N314" s="12">
        <f t="shared" si="53"/>
        <v>1119000</v>
      </c>
      <c r="O314" s="13">
        <f t="shared" si="54"/>
        <v>5.8917003906851693E-2</v>
      </c>
      <c r="P314" s="8">
        <f t="shared" si="55"/>
        <v>20520977.011494253</v>
      </c>
      <c r="Q314" s="12">
        <f t="shared" si="56"/>
        <v>1119000</v>
      </c>
      <c r="R314" s="13">
        <f t="shared" si="57"/>
        <v>5.4529567445703163E-2</v>
      </c>
    </row>
    <row r="315" spans="1:18" x14ac:dyDescent="0.3">
      <c r="A315" s="1">
        <v>13450001</v>
      </c>
      <c r="B315" s="1">
        <v>13500000</v>
      </c>
      <c r="C315" s="9">
        <v>15900</v>
      </c>
      <c r="E315" s="3">
        <f t="shared" si="58"/>
        <v>1755000</v>
      </c>
      <c r="F315" s="3">
        <f t="shared" si="59"/>
        <v>1525500</v>
      </c>
      <c r="G315" s="2">
        <f t="shared" si="48"/>
        <v>8.0962962962962959E-2</v>
      </c>
      <c r="H315" s="8">
        <f t="shared" si="49"/>
        <v>30000</v>
      </c>
      <c r="I315" s="8">
        <f t="shared" si="50"/>
        <v>1123000</v>
      </c>
      <c r="L315" s="8">
        <f t="shared" si="51"/>
        <v>17919400</v>
      </c>
      <c r="M315" s="8">
        <f t="shared" si="52"/>
        <v>19063191.489361703</v>
      </c>
      <c r="N315" s="12">
        <f t="shared" si="53"/>
        <v>1123000</v>
      </c>
      <c r="O315" s="13">
        <f t="shared" si="54"/>
        <v>5.8909338482315249E-2</v>
      </c>
      <c r="P315" s="8">
        <f t="shared" si="55"/>
        <v>20597011.494252875</v>
      </c>
      <c r="Q315" s="12">
        <f t="shared" si="56"/>
        <v>1123000</v>
      </c>
      <c r="R315" s="13">
        <f t="shared" si="57"/>
        <v>5.4522472850653474E-2</v>
      </c>
    </row>
    <row r="316" spans="1:18" x14ac:dyDescent="0.3">
      <c r="A316" s="1">
        <v>13500001</v>
      </c>
      <c r="B316" s="1">
        <v>13550000</v>
      </c>
      <c r="C316" s="9">
        <v>15900</v>
      </c>
      <c r="E316" s="3">
        <f t="shared" si="58"/>
        <v>1761500</v>
      </c>
      <c r="F316" s="3">
        <f t="shared" si="59"/>
        <v>1531150</v>
      </c>
      <c r="G316" s="2">
        <f t="shared" si="48"/>
        <v>8.0959409594095949E-2</v>
      </c>
      <c r="H316" s="8">
        <f t="shared" si="49"/>
        <v>30000</v>
      </c>
      <c r="I316" s="8">
        <f t="shared" si="50"/>
        <v>1127000</v>
      </c>
      <c r="L316" s="8">
        <f t="shared" si="51"/>
        <v>17985550</v>
      </c>
      <c r="M316" s="8">
        <f t="shared" si="52"/>
        <v>19133563.829787236</v>
      </c>
      <c r="N316" s="12">
        <f t="shared" si="53"/>
        <v>1127000</v>
      </c>
      <c r="O316" s="13">
        <f t="shared" si="54"/>
        <v>5.890172944391469E-2</v>
      </c>
      <c r="P316" s="8">
        <f t="shared" si="55"/>
        <v>20673045.977011494</v>
      </c>
      <c r="Q316" s="12">
        <f t="shared" si="56"/>
        <v>1127000</v>
      </c>
      <c r="R316" s="13">
        <f t="shared" si="57"/>
        <v>5.4515430442772114E-2</v>
      </c>
    </row>
    <row r="317" spans="1:18" x14ac:dyDescent="0.3">
      <c r="A317" s="1">
        <v>13550001</v>
      </c>
      <c r="B317" s="1">
        <v>13600000</v>
      </c>
      <c r="C317" s="9">
        <v>15900</v>
      </c>
      <c r="E317" s="3">
        <f t="shared" si="58"/>
        <v>1768000</v>
      </c>
      <c r="F317" s="3">
        <f t="shared" si="59"/>
        <v>1536800</v>
      </c>
      <c r="G317" s="2">
        <f t="shared" si="48"/>
        <v>8.0955882352941183E-2</v>
      </c>
      <c r="H317" s="8">
        <f t="shared" si="49"/>
        <v>30000</v>
      </c>
      <c r="I317" s="8">
        <f t="shared" si="50"/>
        <v>1131000</v>
      </c>
      <c r="L317" s="8">
        <f t="shared" si="51"/>
        <v>18051700</v>
      </c>
      <c r="M317" s="8">
        <f t="shared" si="52"/>
        <v>19203936.170212768</v>
      </c>
      <c r="N317" s="12">
        <f t="shared" si="53"/>
        <v>1131000</v>
      </c>
      <c r="O317" s="13">
        <f t="shared" si="54"/>
        <v>5.889417617177329E-2</v>
      </c>
      <c r="P317" s="8">
        <f t="shared" si="55"/>
        <v>20749080.459770113</v>
      </c>
      <c r="Q317" s="12">
        <f t="shared" si="56"/>
        <v>1131000</v>
      </c>
      <c r="R317" s="13">
        <f t="shared" si="57"/>
        <v>5.4508439648343371E-2</v>
      </c>
    </row>
    <row r="318" spans="1:18" x14ac:dyDescent="0.3">
      <c r="A318" s="1">
        <v>13600001</v>
      </c>
      <c r="B318" s="1">
        <v>13650000</v>
      </c>
      <c r="C318" s="9">
        <v>15900</v>
      </c>
      <c r="E318" s="3">
        <f t="shared" si="58"/>
        <v>1774500</v>
      </c>
      <c r="F318" s="3">
        <f t="shared" si="59"/>
        <v>1542450</v>
      </c>
      <c r="G318" s="2">
        <f t="shared" si="48"/>
        <v>8.0952380952380956E-2</v>
      </c>
      <c r="H318" s="8">
        <f t="shared" si="49"/>
        <v>30000</v>
      </c>
      <c r="I318" s="8">
        <f t="shared" si="50"/>
        <v>1135000</v>
      </c>
      <c r="L318" s="8">
        <f t="shared" si="51"/>
        <v>18117850</v>
      </c>
      <c r="M318" s="8">
        <f t="shared" si="52"/>
        <v>19274308.5106383</v>
      </c>
      <c r="N318" s="12">
        <f t="shared" si="53"/>
        <v>1135000</v>
      </c>
      <c r="O318" s="13">
        <f t="shared" si="54"/>
        <v>5.8886678055067233E-2</v>
      </c>
      <c r="P318" s="8">
        <f t="shared" si="55"/>
        <v>20825114.942528736</v>
      </c>
      <c r="Q318" s="12">
        <f t="shared" si="56"/>
        <v>1135000</v>
      </c>
      <c r="R318" s="13">
        <f t="shared" si="57"/>
        <v>5.450149990203032E-2</v>
      </c>
    </row>
    <row r="319" spans="1:18" x14ac:dyDescent="0.3">
      <c r="A319" s="1">
        <v>13650001</v>
      </c>
      <c r="B319" s="1">
        <v>13700000</v>
      </c>
      <c r="C319" s="9">
        <v>15900</v>
      </c>
      <c r="E319" s="3">
        <f t="shared" si="58"/>
        <v>1781000</v>
      </c>
      <c r="F319" s="3">
        <f t="shared" si="59"/>
        <v>1548100</v>
      </c>
      <c r="G319" s="2">
        <f t="shared" si="48"/>
        <v>8.0948905109489058E-2</v>
      </c>
      <c r="H319" s="8">
        <f t="shared" si="49"/>
        <v>30000</v>
      </c>
      <c r="I319" s="8">
        <f t="shared" si="50"/>
        <v>1139000</v>
      </c>
      <c r="L319" s="8">
        <f t="shared" si="51"/>
        <v>18184000</v>
      </c>
      <c r="M319" s="8">
        <f t="shared" si="52"/>
        <v>19344680.851063833</v>
      </c>
      <c r="N319" s="12">
        <f t="shared" si="53"/>
        <v>1139000</v>
      </c>
      <c r="O319" s="13">
        <f t="shared" si="54"/>
        <v>5.8879234491860971E-2</v>
      </c>
      <c r="P319" s="8">
        <f t="shared" si="55"/>
        <v>20901149.425287355</v>
      </c>
      <c r="Q319" s="12">
        <f t="shared" si="56"/>
        <v>1139000</v>
      </c>
      <c r="R319" s="13">
        <f t="shared" si="57"/>
        <v>5.4494610646722397E-2</v>
      </c>
    </row>
    <row r="320" spans="1:18" x14ac:dyDescent="0.3">
      <c r="A320" s="1">
        <v>13700001</v>
      </c>
      <c r="B320" s="1">
        <v>13750000</v>
      </c>
      <c r="C320" s="9">
        <v>15900</v>
      </c>
      <c r="E320" s="3">
        <f t="shared" si="58"/>
        <v>1787500</v>
      </c>
      <c r="F320" s="3">
        <f t="shared" si="59"/>
        <v>1553750</v>
      </c>
      <c r="G320" s="2">
        <f t="shared" si="48"/>
        <v>8.0945454545454543E-2</v>
      </c>
      <c r="H320" s="8">
        <f t="shared" si="49"/>
        <v>30000</v>
      </c>
      <c r="I320" s="8">
        <f t="shared" si="50"/>
        <v>1143000</v>
      </c>
      <c r="L320" s="8">
        <f t="shared" si="51"/>
        <v>18250150</v>
      </c>
      <c r="M320" s="8">
        <f t="shared" si="52"/>
        <v>19415053.191489361</v>
      </c>
      <c r="N320" s="12">
        <f t="shared" si="53"/>
        <v>1143000</v>
      </c>
      <c r="O320" s="13">
        <f t="shared" si="54"/>
        <v>5.8871844888946118E-2</v>
      </c>
      <c r="P320" s="8">
        <f t="shared" si="55"/>
        <v>20977183.908045977</v>
      </c>
      <c r="Q320" s="12">
        <f t="shared" si="56"/>
        <v>1143000</v>
      </c>
      <c r="R320" s="13">
        <f t="shared" si="57"/>
        <v>5.4487771333386302E-2</v>
      </c>
    </row>
    <row r="321" spans="1:18" x14ac:dyDescent="0.3">
      <c r="A321" s="1">
        <v>13750001</v>
      </c>
      <c r="B321" s="1">
        <v>13800000</v>
      </c>
      <c r="C321" s="9">
        <v>15900</v>
      </c>
      <c r="E321" s="3">
        <f t="shared" si="58"/>
        <v>1794000</v>
      </c>
      <c r="F321" s="3">
        <f t="shared" si="59"/>
        <v>1559400</v>
      </c>
      <c r="G321" s="2">
        <f t="shared" si="48"/>
        <v>8.0942028985507244E-2</v>
      </c>
      <c r="H321" s="8">
        <f t="shared" si="49"/>
        <v>30000</v>
      </c>
      <c r="I321" s="8">
        <f t="shared" si="50"/>
        <v>1147000</v>
      </c>
      <c r="L321" s="8">
        <f t="shared" si="51"/>
        <v>18316300</v>
      </c>
      <c r="M321" s="8">
        <f t="shared" si="52"/>
        <v>19485425.531914894</v>
      </c>
      <c r="N321" s="12">
        <f t="shared" si="53"/>
        <v>1147000</v>
      </c>
      <c r="O321" s="13">
        <f t="shared" si="54"/>
        <v>5.8864508661683856E-2</v>
      </c>
      <c r="P321" s="8">
        <f t="shared" si="55"/>
        <v>21053218.390804596</v>
      </c>
      <c r="Q321" s="12">
        <f t="shared" si="56"/>
        <v>1147000</v>
      </c>
      <c r="R321" s="13">
        <f t="shared" si="57"/>
        <v>5.4480981420920165E-2</v>
      </c>
    </row>
    <row r="322" spans="1:18" x14ac:dyDescent="0.3">
      <c r="A322" s="1">
        <v>13800001</v>
      </c>
      <c r="B322" s="1">
        <v>13850000</v>
      </c>
      <c r="C322" s="9">
        <v>15900</v>
      </c>
      <c r="E322" s="3">
        <f t="shared" si="58"/>
        <v>1800500</v>
      </c>
      <c r="F322" s="3">
        <f t="shared" si="59"/>
        <v>1565050</v>
      </c>
      <c r="G322" s="2">
        <f t="shared" si="48"/>
        <v>8.0938628158844769E-2</v>
      </c>
      <c r="H322" s="8">
        <f t="shared" si="49"/>
        <v>30000</v>
      </c>
      <c r="I322" s="8">
        <f t="shared" si="50"/>
        <v>1151000</v>
      </c>
      <c r="L322" s="8">
        <f t="shared" si="51"/>
        <v>18382450</v>
      </c>
      <c r="M322" s="8">
        <f t="shared" si="52"/>
        <v>19555797.872340426</v>
      </c>
      <c r="N322" s="12">
        <f t="shared" si="53"/>
        <v>1151000</v>
      </c>
      <c r="O322" s="13">
        <f t="shared" si="54"/>
        <v>5.8857225233850764E-2</v>
      </c>
      <c r="P322" s="8">
        <f t="shared" si="55"/>
        <v>21129252.873563219</v>
      </c>
      <c r="Q322" s="12">
        <f t="shared" si="56"/>
        <v>1151000</v>
      </c>
      <c r="R322" s="13">
        <f t="shared" si="57"/>
        <v>5.4474240376010813E-2</v>
      </c>
    </row>
    <row r="323" spans="1:18" x14ac:dyDescent="0.3">
      <c r="A323" s="1">
        <v>13850001</v>
      </c>
      <c r="B323" s="1">
        <v>13900000</v>
      </c>
      <c r="C323" s="9">
        <v>15900</v>
      </c>
      <c r="E323" s="3">
        <f t="shared" si="58"/>
        <v>1807000</v>
      </c>
      <c r="F323" s="3">
        <f t="shared" si="59"/>
        <v>1570700</v>
      </c>
      <c r="G323" s="2">
        <f t="shared" ref="G323:G386" si="60">MIN($K$2,MAX($K$3,$K$4/B323+$K$3))</f>
        <v>8.0935251798561147E-2</v>
      </c>
      <c r="H323" s="8">
        <f t="shared" ref="H323:H386" si="61">MIN($K$11,$K$9+$K$10*(B323-$B$2))</f>
        <v>30000</v>
      </c>
      <c r="I323" s="8">
        <f t="shared" ref="I323:I386" si="62">B323*G323+H323</f>
        <v>1155000</v>
      </c>
      <c r="L323" s="8">
        <f t="shared" ref="L323:L386" si="63">B323+C323+E323+F323+I323</f>
        <v>18448600</v>
      </c>
      <c r="M323" s="8">
        <f t="shared" ref="M323:M386" si="64">L323/(1-$K$14)</f>
        <v>19626170.212765958</v>
      </c>
      <c r="N323" s="12">
        <f t="shared" ref="N323:N386" si="65">M323*(1-$K$14)-B323-C323-E323-F323</f>
        <v>1155000</v>
      </c>
      <c r="O323" s="13">
        <f t="shared" ref="O323:O386" si="66">N323/M323</f>
        <v>5.8849994037487939E-2</v>
      </c>
      <c r="P323" s="8">
        <f t="shared" ref="P323:P386" si="67">L323/(1-$K$15)</f>
        <v>21205287.356321838</v>
      </c>
      <c r="Q323" s="12">
        <f t="shared" ref="Q323:Q386" si="68">P323*(1-$K$15)-B323-C323-E323-F323</f>
        <v>1155000</v>
      </c>
      <c r="R323" s="13">
        <f t="shared" ref="R323:R386" si="69">Q323/P323</f>
        <v>5.4467547672994159E-2</v>
      </c>
    </row>
    <row r="324" spans="1:18" x14ac:dyDescent="0.3">
      <c r="A324" s="1">
        <v>13900001</v>
      </c>
      <c r="B324" s="1">
        <v>13950000</v>
      </c>
      <c r="C324" s="9">
        <v>15900</v>
      </c>
      <c r="E324" s="3">
        <f t="shared" si="58"/>
        <v>1813500</v>
      </c>
      <c r="F324" s="3">
        <f t="shared" si="59"/>
        <v>1576350</v>
      </c>
      <c r="G324" s="2">
        <f t="shared" si="60"/>
        <v>8.0931899641577057E-2</v>
      </c>
      <c r="H324" s="8">
        <f t="shared" si="61"/>
        <v>30000</v>
      </c>
      <c r="I324" s="8">
        <f t="shared" si="62"/>
        <v>1159000</v>
      </c>
      <c r="L324" s="8">
        <f t="shared" si="63"/>
        <v>18514750</v>
      </c>
      <c r="M324" s="8">
        <f t="shared" si="64"/>
        <v>19696542.55319149</v>
      </c>
      <c r="N324" s="12">
        <f t="shared" si="65"/>
        <v>1159000</v>
      </c>
      <c r="O324" s="13">
        <f t="shared" si="66"/>
        <v>5.884281451275334E-2</v>
      </c>
      <c r="P324" s="8">
        <f t="shared" si="67"/>
        <v>21281321.83908046</v>
      </c>
      <c r="Q324" s="12">
        <f t="shared" si="68"/>
        <v>1159000</v>
      </c>
      <c r="R324" s="13">
        <f t="shared" si="69"/>
        <v>5.446090279371852E-2</v>
      </c>
    </row>
    <row r="325" spans="1:18" x14ac:dyDescent="0.3">
      <c r="A325" s="1">
        <v>13950001</v>
      </c>
      <c r="B325" s="1">
        <v>14000000</v>
      </c>
      <c r="C325" s="9">
        <v>15900</v>
      </c>
      <c r="E325" s="3">
        <f t="shared" si="58"/>
        <v>1820000</v>
      </c>
      <c r="F325" s="3">
        <f t="shared" si="59"/>
        <v>1582000</v>
      </c>
      <c r="G325" s="2">
        <f t="shared" si="60"/>
        <v>8.0928571428571433E-2</v>
      </c>
      <c r="H325" s="8">
        <f t="shared" si="61"/>
        <v>30000</v>
      </c>
      <c r="I325" s="8">
        <f t="shared" si="62"/>
        <v>1163000</v>
      </c>
      <c r="L325" s="8">
        <f t="shared" si="63"/>
        <v>18580900</v>
      </c>
      <c r="M325" s="8">
        <f t="shared" si="64"/>
        <v>19766914.893617023</v>
      </c>
      <c r="N325" s="12">
        <f t="shared" si="65"/>
        <v>1163000</v>
      </c>
      <c r="O325" s="13">
        <f t="shared" si="66"/>
        <v>5.8835686107777334E-2</v>
      </c>
      <c r="P325" s="8">
        <f t="shared" si="67"/>
        <v>21357356.321839079</v>
      </c>
      <c r="Q325" s="12">
        <f t="shared" si="68"/>
        <v>1163000</v>
      </c>
      <c r="R325" s="13">
        <f t="shared" si="69"/>
        <v>5.4454305227410946E-2</v>
      </c>
    </row>
    <row r="326" spans="1:18" x14ac:dyDescent="0.3">
      <c r="A326" s="1">
        <v>14000001</v>
      </c>
      <c r="B326" s="1">
        <v>14050000</v>
      </c>
      <c r="C326" s="9">
        <v>15900</v>
      </c>
      <c r="E326" s="3">
        <f t="shared" si="58"/>
        <v>1826500</v>
      </c>
      <c r="F326" s="3">
        <f t="shared" si="59"/>
        <v>1587650</v>
      </c>
      <c r="G326" s="2">
        <f t="shared" si="60"/>
        <v>8.0925266903914592E-2</v>
      </c>
      <c r="H326" s="8">
        <f t="shared" si="61"/>
        <v>30000</v>
      </c>
      <c r="I326" s="8">
        <f t="shared" si="62"/>
        <v>1167000</v>
      </c>
      <c r="L326" s="8">
        <f t="shared" si="63"/>
        <v>18647050</v>
      </c>
      <c r="M326" s="8">
        <f t="shared" si="64"/>
        <v>19837287.234042555</v>
      </c>
      <c r="N326" s="12">
        <f t="shared" si="65"/>
        <v>1167000</v>
      </c>
      <c r="O326" s="13">
        <f t="shared" si="66"/>
        <v>5.8828608278521259E-2</v>
      </c>
      <c r="P326" s="8">
        <f t="shared" si="67"/>
        <v>21433390.804597702</v>
      </c>
      <c r="Q326" s="12">
        <f t="shared" si="68"/>
        <v>1167000</v>
      </c>
      <c r="R326" s="13">
        <f t="shared" si="69"/>
        <v>5.4447754470546277E-2</v>
      </c>
    </row>
    <row r="327" spans="1:18" x14ac:dyDescent="0.3">
      <c r="A327" s="1">
        <v>14050001</v>
      </c>
      <c r="B327" s="1">
        <v>14100000</v>
      </c>
      <c r="C327" s="9">
        <v>15900</v>
      </c>
      <c r="E327" s="3">
        <f t="shared" si="58"/>
        <v>1833000</v>
      </c>
      <c r="F327" s="3">
        <f t="shared" si="59"/>
        <v>1593300</v>
      </c>
      <c r="G327" s="2">
        <f t="shared" si="60"/>
        <v>8.0921985815602837E-2</v>
      </c>
      <c r="H327" s="8">
        <f t="shared" si="61"/>
        <v>30000</v>
      </c>
      <c r="I327" s="8">
        <f t="shared" si="62"/>
        <v>1171000</v>
      </c>
      <c r="L327" s="8">
        <f t="shared" si="63"/>
        <v>18713200</v>
      </c>
      <c r="M327" s="8">
        <f t="shared" si="64"/>
        <v>19907659.574468087</v>
      </c>
      <c r="N327" s="12">
        <f t="shared" si="65"/>
        <v>1171000</v>
      </c>
      <c r="O327" s="13">
        <f t="shared" si="66"/>
        <v>5.882158048863903E-2</v>
      </c>
      <c r="P327" s="8">
        <f t="shared" si="67"/>
        <v>21509425.287356321</v>
      </c>
      <c r="Q327" s="12">
        <f t="shared" si="68"/>
        <v>1171000</v>
      </c>
      <c r="R327" s="13">
        <f t="shared" si="69"/>
        <v>5.444125002671911E-2</v>
      </c>
    </row>
    <row r="328" spans="1:18" x14ac:dyDescent="0.3">
      <c r="A328" s="1">
        <v>14100001</v>
      </c>
      <c r="B328" s="1">
        <v>14150000</v>
      </c>
      <c r="C328" s="9">
        <v>15900</v>
      </c>
      <c r="E328" s="3">
        <f t="shared" si="58"/>
        <v>1839500</v>
      </c>
      <c r="F328" s="3">
        <f t="shared" si="59"/>
        <v>1598950</v>
      </c>
      <c r="G328" s="2">
        <f t="shared" si="60"/>
        <v>8.0918727915194347E-2</v>
      </c>
      <c r="H328" s="8">
        <f t="shared" si="61"/>
        <v>30000</v>
      </c>
      <c r="I328" s="8">
        <f t="shared" si="62"/>
        <v>1175000</v>
      </c>
      <c r="L328" s="8">
        <f t="shared" si="63"/>
        <v>18779350</v>
      </c>
      <c r="M328" s="8">
        <f t="shared" si="64"/>
        <v>19978031.91489362</v>
      </c>
      <c r="N328" s="12">
        <f t="shared" si="65"/>
        <v>1175000</v>
      </c>
      <c r="O328" s="13">
        <f t="shared" si="66"/>
        <v>5.8814602209341635E-2</v>
      </c>
      <c r="P328" s="8">
        <f t="shared" si="67"/>
        <v>21585459.770114943</v>
      </c>
      <c r="Q328" s="12">
        <f t="shared" si="68"/>
        <v>1175000</v>
      </c>
      <c r="R328" s="13">
        <f t="shared" si="69"/>
        <v>5.4434791406518329E-2</v>
      </c>
    </row>
    <row r="329" spans="1:18" x14ac:dyDescent="0.3">
      <c r="A329" s="1">
        <v>14150001</v>
      </c>
      <c r="B329" s="1">
        <v>14200000</v>
      </c>
      <c r="C329" s="9">
        <v>15900</v>
      </c>
      <c r="E329" s="3">
        <f t="shared" si="58"/>
        <v>1846000</v>
      </c>
      <c r="F329" s="3">
        <f t="shared" si="59"/>
        <v>1604600</v>
      </c>
      <c r="G329" s="2">
        <f t="shared" si="60"/>
        <v>8.0915492957746485E-2</v>
      </c>
      <c r="H329" s="8">
        <f t="shared" si="61"/>
        <v>30000</v>
      </c>
      <c r="I329" s="8">
        <f t="shared" si="62"/>
        <v>1179000</v>
      </c>
      <c r="L329" s="8">
        <f t="shared" si="63"/>
        <v>18845500</v>
      </c>
      <c r="M329" s="8">
        <f t="shared" si="64"/>
        <v>20048404.255319148</v>
      </c>
      <c r="N329" s="12">
        <f t="shared" si="65"/>
        <v>1179000</v>
      </c>
      <c r="O329" s="13">
        <f t="shared" si="66"/>
        <v>5.8807672919264545E-2</v>
      </c>
      <c r="P329" s="8">
        <f t="shared" si="67"/>
        <v>21661494.252873562</v>
      </c>
      <c r="Q329" s="12">
        <f t="shared" si="68"/>
        <v>1179000</v>
      </c>
      <c r="R329" s="13">
        <f t="shared" si="69"/>
        <v>5.442837812740442E-2</v>
      </c>
    </row>
    <row r="330" spans="1:18" x14ac:dyDescent="0.3">
      <c r="A330" s="1">
        <v>14200001</v>
      </c>
      <c r="B330" s="1">
        <v>14250000</v>
      </c>
      <c r="C330" s="9">
        <v>15900</v>
      </c>
      <c r="E330" s="3">
        <f t="shared" si="58"/>
        <v>1852500</v>
      </c>
      <c r="F330" s="3">
        <f t="shared" si="59"/>
        <v>1610250</v>
      </c>
      <c r="G330" s="2">
        <f t="shared" si="60"/>
        <v>8.0912280701754394E-2</v>
      </c>
      <c r="H330" s="8">
        <f t="shared" si="61"/>
        <v>30000</v>
      </c>
      <c r="I330" s="8">
        <f t="shared" si="62"/>
        <v>1183000</v>
      </c>
      <c r="L330" s="8">
        <f t="shared" si="63"/>
        <v>18911650</v>
      </c>
      <c r="M330" s="8">
        <f t="shared" si="64"/>
        <v>20118776.595744681</v>
      </c>
      <c r="N330" s="12">
        <f t="shared" si="65"/>
        <v>1183000</v>
      </c>
      <c r="O330" s="13">
        <f t="shared" si="66"/>
        <v>5.88007921043378E-2</v>
      </c>
      <c r="P330" s="8">
        <f t="shared" si="67"/>
        <v>21737528.735632185</v>
      </c>
      <c r="Q330" s="12">
        <f t="shared" si="68"/>
        <v>1183000</v>
      </c>
      <c r="R330" s="13">
        <f t="shared" si="69"/>
        <v>5.4422009713589244E-2</v>
      </c>
    </row>
    <row r="331" spans="1:18" x14ac:dyDescent="0.3">
      <c r="A331" s="1">
        <v>14250001</v>
      </c>
      <c r="B331" s="1">
        <v>14300000</v>
      </c>
      <c r="C331" s="9">
        <v>15900</v>
      </c>
      <c r="E331" s="3">
        <f t="shared" si="58"/>
        <v>1859000</v>
      </c>
      <c r="F331" s="3">
        <f t="shared" si="59"/>
        <v>1615900</v>
      </c>
      <c r="G331" s="2">
        <f t="shared" si="60"/>
        <v>8.0909090909090917E-2</v>
      </c>
      <c r="H331" s="8">
        <f t="shared" si="61"/>
        <v>30000</v>
      </c>
      <c r="I331" s="8">
        <f t="shared" si="62"/>
        <v>1187000</v>
      </c>
      <c r="L331" s="8">
        <f t="shared" si="63"/>
        <v>18977800</v>
      </c>
      <c r="M331" s="8">
        <f t="shared" si="64"/>
        <v>20189148.936170213</v>
      </c>
      <c r="N331" s="12">
        <f t="shared" si="65"/>
        <v>1187000</v>
      </c>
      <c r="O331" s="13">
        <f t="shared" si="66"/>
        <v>5.879395925765895E-2</v>
      </c>
      <c r="P331" s="8">
        <f t="shared" si="67"/>
        <v>21813563.218390804</v>
      </c>
      <c r="Q331" s="12">
        <f t="shared" si="68"/>
        <v>1187000</v>
      </c>
      <c r="R331" s="13">
        <f t="shared" si="69"/>
        <v>5.4415685695918391E-2</v>
      </c>
    </row>
    <row r="332" spans="1:18" x14ac:dyDescent="0.3">
      <c r="A332" s="1">
        <v>14300001</v>
      </c>
      <c r="B332" s="1">
        <v>14350000</v>
      </c>
      <c r="C332" s="9">
        <v>15900</v>
      </c>
      <c r="E332" s="3">
        <f t="shared" si="58"/>
        <v>1865500</v>
      </c>
      <c r="F332" s="3">
        <f t="shared" si="59"/>
        <v>1621550</v>
      </c>
      <c r="G332" s="2">
        <f t="shared" si="60"/>
        <v>8.0905923344947742E-2</v>
      </c>
      <c r="H332" s="8">
        <f t="shared" si="61"/>
        <v>30000</v>
      </c>
      <c r="I332" s="8">
        <f t="shared" si="62"/>
        <v>1191000</v>
      </c>
      <c r="L332" s="8">
        <f t="shared" si="63"/>
        <v>19043950</v>
      </c>
      <c r="M332" s="8">
        <f t="shared" si="64"/>
        <v>20259521.276595745</v>
      </c>
      <c r="N332" s="12">
        <f t="shared" si="65"/>
        <v>1191000</v>
      </c>
      <c r="O332" s="13">
        <f t="shared" si="66"/>
        <v>5.8787173879368514E-2</v>
      </c>
      <c r="P332" s="8">
        <f t="shared" si="67"/>
        <v>21889597.701149426</v>
      </c>
      <c r="Q332" s="12">
        <f t="shared" si="68"/>
        <v>1191000</v>
      </c>
      <c r="R332" s="13">
        <f t="shared" si="69"/>
        <v>5.4409405611755959E-2</v>
      </c>
    </row>
    <row r="333" spans="1:18" x14ac:dyDescent="0.3">
      <c r="A333" s="1">
        <v>14350001</v>
      </c>
      <c r="B333" s="1">
        <v>14400000</v>
      </c>
      <c r="C333" s="9">
        <v>15900</v>
      </c>
      <c r="E333" s="3">
        <f t="shared" si="58"/>
        <v>1872000</v>
      </c>
      <c r="F333" s="3">
        <f t="shared" si="59"/>
        <v>1627200</v>
      </c>
      <c r="G333" s="2">
        <f t="shared" si="60"/>
        <v>8.0902777777777782E-2</v>
      </c>
      <c r="H333" s="8">
        <f t="shared" si="61"/>
        <v>30000</v>
      </c>
      <c r="I333" s="8">
        <f t="shared" si="62"/>
        <v>1195000</v>
      </c>
      <c r="L333" s="8">
        <f t="shared" si="63"/>
        <v>19110100</v>
      </c>
      <c r="M333" s="8">
        <f t="shared" si="64"/>
        <v>20329893.617021278</v>
      </c>
      <c r="N333" s="12">
        <f t="shared" si="65"/>
        <v>1195000</v>
      </c>
      <c r="O333" s="13">
        <f t="shared" si="66"/>
        <v>5.8780435476528115E-2</v>
      </c>
      <c r="P333" s="8">
        <f t="shared" si="67"/>
        <v>21965632.183908045</v>
      </c>
      <c r="Q333" s="12">
        <f t="shared" si="68"/>
        <v>1195000</v>
      </c>
      <c r="R333" s="13">
        <f t="shared" si="69"/>
        <v>5.4403169004871771E-2</v>
      </c>
    </row>
    <row r="334" spans="1:18" x14ac:dyDescent="0.3">
      <c r="A334" s="1">
        <v>14400001</v>
      </c>
      <c r="B334" s="1">
        <v>14450000</v>
      </c>
      <c r="C334" s="9">
        <v>15900</v>
      </c>
      <c r="E334" s="3">
        <f t="shared" si="58"/>
        <v>1878500</v>
      </c>
      <c r="F334" s="3">
        <f t="shared" si="59"/>
        <v>1632850</v>
      </c>
      <c r="G334" s="2">
        <f t="shared" si="60"/>
        <v>8.0899653979238761E-2</v>
      </c>
      <c r="H334" s="8">
        <f t="shared" si="61"/>
        <v>30000</v>
      </c>
      <c r="I334" s="8">
        <f t="shared" si="62"/>
        <v>1199000</v>
      </c>
      <c r="L334" s="8">
        <f t="shared" si="63"/>
        <v>19176250</v>
      </c>
      <c r="M334" s="8">
        <f t="shared" si="64"/>
        <v>20400265.95744681</v>
      </c>
      <c r="N334" s="12">
        <f t="shared" si="65"/>
        <v>1199000</v>
      </c>
      <c r="O334" s="13">
        <f t="shared" si="66"/>
        <v>5.8773743563001107E-2</v>
      </c>
      <c r="P334" s="8">
        <f t="shared" si="67"/>
        <v>22041666.666666668</v>
      </c>
      <c r="Q334" s="12">
        <f t="shared" si="68"/>
        <v>1199000</v>
      </c>
      <c r="R334" s="13">
        <f t="shared" si="69"/>
        <v>5.4396975425330812E-2</v>
      </c>
    </row>
    <row r="335" spans="1:18" x14ac:dyDescent="0.3">
      <c r="A335" s="1">
        <v>14450001</v>
      </c>
      <c r="B335" s="1">
        <v>14500000</v>
      </c>
      <c r="C335" s="9">
        <v>15900</v>
      </c>
      <c r="E335" s="3">
        <f t="shared" si="58"/>
        <v>1885000</v>
      </c>
      <c r="F335" s="3">
        <f t="shared" si="59"/>
        <v>1638500</v>
      </c>
      <c r="G335" s="2">
        <f t="shared" si="60"/>
        <v>8.0896551724137927E-2</v>
      </c>
      <c r="H335" s="8">
        <f t="shared" si="61"/>
        <v>30000</v>
      </c>
      <c r="I335" s="8">
        <f t="shared" si="62"/>
        <v>1203000</v>
      </c>
      <c r="L335" s="8">
        <f t="shared" si="63"/>
        <v>19242400</v>
      </c>
      <c r="M335" s="8">
        <f t="shared" si="64"/>
        <v>20470638.297872342</v>
      </c>
      <c r="N335" s="12">
        <f t="shared" si="65"/>
        <v>1203000</v>
      </c>
      <c r="O335" s="13">
        <f t="shared" si="66"/>
        <v>5.8767097659335632E-2</v>
      </c>
      <c r="P335" s="8">
        <f t="shared" si="67"/>
        <v>22117701.149425287</v>
      </c>
      <c r="Q335" s="12">
        <f t="shared" si="68"/>
        <v>1203000</v>
      </c>
      <c r="R335" s="13">
        <f t="shared" si="69"/>
        <v>5.4390824429385108E-2</v>
      </c>
    </row>
    <row r="336" spans="1:18" x14ac:dyDescent="0.3">
      <c r="A336" s="1">
        <v>14500001</v>
      </c>
      <c r="B336" s="1">
        <v>14550000</v>
      </c>
      <c r="C336" s="9">
        <v>15900</v>
      </c>
      <c r="E336" s="3">
        <f t="shared" si="58"/>
        <v>1891500</v>
      </c>
      <c r="F336" s="3">
        <f t="shared" si="59"/>
        <v>1644150</v>
      </c>
      <c r="G336" s="2">
        <f t="shared" si="60"/>
        <v>8.0893470790378008E-2</v>
      </c>
      <c r="H336" s="8">
        <f t="shared" si="61"/>
        <v>30000</v>
      </c>
      <c r="I336" s="8">
        <f t="shared" si="62"/>
        <v>1207000</v>
      </c>
      <c r="L336" s="8">
        <f t="shared" si="63"/>
        <v>19308550</v>
      </c>
      <c r="M336" s="8">
        <f t="shared" si="64"/>
        <v>20541010.638297874</v>
      </c>
      <c r="N336" s="12">
        <f t="shared" si="65"/>
        <v>1207000</v>
      </c>
      <c r="O336" s="13">
        <f t="shared" si="66"/>
        <v>5.8760497292650142E-2</v>
      </c>
      <c r="P336" s="8">
        <f t="shared" si="67"/>
        <v>22193735.632183909</v>
      </c>
      <c r="Q336" s="12">
        <f t="shared" si="68"/>
        <v>1207000</v>
      </c>
      <c r="R336" s="13">
        <f t="shared" si="69"/>
        <v>5.4384715579367686E-2</v>
      </c>
    </row>
    <row r="337" spans="1:18" x14ac:dyDescent="0.3">
      <c r="A337" s="1">
        <v>14550001</v>
      </c>
      <c r="B337" s="1">
        <v>14600000</v>
      </c>
      <c r="C337" s="9">
        <v>15900</v>
      </c>
      <c r="E337" s="3">
        <f t="shared" si="58"/>
        <v>1898000</v>
      </c>
      <c r="F337" s="3">
        <f t="shared" si="59"/>
        <v>1649800</v>
      </c>
      <c r="G337" s="2">
        <f t="shared" si="60"/>
        <v>8.0890410958904105E-2</v>
      </c>
      <c r="H337" s="8">
        <f t="shared" si="61"/>
        <v>30000</v>
      </c>
      <c r="I337" s="8">
        <f t="shared" si="62"/>
        <v>1211000</v>
      </c>
      <c r="L337" s="8">
        <f t="shared" si="63"/>
        <v>19374700</v>
      </c>
      <c r="M337" s="8">
        <f t="shared" si="64"/>
        <v>20611382.978723407</v>
      </c>
      <c r="N337" s="12">
        <f t="shared" si="65"/>
        <v>1211000</v>
      </c>
      <c r="O337" s="13">
        <f t="shared" si="66"/>
        <v>5.8753941996521231E-2</v>
      </c>
      <c r="P337" s="8">
        <f t="shared" si="67"/>
        <v>22269770.114942528</v>
      </c>
      <c r="Q337" s="12">
        <f t="shared" si="68"/>
        <v>1211000</v>
      </c>
      <c r="R337" s="13">
        <f t="shared" si="69"/>
        <v>5.4378648443588806E-2</v>
      </c>
    </row>
    <row r="338" spans="1:18" x14ac:dyDescent="0.3">
      <c r="A338" s="1">
        <v>14600001</v>
      </c>
      <c r="B338" s="1">
        <v>14650000</v>
      </c>
      <c r="C338" s="9">
        <v>15900</v>
      </c>
      <c r="E338" s="3">
        <f t="shared" si="58"/>
        <v>1904500</v>
      </c>
      <c r="F338" s="3">
        <f t="shared" si="59"/>
        <v>1655450</v>
      </c>
      <c r="G338" s="2">
        <f t="shared" si="60"/>
        <v>8.0887372013651884E-2</v>
      </c>
      <c r="H338" s="8">
        <f t="shared" si="61"/>
        <v>30000</v>
      </c>
      <c r="I338" s="8">
        <f t="shared" si="62"/>
        <v>1215000</v>
      </c>
      <c r="L338" s="8">
        <f t="shared" si="63"/>
        <v>19440850</v>
      </c>
      <c r="M338" s="8">
        <f t="shared" si="64"/>
        <v>20681755.319148939</v>
      </c>
      <c r="N338" s="12">
        <f t="shared" si="65"/>
        <v>1215000</v>
      </c>
      <c r="O338" s="13">
        <f t="shared" si="66"/>
        <v>5.8747431310873746E-2</v>
      </c>
      <c r="P338" s="8">
        <f t="shared" si="67"/>
        <v>22345804.597701151</v>
      </c>
      <c r="Q338" s="12">
        <f t="shared" si="68"/>
        <v>1215000</v>
      </c>
      <c r="R338" s="13">
        <f t="shared" si="69"/>
        <v>5.4372622596234217E-2</v>
      </c>
    </row>
    <row r="339" spans="1:18" x14ac:dyDescent="0.3">
      <c r="A339" s="1">
        <v>14650001</v>
      </c>
      <c r="B339" s="1">
        <v>14700000</v>
      </c>
      <c r="C339" s="9">
        <v>15900</v>
      </c>
      <c r="E339" s="3">
        <f t="shared" si="58"/>
        <v>1911000</v>
      </c>
      <c r="F339" s="3">
        <f t="shared" si="59"/>
        <v>1661100</v>
      </c>
      <c r="G339" s="2">
        <f t="shared" si="60"/>
        <v>8.0884353741496606E-2</v>
      </c>
      <c r="H339" s="8">
        <f t="shared" si="61"/>
        <v>30000</v>
      </c>
      <c r="I339" s="8">
        <f t="shared" si="62"/>
        <v>1219000</v>
      </c>
      <c r="L339" s="8">
        <f t="shared" si="63"/>
        <v>19507000</v>
      </c>
      <c r="M339" s="8">
        <f t="shared" si="64"/>
        <v>20752127.659574468</v>
      </c>
      <c r="N339" s="12">
        <f t="shared" si="65"/>
        <v>1219000</v>
      </c>
      <c r="O339" s="13">
        <f t="shared" si="66"/>
        <v>5.8740964781873177E-2</v>
      </c>
      <c r="P339" s="8">
        <f t="shared" si="67"/>
        <v>22421839.08045977</v>
      </c>
      <c r="Q339" s="12">
        <f t="shared" si="68"/>
        <v>1219000</v>
      </c>
      <c r="R339" s="13">
        <f t="shared" si="69"/>
        <v>5.4366637617265595E-2</v>
      </c>
    </row>
    <row r="340" spans="1:18" x14ac:dyDescent="0.3">
      <c r="A340" s="1">
        <v>14700001</v>
      </c>
      <c r="B340" s="1">
        <v>14750000</v>
      </c>
      <c r="C340" s="9">
        <v>15900</v>
      </c>
      <c r="E340" s="3">
        <f t="shared" si="58"/>
        <v>1917500</v>
      </c>
      <c r="F340" s="3">
        <f t="shared" si="59"/>
        <v>1666750</v>
      </c>
      <c r="G340" s="2">
        <f t="shared" si="60"/>
        <v>8.0881355932203386E-2</v>
      </c>
      <c r="H340" s="8">
        <f t="shared" si="61"/>
        <v>30000</v>
      </c>
      <c r="I340" s="8">
        <f t="shared" si="62"/>
        <v>1223000</v>
      </c>
      <c r="L340" s="8">
        <f t="shared" si="63"/>
        <v>19573150</v>
      </c>
      <c r="M340" s="8">
        <f t="shared" si="64"/>
        <v>20822500</v>
      </c>
      <c r="N340" s="12">
        <f t="shared" si="65"/>
        <v>1223000</v>
      </c>
      <c r="O340" s="13">
        <f t="shared" si="66"/>
        <v>5.8734541961820146E-2</v>
      </c>
      <c r="P340" s="8">
        <f t="shared" si="67"/>
        <v>22497873.563218392</v>
      </c>
      <c r="Q340" s="12">
        <f t="shared" si="68"/>
        <v>1223000</v>
      </c>
      <c r="R340" s="13">
        <f t="shared" si="69"/>
        <v>5.4360693092322901E-2</v>
      </c>
    </row>
    <row r="341" spans="1:18" x14ac:dyDescent="0.3">
      <c r="A341" s="1">
        <v>14750001</v>
      </c>
      <c r="B341" s="1">
        <v>14800000</v>
      </c>
      <c r="C341" s="9">
        <v>15900</v>
      </c>
      <c r="E341" s="3">
        <f t="shared" si="58"/>
        <v>1924000</v>
      </c>
      <c r="F341" s="3">
        <f t="shared" si="59"/>
        <v>1672400</v>
      </c>
      <c r="G341" s="2">
        <f t="shared" si="60"/>
        <v>8.0878378378378385E-2</v>
      </c>
      <c r="H341" s="8">
        <f t="shared" si="61"/>
        <v>30000</v>
      </c>
      <c r="I341" s="8">
        <f t="shared" si="62"/>
        <v>1227000</v>
      </c>
      <c r="L341" s="8">
        <f t="shared" si="63"/>
        <v>19639300</v>
      </c>
      <c r="M341" s="8">
        <f t="shared" si="64"/>
        <v>20892872.340425532</v>
      </c>
      <c r="N341" s="12">
        <f t="shared" si="65"/>
        <v>1227000</v>
      </c>
      <c r="O341" s="13">
        <f t="shared" si="66"/>
        <v>5.8728162409047165E-2</v>
      </c>
      <c r="P341" s="8">
        <f t="shared" si="67"/>
        <v>22573908.045977011</v>
      </c>
      <c r="Q341" s="12">
        <f t="shared" si="68"/>
        <v>1227000</v>
      </c>
      <c r="R341" s="13">
        <f t="shared" si="69"/>
        <v>5.4354788612628761E-2</v>
      </c>
    </row>
    <row r="342" spans="1:18" x14ac:dyDescent="0.3">
      <c r="A342" s="1">
        <v>14800001</v>
      </c>
      <c r="B342" s="1">
        <v>14850000</v>
      </c>
      <c r="C342" s="9">
        <v>15900</v>
      </c>
      <c r="E342" s="3">
        <f t="shared" si="58"/>
        <v>1930500</v>
      </c>
      <c r="F342" s="3">
        <f t="shared" si="59"/>
        <v>1678050</v>
      </c>
      <c r="G342" s="2">
        <f t="shared" si="60"/>
        <v>8.0875420875420878E-2</v>
      </c>
      <c r="H342" s="8">
        <f t="shared" si="61"/>
        <v>30000</v>
      </c>
      <c r="I342" s="8">
        <f t="shared" si="62"/>
        <v>1231000</v>
      </c>
      <c r="L342" s="8">
        <f t="shared" si="63"/>
        <v>19705450</v>
      </c>
      <c r="M342" s="8">
        <f t="shared" si="64"/>
        <v>20963244.680851065</v>
      </c>
      <c r="N342" s="12">
        <f t="shared" si="65"/>
        <v>1231000</v>
      </c>
      <c r="O342" s="13">
        <f t="shared" si="66"/>
        <v>5.8721825687817329E-2</v>
      </c>
      <c r="P342" s="8">
        <f t="shared" si="67"/>
        <v>22649942.528735634</v>
      </c>
      <c r="Q342" s="12">
        <f t="shared" si="68"/>
        <v>1231000</v>
      </c>
      <c r="R342" s="13">
        <f t="shared" si="69"/>
        <v>5.434892377489476E-2</v>
      </c>
    </row>
    <row r="343" spans="1:18" x14ac:dyDescent="0.3">
      <c r="A343" s="1">
        <v>14850001</v>
      </c>
      <c r="B343" s="1">
        <v>14900000</v>
      </c>
      <c r="C343" s="9">
        <v>15900</v>
      </c>
      <c r="E343" s="3">
        <f t="shared" si="58"/>
        <v>1937000</v>
      </c>
      <c r="F343" s="3">
        <f t="shared" si="59"/>
        <v>1683700</v>
      </c>
      <c r="G343" s="2">
        <f t="shared" si="60"/>
        <v>8.0872483221476513E-2</v>
      </c>
      <c r="H343" s="8">
        <f t="shared" si="61"/>
        <v>30000</v>
      </c>
      <c r="I343" s="8">
        <f t="shared" si="62"/>
        <v>1235000</v>
      </c>
      <c r="L343" s="8">
        <f t="shared" si="63"/>
        <v>19771600</v>
      </c>
      <c r="M343" s="8">
        <f t="shared" si="64"/>
        <v>21033617.021276597</v>
      </c>
      <c r="N343" s="12">
        <f t="shared" si="65"/>
        <v>1235000</v>
      </c>
      <c r="O343" s="13">
        <f t="shared" si="66"/>
        <v>5.8715531368225125E-2</v>
      </c>
      <c r="P343" s="8">
        <f t="shared" si="67"/>
        <v>22725977.011494253</v>
      </c>
      <c r="Q343" s="12">
        <f t="shared" si="68"/>
        <v>1235000</v>
      </c>
      <c r="R343" s="13">
        <f t="shared" si="69"/>
        <v>5.4343098181229642E-2</v>
      </c>
    </row>
    <row r="344" spans="1:18" x14ac:dyDescent="0.3">
      <c r="A344" s="1">
        <v>14900001</v>
      </c>
      <c r="B344" s="1">
        <v>14950000</v>
      </c>
      <c r="C344" s="9">
        <v>15900</v>
      </c>
      <c r="E344" s="3">
        <f t="shared" si="58"/>
        <v>1943500</v>
      </c>
      <c r="F344" s="3">
        <f t="shared" si="59"/>
        <v>1689350</v>
      </c>
      <c r="G344" s="2">
        <f t="shared" si="60"/>
        <v>8.0869565217391304E-2</v>
      </c>
      <c r="H344" s="8">
        <f t="shared" si="61"/>
        <v>30000</v>
      </c>
      <c r="I344" s="8">
        <f t="shared" si="62"/>
        <v>1239000</v>
      </c>
      <c r="L344" s="8">
        <f t="shared" si="63"/>
        <v>19837750</v>
      </c>
      <c r="M344" s="8">
        <f t="shared" si="64"/>
        <v>21103989.361702129</v>
      </c>
      <c r="N344" s="12">
        <f t="shared" si="65"/>
        <v>1239000</v>
      </c>
      <c r="O344" s="13">
        <f t="shared" si="66"/>
        <v>5.8709279026099223E-2</v>
      </c>
      <c r="P344" s="8">
        <f t="shared" si="67"/>
        <v>22802011.494252875</v>
      </c>
      <c r="Q344" s="12">
        <f t="shared" si="68"/>
        <v>1239000</v>
      </c>
      <c r="R344" s="13">
        <f t="shared" si="69"/>
        <v>5.4337311439049282E-2</v>
      </c>
    </row>
    <row r="345" spans="1:18" x14ac:dyDescent="0.3">
      <c r="A345" s="1">
        <v>14950001</v>
      </c>
      <c r="B345" s="1">
        <v>15000000</v>
      </c>
      <c r="C345" s="9">
        <v>15900</v>
      </c>
      <c r="E345" s="3">
        <f t="shared" si="58"/>
        <v>1950000</v>
      </c>
      <c r="F345" s="3">
        <f t="shared" si="59"/>
        <v>1695000</v>
      </c>
      <c r="G345" s="2">
        <f t="shared" si="60"/>
        <v>8.086666666666667E-2</v>
      </c>
      <c r="H345" s="8">
        <f t="shared" si="61"/>
        <v>30000</v>
      </c>
      <c r="I345" s="8">
        <f t="shared" si="62"/>
        <v>1243000</v>
      </c>
      <c r="L345" s="8">
        <f t="shared" si="63"/>
        <v>19903900</v>
      </c>
      <c r="M345" s="8">
        <f t="shared" si="64"/>
        <v>21174361.702127662</v>
      </c>
      <c r="N345" s="12">
        <f t="shared" si="65"/>
        <v>1243000</v>
      </c>
      <c r="O345" s="13">
        <f t="shared" si="66"/>
        <v>5.8703068242907164E-2</v>
      </c>
      <c r="P345" s="8">
        <f t="shared" si="67"/>
        <v>22878045.977011494</v>
      </c>
      <c r="Q345" s="12">
        <f t="shared" si="68"/>
        <v>1243000</v>
      </c>
      <c r="R345" s="13">
        <f t="shared" si="69"/>
        <v>5.4331563160988548E-2</v>
      </c>
    </row>
    <row r="346" spans="1:18" x14ac:dyDescent="0.3">
      <c r="A346" s="1">
        <v>15000001</v>
      </c>
      <c r="B346" s="1">
        <v>15050000</v>
      </c>
      <c r="C346" s="9">
        <v>15900</v>
      </c>
      <c r="E346" s="3">
        <f t="shared" si="58"/>
        <v>1956500</v>
      </c>
      <c r="F346" s="3">
        <f t="shared" si="59"/>
        <v>1700650</v>
      </c>
      <c r="G346" s="2">
        <f t="shared" si="60"/>
        <v>8.0863787375415289E-2</v>
      </c>
      <c r="H346" s="8">
        <f t="shared" si="61"/>
        <v>30000</v>
      </c>
      <c r="I346" s="8">
        <f t="shared" si="62"/>
        <v>1247000</v>
      </c>
      <c r="L346" s="8">
        <f t="shared" si="63"/>
        <v>19970050</v>
      </c>
      <c r="M346" s="8">
        <f t="shared" si="64"/>
        <v>21244734.042553194</v>
      </c>
      <c r="N346" s="12">
        <f t="shared" si="65"/>
        <v>1247000</v>
      </c>
      <c r="O346" s="13">
        <f t="shared" si="66"/>
        <v>5.8696898605661969E-2</v>
      </c>
      <c r="P346" s="8">
        <f t="shared" si="67"/>
        <v>22954080.459770113</v>
      </c>
      <c r="Q346" s="12">
        <f t="shared" si="68"/>
        <v>1247000</v>
      </c>
      <c r="R346" s="13">
        <f t="shared" si="69"/>
        <v>5.4325852964814812E-2</v>
      </c>
    </row>
    <row r="347" spans="1:18" x14ac:dyDescent="0.3">
      <c r="A347" s="1">
        <v>15050001</v>
      </c>
      <c r="B347" s="1">
        <v>15100000</v>
      </c>
      <c r="C347" s="9">
        <v>15900</v>
      </c>
      <c r="E347" s="3">
        <f t="shared" si="58"/>
        <v>1963000</v>
      </c>
      <c r="F347" s="3">
        <f t="shared" si="59"/>
        <v>1706300</v>
      </c>
      <c r="G347" s="2">
        <f t="shared" si="60"/>
        <v>8.086092715231788E-2</v>
      </c>
      <c r="H347" s="8">
        <f t="shared" si="61"/>
        <v>30000</v>
      </c>
      <c r="I347" s="8">
        <f t="shared" si="62"/>
        <v>1251000</v>
      </c>
      <c r="L347" s="8">
        <f t="shared" si="63"/>
        <v>20036200</v>
      </c>
      <c r="M347" s="8">
        <f t="shared" si="64"/>
        <v>21315106.382978726</v>
      </c>
      <c r="N347" s="12">
        <f t="shared" si="65"/>
        <v>1251000</v>
      </c>
      <c r="O347" s="13">
        <f t="shared" si="66"/>
        <v>5.8690769706830626E-2</v>
      </c>
      <c r="P347" s="8">
        <f t="shared" si="67"/>
        <v>23030114.942528736</v>
      </c>
      <c r="Q347" s="12">
        <f t="shared" si="68"/>
        <v>1251000</v>
      </c>
      <c r="R347" s="13">
        <f t="shared" si="69"/>
        <v>5.4320180473343249E-2</v>
      </c>
    </row>
    <row r="348" spans="1:18" x14ac:dyDescent="0.3">
      <c r="A348" s="1">
        <v>15100001</v>
      </c>
      <c r="B348" s="1">
        <v>15150000</v>
      </c>
      <c r="C348" s="9">
        <v>15900</v>
      </c>
      <c r="E348" s="3">
        <f t="shared" si="58"/>
        <v>1969500</v>
      </c>
      <c r="F348" s="3">
        <f t="shared" si="59"/>
        <v>1711950</v>
      </c>
      <c r="G348" s="2">
        <f t="shared" si="60"/>
        <v>8.0858085808580865E-2</v>
      </c>
      <c r="H348" s="8">
        <f t="shared" si="61"/>
        <v>30000</v>
      </c>
      <c r="I348" s="8">
        <f t="shared" si="62"/>
        <v>1255000</v>
      </c>
      <c r="L348" s="8">
        <f t="shared" si="63"/>
        <v>20102350</v>
      </c>
      <c r="M348" s="8">
        <f t="shared" si="64"/>
        <v>21385478.723404255</v>
      </c>
      <c r="N348" s="12">
        <f t="shared" si="65"/>
        <v>1255000</v>
      </c>
      <c r="O348" s="13">
        <f t="shared" si="66"/>
        <v>5.8684681144244334E-2</v>
      </c>
      <c r="P348" s="8">
        <f t="shared" si="67"/>
        <v>23106149.425287355</v>
      </c>
      <c r="Q348" s="12">
        <f t="shared" si="68"/>
        <v>1255000</v>
      </c>
      <c r="R348" s="13">
        <f t="shared" si="69"/>
        <v>5.4314545314353799E-2</v>
      </c>
    </row>
    <row r="349" spans="1:18" x14ac:dyDescent="0.3">
      <c r="A349" s="1">
        <v>15150001</v>
      </c>
      <c r="B349" s="1">
        <v>15200000</v>
      </c>
      <c r="C349" s="9">
        <v>15900</v>
      </c>
      <c r="E349" s="3">
        <f t="shared" si="58"/>
        <v>1976000</v>
      </c>
      <c r="F349" s="3">
        <f t="shared" si="59"/>
        <v>1717600</v>
      </c>
      <c r="G349" s="2">
        <f t="shared" si="60"/>
        <v>8.0855263157894736E-2</v>
      </c>
      <c r="H349" s="8">
        <f t="shared" si="61"/>
        <v>30000</v>
      </c>
      <c r="I349" s="8">
        <f t="shared" si="62"/>
        <v>1259000</v>
      </c>
      <c r="L349" s="8">
        <f t="shared" si="63"/>
        <v>20168500</v>
      </c>
      <c r="M349" s="8">
        <f t="shared" si="64"/>
        <v>21455851.063829787</v>
      </c>
      <c r="N349" s="12">
        <f t="shared" si="65"/>
        <v>1259000</v>
      </c>
      <c r="O349" s="13">
        <f t="shared" si="66"/>
        <v>5.8678632521010486E-2</v>
      </c>
      <c r="P349" s="8">
        <f t="shared" si="67"/>
        <v>23182183.908045977</v>
      </c>
      <c r="Q349" s="12">
        <f t="shared" si="68"/>
        <v>1259000</v>
      </c>
      <c r="R349" s="13">
        <f t="shared" si="69"/>
        <v>5.4308947120509703E-2</v>
      </c>
    </row>
    <row r="350" spans="1:18" x14ac:dyDescent="0.3">
      <c r="A350" s="1">
        <v>15200001</v>
      </c>
      <c r="B350" s="1">
        <v>15250000</v>
      </c>
      <c r="C350" s="9">
        <v>15900</v>
      </c>
      <c r="E350" s="3">
        <f t="shared" si="58"/>
        <v>1982500</v>
      </c>
      <c r="F350" s="3">
        <f t="shared" si="59"/>
        <v>1723250</v>
      </c>
      <c r="G350" s="2">
        <f t="shared" si="60"/>
        <v>8.0852459016393444E-2</v>
      </c>
      <c r="H350" s="8">
        <f t="shared" si="61"/>
        <v>30000</v>
      </c>
      <c r="I350" s="8">
        <f t="shared" si="62"/>
        <v>1263000</v>
      </c>
      <c r="L350" s="8">
        <f t="shared" si="63"/>
        <v>20234650</v>
      </c>
      <c r="M350" s="8">
        <f t="shared" si="64"/>
        <v>21526223.404255319</v>
      </c>
      <c r="N350" s="12">
        <f t="shared" si="65"/>
        <v>1263000</v>
      </c>
      <c r="O350" s="13">
        <f t="shared" si="66"/>
        <v>5.8672623445426529E-2</v>
      </c>
      <c r="P350" s="8">
        <f t="shared" si="67"/>
        <v>23258218.390804596</v>
      </c>
      <c r="Q350" s="12">
        <f t="shared" si="68"/>
        <v>1263000</v>
      </c>
      <c r="R350" s="13">
        <f t="shared" si="69"/>
        <v>5.4303385529277749E-2</v>
      </c>
    </row>
    <row r="351" spans="1:18" x14ac:dyDescent="0.3">
      <c r="A351" s="1">
        <v>15250001</v>
      </c>
      <c r="B351" s="1">
        <v>15300000</v>
      </c>
      <c r="C351" s="9">
        <v>15900</v>
      </c>
      <c r="E351" s="3">
        <f t="shared" si="58"/>
        <v>1989000</v>
      </c>
      <c r="F351" s="3">
        <f t="shared" si="59"/>
        <v>1728900</v>
      </c>
      <c r="G351" s="2">
        <f t="shared" si="60"/>
        <v>8.0849673202614381E-2</v>
      </c>
      <c r="H351" s="8">
        <f t="shared" si="61"/>
        <v>30000</v>
      </c>
      <c r="I351" s="8">
        <f t="shared" si="62"/>
        <v>1267000</v>
      </c>
      <c r="L351" s="8">
        <f t="shared" si="63"/>
        <v>20300800</v>
      </c>
      <c r="M351" s="8">
        <f t="shared" si="64"/>
        <v>21596595.744680852</v>
      </c>
      <c r="N351" s="12">
        <f t="shared" si="65"/>
        <v>1267000</v>
      </c>
      <c r="O351" s="13">
        <f t="shared" si="66"/>
        <v>5.8666653530895334E-2</v>
      </c>
      <c r="P351" s="8">
        <f t="shared" si="67"/>
        <v>23334252.873563219</v>
      </c>
      <c r="Q351" s="12">
        <f t="shared" si="68"/>
        <v>1267000</v>
      </c>
      <c r="R351" s="13">
        <f t="shared" si="69"/>
        <v>5.4297860182849933E-2</v>
      </c>
    </row>
    <row r="352" spans="1:18" x14ac:dyDescent="0.3">
      <c r="A352" s="1">
        <v>15300001</v>
      </c>
      <c r="B352" s="1">
        <v>15350000</v>
      </c>
      <c r="C352" s="9">
        <v>15900</v>
      </c>
      <c r="E352" s="3">
        <f t="shared" si="58"/>
        <v>1995500</v>
      </c>
      <c r="F352" s="3">
        <f t="shared" si="59"/>
        <v>1734550</v>
      </c>
      <c r="G352" s="2">
        <f t="shared" si="60"/>
        <v>8.0846905537459282E-2</v>
      </c>
      <c r="H352" s="8">
        <f t="shared" si="61"/>
        <v>30000</v>
      </c>
      <c r="I352" s="8">
        <f t="shared" si="62"/>
        <v>1271000</v>
      </c>
      <c r="L352" s="8">
        <f t="shared" si="63"/>
        <v>20366950</v>
      </c>
      <c r="M352" s="8">
        <f t="shared" si="64"/>
        <v>21666968.085106384</v>
      </c>
      <c r="N352" s="12">
        <f t="shared" si="65"/>
        <v>1271000</v>
      </c>
      <c r="O352" s="13">
        <f t="shared" si="66"/>
        <v>5.8660722395842281E-2</v>
      </c>
      <c r="P352" s="8">
        <f t="shared" si="67"/>
        <v>23410287.356321838</v>
      </c>
      <c r="Q352" s="12">
        <f t="shared" si="68"/>
        <v>1271000</v>
      </c>
      <c r="R352" s="13">
        <f t="shared" si="69"/>
        <v>5.4292370728066801E-2</v>
      </c>
    </row>
    <row r="353" spans="1:18" x14ac:dyDescent="0.3">
      <c r="A353" s="1">
        <v>15350001</v>
      </c>
      <c r="B353" s="1">
        <v>15400000</v>
      </c>
      <c r="C353" s="9">
        <v>15900</v>
      </c>
      <c r="E353" s="3">
        <f t="shared" ref="E353:E416" si="70">B353*13%</f>
        <v>2002000</v>
      </c>
      <c r="F353" s="3">
        <f t="shared" ref="F353:F416" si="71">(B353+E353)*10%</f>
        <v>1740200</v>
      </c>
      <c r="G353" s="2">
        <f t="shared" si="60"/>
        <v>8.0844155844155843E-2</v>
      </c>
      <c r="H353" s="8">
        <f t="shared" si="61"/>
        <v>30000</v>
      </c>
      <c r="I353" s="8">
        <f t="shared" si="62"/>
        <v>1275000</v>
      </c>
      <c r="L353" s="8">
        <f t="shared" si="63"/>
        <v>20433100</v>
      </c>
      <c r="M353" s="8">
        <f t="shared" si="64"/>
        <v>21737340.425531916</v>
      </c>
      <c r="N353" s="12">
        <f t="shared" si="65"/>
        <v>1275000</v>
      </c>
      <c r="O353" s="13">
        <f t="shared" si="66"/>
        <v>5.8654829663634001E-2</v>
      </c>
      <c r="P353" s="8">
        <f t="shared" si="67"/>
        <v>23486321.83908046</v>
      </c>
      <c r="Q353" s="12">
        <f t="shared" si="68"/>
        <v>1275000</v>
      </c>
      <c r="R353" s="13">
        <f t="shared" si="69"/>
        <v>5.428691681634211E-2</v>
      </c>
    </row>
    <row r="354" spans="1:18" x14ac:dyDescent="0.3">
      <c r="A354" s="1">
        <v>15400001</v>
      </c>
      <c r="B354" s="1">
        <v>15450000</v>
      </c>
      <c r="C354" s="9">
        <v>15900</v>
      </c>
      <c r="E354" s="3">
        <f t="shared" si="70"/>
        <v>2008500</v>
      </c>
      <c r="F354" s="3">
        <f t="shared" si="71"/>
        <v>1745850</v>
      </c>
      <c r="G354" s="2">
        <f t="shared" si="60"/>
        <v>8.0841423948220067E-2</v>
      </c>
      <c r="H354" s="8">
        <f t="shared" si="61"/>
        <v>30000</v>
      </c>
      <c r="I354" s="8">
        <f t="shared" si="62"/>
        <v>1279000</v>
      </c>
      <c r="L354" s="8">
        <f t="shared" si="63"/>
        <v>20499250</v>
      </c>
      <c r="M354" s="8">
        <f t="shared" si="64"/>
        <v>21807712.765957449</v>
      </c>
      <c r="N354" s="12">
        <f t="shared" si="65"/>
        <v>1279000</v>
      </c>
      <c r="O354" s="13">
        <f t="shared" si="66"/>
        <v>5.8648974962498622E-2</v>
      </c>
      <c r="P354" s="8">
        <f t="shared" si="67"/>
        <v>23562356.321839079</v>
      </c>
      <c r="Q354" s="12">
        <f t="shared" si="68"/>
        <v>1279000</v>
      </c>
      <c r="R354" s="13">
        <f t="shared" si="69"/>
        <v>5.4281498103589156E-2</v>
      </c>
    </row>
    <row r="355" spans="1:18" x14ac:dyDescent="0.3">
      <c r="A355" s="1">
        <v>15450001</v>
      </c>
      <c r="B355" s="1">
        <v>15500000</v>
      </c>
      <c r="C355" s="9">
        <v>15900</v>
      </c>
      <c r="E355" s="3">
        <f t="shared" si="70"/>
        <v>2015000</v>
      </c>
      <c r="F355" s="3">
        <f t="shared" si="71"/>
        <v>1751500</v>
      </c>
      <c r="G355" s="2">
        <f t="shared" si="60"/>
        <v>8.0838709677419351E-2</v>
      </c>
      <c r="H355" s="8">
        <f t="shared" si="61"/>
        <v>30000</v>
      </c>
      <c r="I355" s="8">
        <f t="shared" si="62"/>
        <v>1283000</v>
      </c>
      <c r="L355" s="8">
        <f t="shared" si="63"/>
        <v>20565400</v>
      </c>
      <c r="M355" s="8">
        <f t="shared" si="64"/>
        <v>21878085.106382981</v>
      </c>
      <c r="N355" s="12">
        <f t="shared" si="65"/>
        <v>1283000</v>
      </c>
      <c r="O355" s="13">
        <f t="shared" si="66"/>
        <v>5.8643157925447588E-2</v>
      </c>
      <c r="P355" s="8">
        <f t="shared" si="67"/>
        <v>23638390.804597702</v>
      </c>
      <c r="Q355" s="12">
        <f t="shared" si="68"/>
        <v>1283000</v>
      </c>
      <c r="R355" s="13">
        <f t="shared" si="69"/>
        <v>5.4276114250148305E-2</v>
      </c>
    </row>
    <row r="356" spans="1:18" x14ac:dyDescent="0.3">
      <c r="A356" s="1">
        <v>15500001</v>
      </c>
      <c r="B356" s="1">
        <v>15550000</v>
      </c>
      <c r="C356" s="9">
        <v>15900</v>
      </c>
      <c r="E356" s="3">
        <f t="shared" si="70"/>
        <v>2021500</v>
      </c>
      <c r="F356" s="3">
        <f t="shared" si="71"/>
        <v>1757150</v>
      </c>
      <c r="G356" s="2">
        <f t="shared" si="60"/>
        <v>8.0836012861736334E-2</v>
      </c>
      <c r="H356" s="8">
        <f t="shared" si="61"/>
        <v>30000</v>
      </c>
      <c r="I356" s="8">
        <f t="shared" si="62"/>
        <v>1287000</v>
      </c>
      <c r="L356" s="8">
        <f t="shared" si="63"/>
        <v>20631550</v>
      </c>
      <c r="M356" s="8">
        <f t="shared" si="64"/>
        <v>21948457.446808513</v>
      </c>
      <c r="N356" s="12">
        <f t="shared" si="65"/>
        <v>1287000</v>
      </c>
      <c r="O356" s="13">
        <f t="shared" si="66"/>
        <v>5.8637378190198985E-2</v>
      </c>
      <c r="P356" s="8">
        <f t="shared" si="67"/>
        <v>23714425.287356321</v>
      </c>
      <c r="Q356" s="12">
        <f t="shared" si="68"/>
        <v>1287000</v>
      </c>
      <c r="R356" s="13">
        <f t="shared" si="69"/>
        <v>5.4270764920716093E-2</v>
      </c>
    </row>
    <row r="357" spans="1:18" x14ac:dyDescent="0.3">
      <c r="A357" s="1">
        <v>15550001</v>
      </c>
      <c r="B357" s="1">
        <v>15600000</v>
      </c>
      <c r="C357" s="9">
        <v>15900</v>
      </c>
      <c r="E357" s="3">
        <f t="shared" si="70"/>
        <v>2028000</v>
      </c>
      <c r="F357" s="3">
        <f t="shared" si="71"/>
        <v>1762800</v>
      </c>
      <c r="G357" s="2">
        <f t="shared" si="60"/>
        <v>8.083333333333334E-2</v>
      </c>
      <c r="H357" s="8">
        <f t="shared" si="61"/>
        <v>30000</v>
      </c>
      <c r="I357" s="8">
        <f t="shared" si="62"/>
        <v>1291000</v>
      </c>
      <c r="L357" s="8">
        <f t="shared" si="63"/>
        <v>20697700</v>
      </c>
      <c r="M357" s="8">
        <f t="shared" si="64"/>
        <v>22018829.787234046</v>
      </c>
      <c r="N357" s="12">
        <f t="shared" si="65"/>
        <v>1291000</v>
      </c>
      <c r="O357" s="13">
        <f t="shared" si="66"/>
        <v>5.8631635399102308E-2</v>
      </c>
      <c r="P357" s="8">
        <f t="shared" si="67"/>
        <v>23790459.770114943</v>
      </c>
      <c r="Q357" s="12">
        <f t="shared" si="68"/>
        <v>1291000</v>
      </c>
      <c r="R357" s="13">
        <f t="shared" si="69"/>
        <v>5.4265449784275548E-2</v>
      </c>
    </row>
    <row r="358" spans="1:18" x14ac:dyDescent="0.3">
      <c r="A358" s="1">
        <v>15600001</v>
      </c>
      <c r="B358" s="1">
        <v>15650000</v>
      </c>
      <c r="C358" s="9">
        <v>15900</v>
      </c>
      <c r="E358" s="3">
        <f t="shared" si="70"/>
        <v>2034500</v>
      </c>
      <c r="F358" s="3">
        <f t="shared" si="71"/>
        <v>1768450</v>
      </c>
      <c r="G358" s="2">
        <f t="shared" si="60"/>
        <v>8.0830670926517578E-2</v>
      </c>
      <c r="H358" s="8">
        <f t="shared" si="61"/>
        <v>30000</v>
      </c>
      <c r="I358" s="8">
        <f t="shared" si="62"/>
        <v>1295000</v>
      </c>
      <c r="L358" s="8">
        <f t="shared" si="63"/>
        <v>20763850</v>
      </c>
      <c r="M358" s="8">
        <f t="shared" si="64"/>
        <v>22089202.127659574</v>
      </c>
      <c r="N358" s="12">
        <f t="shared" si="65"/>
        <v>1295000</v>
      </c>
      <c r="O358" s="13">
        <f t="shared" si="66"/>
        <v>5.8625929199064723E-2</v>
      </c>
      <c r="P358" s="8">
        <f t="shared" si="67"/>
        <v>23866494.252873562</v>
      </c>
      <c r="Q358" s="12">
        <f t="shared" si="68"/>
        <v>1295000</v>
      </c>
      <c r="R358" s="13">
        <f t="shared" si="69"/>
        <v>5.4260168514027991E-2</v>
      </c>
    </row>
    <row r="359" spans="1:18" x14ac:dyDescent="0.3">
      <c r="A359" s="1">
        <v>15650001</v>
      </c>
      <c r="B359" s="1">
        <v>15700000</v>
      </c>
      <c r="C359" s="9">
        <v>15900</v>
      </c>
      <c r="E359" s="3">
        <f t="shared" si="70"/>
        <v>2041000</v>
      </c>
      <c r="F359" s="3">
        <f t="shared" si="71"/>
        <v>1774100</v>
      </c>
      <c r="G359" s="2">
        <f t="shared" si="60"/>
        <v>8.0828025477707011E-2</v>
      </c>
      <c r="H359" s="8">
        <f t="shared" si="61"/>
        <v>30000</v>
      </c>
      <c r="I359" s="8">
        <f t="shared" si="62"/>
        <v>1299000</v>
      </c>
      <c r="L359" s="8">
        <f t="shared" si="63"/>
        <v>20830000</v>
      </c>
      <c r="M359" s="8">
        <f t="shared" si="64"/>
        <v>22159574.468085106</v>
      </c>
      <c r="N359" s="12">
        <f t="shared" si="65"/>
        <v>1299000</v>
      </c>
      <c r="O359" s="13">
        <f t="shared" si="66"/>
        <v>5.8620259241478637E-2</v>
      </c>
      <c r="P359" s="8">
        <f t="shared" si="67"/>
        <v>23942528.735632185</v>
      </c>
      <c r="Q359" s="12">
        <f t="shared" si="68"/>
        <v>1299000</v>
      </c>
      <c r="R359" s="13">
        <f t="shared" si="69"/>
        <v>5.4254920787325966E-2</v>
      </c>
    </row>
    <row r="360" spans="1:18" x14ac:dyDescent="0.3">
      <c r="A360" s="1">
        <v>15700001</v>
      </c>
      <c r="B360" s="1">
        <v>15750000</v>
      </c>
      <c r="C360" s="9">
        <v>15900</v>
      </c>
      <c r="E360" s="3">
        <f t="shared" si="70"/>
        <v>2047500</v>
      </c>
      <c r="F360" s="3">
        <f t="shared" si="71"/>
        <v>1779750</v>
      </c>
      <c r="G360" s="2">
        <f t="shared" si="60"/>
        <v>8.0825396825396828E-2</v>
      </c>
      <c r="H360" s="8">
        <f t="shared" si="61"/>
        <v>30000</v>
      </c>
      <c r="I360" s="8">
        <f t="shared" si="62"/>
        <v>1303000</v>
      </c>
      <c r="L360" s="8">
        <f t="shared" si="63"/>
        <v>20896150</v>
      </c>
      <c r="M360" s="8">
        <f t="shared" si="64"/>
        <v>22229946.808510639</v>
      </c>
      <c r="N360" s="12">
        <f t="shared" si="65"/>
        <v>1303000</v>
      </c>
      <c r="O360" s="13">
        <f t="shared" si="66"/>
        <v>5.8614625182150777E-2</v>
      </c>
      <c r="P360" s="8">
        <f t="shared" si="67"/>
        <v>24018563.218390804</v>
      </c>
      <c r="Q360" s="12">
        <f t="shared" si="68"/>
        <v>1303000</v>
      </c>
      <c r="R360" s="13">
        <f t="shared" si="69"/>
        <v>5.4249706285607636E-2</v>
      </c>
    </row>
    <row r="361" spans="1:18" x14ac:dyDescent="0.3">
      <c r="A361" s="1">
        <v>15750001</v>
      </c>
      <c r="B361" s="1">
        <v>15800000</v>
      </c>
      <c r="C361" s="9">
        <v>15900</v>
      </c>
      <c r="E361" s="3">
        <f t="shared" si="70"/>
        <v>2054000</v>
      </c>
      <c r="F361" s="3">
        <f t="shared" si="71"/>
        <v>1785400</v>
      </c>
      <c r="G361" s="2">
        <f t="shared" si="60"/>
        <v>8.0822784810126586E-2</v>
      </c>
      <c r="H361" s="8">
        <f t="shared" si="61"/>
        <v>30000</v>
      </c>
      <c r="I361" s="8">
        <f t="shared" si="62"/>
        <v>1307000</v>
      </c>
      <c r="L361" s="8">
        <f t="shared" si="63"/>
        <v>20962300</v>
      </c>
      <c r="M361" s="8">
        <f t="shared" si="64"/>
        <v>22300319.148936171</v>
      </c>
      <c r="N361" s="12">
        <f t="shared" si="65"/>
        <v>1307000</v>
      </c>
      <c r="O361" s="13">
        <f t="shared" si="66"/>
        <v>5.8609026681232496E-2</v>
      </c>
      <c r="P361" s="8">
        <f t="shared" si="67"/>
        <v>24094597.701149426</v>
      </c>
      <c r="Q361" s="12">
        <f t="shared" si="68"/>
        <v>1307000</v>
      </c>
      <c r="R361" s="13">
        <f t="shared" si="69"/>
        <v>5.4244524694332205E-2</v>
      </c>
    </row>
    <row r="362" spans="1:18" x14ac:dyDescent="0.3">
      <c r="A362" s="1">
        <v>15800001</v>
      </c>
      <c r="B362" s="1">
        <v>15850000</v>
      </c>
      <c r="C362" s="9">
        <v>15900</v>
      </c>
      <c r="E362" s="3">
        <f t="shared" si="70"/>
        <v>2060500</v>
      </c>
      <c r="F362" s="3">
        <f t="shared" si="71"/>
        <v>1791050</v>
      </c>
      <c r="G362" s="2">
        <f t="shared" si="60"/>
        <v>8.0820189274447951E-2</v>
      </c>
      <c r="H362" s="8">
        <f t="shared" si="61"/>
        <v>30000</v>
      </c>
      <c r="I362" s="8">
        <f t="shared" si="62"/>
        <v>1311000</v>
      </c>
      <c r="L362" s="8">
        <f t="shared" si="63"/>
        <v>21028450</v>
      </c>
      <c r="M362" s="8">
        <f t="shared" si="64"/>
        <v>22370691.489361703</v>
      </c>
      <c r="N362" s="12">
        <f t="shared" si="65"/>
        <v>1311000</v>
      </c>
      <c r="O362" s="13">
        <f t="shared" si="66"/>
        <v>5.8603463403151444E-2</v>
      </c>
      <c r="P362" s="8">
        <f t="shared" si="67"/>
        <v>24170632.183908045</v>
      </c>
      <c r="Q362" s="12">
        <f t="shared" si="68"/>
        <v>1311000</v>
      </c>
      <c r="R362" s="13">
        <f t="shared" si="69"/>
        <v>5.4239375702916766E-2</v>
      </c>
    </row>
    <row r="363" spans="1:18" x14ac:dyDescent="0.3">
      <c r="A363" s="1">
        <v>15850001</v>
      </c>
      <c r="B363" s="1">
        <v>15900000</v>
      </c>
      <c r="C363" s="9">
        <v>15900</v>
      </c>
      <c r="E363" s="3">
        <f t="shared" si="70"/>
        <v>2067000</v>
      </c>
      <c r="F363" s="3">
        <f t="shared" si="71"/>
        <v>1796700</v>
      </c>
      <c r="G363" s="2">
        <f t="shared" si="60"/>
        <v>8.0817610062893078E-2</v>
      </c>
      <c r="H363" s="8">
        <f t="shared" si="61"/>
        <v>30000</v>
      </c>
      <c r="I363" s="8">
        <f t="shared" si="62"/>
        <v>1315000</v>
      </c>
      <c r="L363" s="8">
        <f t="shared" si="63"/>
        <v>21094600</v>
      </c>
      <c r="M363" s="8">
        <f t="shared" si="64"/>
        <v>22441063.829787236</v>
      </c>
      <c r="N363" s="12">
        <f t="shared" si="65"/>
        <v>1315000</v>
      </c>
      <c r="O363" s="13">
        <f t="shared" si="66"/>
        <v>5.8597935016544513E-2</v>
      </c>
      <c r="P363" s="8">
        <f t="shared" si="67"/>
        <v>24246666.666666668</v>
      </c>
      <c r="Q363" s="12">
        <f t="shared" si="68"/>
        <v>1315000</v>
      </c>
      <c r="R363" s="13">
        <f t="shared" si="69"/>
        <v>5.4234259004674178E-2</v>
      </c>
    </row>
    <row r="364" spans="1:18" x14ac:dyDescent="0.3">
      <c r="A364" s="1">
        <v>15900001</v>
      </c>
      <c r="B364" s="1">
        <v>15950000</v>
      </c>
      <c r="C364" s="9">
        <v>15900</v>
      </c>
      <c r="E364" s="3">
        <f t="shared" si="70"/>
        <v>2073500</v>
      </c>
      <c r="F364" s="3">
        <f t="shared" si="71"/>
        <v>1802350</v>
      </c>
      <c r="G364" s="2">
        <f t="shared" si="60"/>
        <v>8.0815047021943573E-2</v>
      </c>
      <c r="H364" s="8">
        <f t="shared" si="61"/>
        <v>30000</v>
      </c>
      <c r="I364" s="8">
        <f t="shared" si="62"/>
        <v>1319000</v>
      </c>
      <c r="L364" s="8">
        <f t="shared" si="63"/>
        <v>21160750</v>
      </c>
      <c r="M364" s="8">
        <f t="shared" si="64"/>
        <v>22511436.170212768</v>
      </c>
      <c r="N364" s="12">
        <f t="shared" si="65"/>
        <v>1319000</v>
      </c>
      <c r="O364" s="13">
        <f t="shared" si="66"/>
        <v>5.8592441194192074E-2</v>
      </c>
      <c r="P364" s="8">
        <f t="shared" si="67"/>
        <v>24322701.149425287</v>
      </c>
      <c r="Q364" s="12">
        <f t="shared" si="68"/>
        <v>1319000</v>
      </c>
      <c r="R364" s="13">
        <f t="shared" si="69"/>
        <v>5.4229174296752246E-2</v>
      </c>
    </row>
    <row r="365" spans="1:18" x14ac:dyDescent="0.3">
      <c r="A365" s="1">
        <v>15950001</v>
      </c>
      <c r="B365" s="1">
        <v>16000000</v>
      </c>
      <c r="C365" s="9">
        <v>15900</v>
      </c>
      <c r="E365" s="3">
        <f t="shared" si="70"/>
        <v>2080000</v>
      </c>
      <c r="F365" s="3">
        <f t="shared" si="71"/>
        <v>1808000</v>
      </c>
      <c r="G365" s="2">
        <f t="shared" si="60"/>
        <v>8.0812499999999995E-2</v>
      </c>
      <c r="H365" s="8">
        <f t="shared" si="61"/>
        <v>30000</v>
      </c>
      <c r="I365" s="8">
        <f t="shared" si="62"/>
        <v>1323000</v>
      </c>
      <c r="L365" s="8">
        <f t="shared" si="63"/>
        <v>21226900</v>
      </c>
      <c r="M365" s="8">
        <f t="shared" si="64"/>
        <v>22581808.5106383</v>
      </c>
      <c r="N365" s="12">
        <f t="shared" si="65"/>
        <v>1323000</v>
      </c>
      <c r="O365" s="13">
        <f t="shared" si="66"/>
        <v>5.8586981612953372E-2</v>
      </c>
      <c r="P365" s="8">
        <f t="shared" si="67"/>
        <v>24398735.632183909</v>
      </c>
      <c r="Q365" s="12">
        <f t="shared" si="68"/>
        <v>1323000</v>
      </c>
      <c r="R365" s="13">
        <f t="shared" si="69"/>
        <v>5.4224121280073867E-2</v>
      </c>
    </row>
    <row r="366" spans="1:18" x14ac:dyDescent="0.3">
      <c r="A366" s="1">
        <v>16000001</v>
      </c>
      <c r="B366" s="1">
        <v>16050000</v>
      </c>
      <c r="C366" s="9">
        <v>15900</v>
      </c>
      <c r="E366" s="3">
        <f t="shared" si="70"/>
        <v>2086500</v>
      </c>
      <c r="F366" s="3">
        <f t="shared" si="71"/>
        <v>1813650</v>
      </c>
      <c r="G366" s="2">
        <f t="shared" si="60"/>
        <v>8.0809968847352032E-2</v>
      </c>
      <c r="H366" s="8">
        <f t="shared" si="61"/>
        <v>30000</v>
      </c>
      <c r="I366" s="8">
        <f t="shared" si="62"/>
        <v>1327000</v>
      </c>
      <c r="L366" s="8">
        <f t="shared" si="63"/>
        <v>21293050</v>
      </c>
      <c r="M366" s="8">
        <f t="shared" si="64"/>
        <v>22652180.851063833</v>
      </c>
      <c r="N366" s="12">
        <f t="shared" si="65"/>
        <v>1327000</v>
      </c>
      <c r="O366" s="13">
        <f t="shared" si="66"/>
        <v>5.8581555953703193E-2</v>
      </c>
      <c r="P366" s="8">
        <f t="shared" si="67"/>
        <v>24474770.114942528</v>
      </c>
      <c r="Q366" s="12">
        <f t="shared" si="68"/>
        <v>1327000</v>
      </c>
      <c r="R366" s="13">
        <f t="shared" si="69"/>
        <v>5.42190996592785E-2</v>
      </c>
    </row>
    <row r="367" spans="1:18" x14ac:dyDescent="0.3">
      <c r="A367" s="1">
        <v>16050001</v>
      </c>
      <c r="B367" s="1">
        <v>16100000</v>
      </c>
      <c r="C367" s="9">
        <v>15900</v>
      </c>
      <c r="E367" s="3">
        <f t="shared" si="70"/>
        <v>2093000</v>
      </c>
      <c r="F367" s="3">
        <f t="shared" si="71"/>
        <v>1819300</v>
      </c>
      <c r="G367" s="2">
        <f t="shared" si="60"/>
        <v>8.0807453416149075E-2</v>
      </c>
      <c r="H367" s="8">
        <f t="shared" si="61"/>
        <v>30000</v>
      </c>
      <c r="I367" s="8">
        <f t="shared" si="62"/>
        <v>1331000</v>
      </c>
      <c r="L367" s="8">
        <f t="shared" si="63"/>
        <v>21359200</v>
      </c>
      <c r="M367" s="8">
        <f t="shared" si="64"/>
        <v>22722553.191489361</v>
      </c>
      <c r="N367" s="12">
        <f t="shared" si="65"/>
        <v>1331000</v>
      </c>
      <c r="O367" s="13">
        <f t="shared" si="66"/>
        <v>5.8576163901269712E-2</v>
      </c>
      <c r="P367" s="8">
        <f t="shared" si="67"/>
        <v>24550804.597701151</v>
      </c>
      <c r="Q367" s="12">
        <f t="shared" si="68"/>
        <v>1331000</v>
      </c>
      <c r="R367" s="13">
        <f t="shared" si="69"/>
        <v>5.4214109142664516E-2</v>
      </c>
    </row>
    <row r="368" spans="1:18" x14ac:dyDescent="0.3">
      <c r="A368" s="1">
        <v>16100001</v>
      </c>
      <c r="B368" s="1">
        <v>16150000</v>
      </c>
      <c r="C368" s="9">
        <v>15900</v>
      </c>
      <c r="E368" s="3">
        <f t="shared" si="70"/>
        <v>2099500</v>
      </c>
      <c r="F368" s="3">
        <f t="shared" si="71"/>
        <v>1824950</v>
      </c>
      <c r="G368" s="2">
        <f t="shared" si="60"/>
        <v>8.0804953560371512E-2</v>
      </c>
      <c r="H368" s="8">
        <f t="shared" si="61"/>
        <v>30000</v>
      </c>
      <c r="I368" s="8">
        <f t="shared" si="62"/>
        <v>1335000</v>
      </c>
      <c r="L368" s="8">
        <f t="shared" si="63"/>
        <v>21425350</v>
      </c>
      <c r="M368" s="8">
        <f t="shared" si="64"/>
        <v>22792925.531914894</v>
      </c>
      <c r="N368" s="12">
        <f t="shared" si="65"/>
        <v>1335000</v>
      </c>
      <c r="O368" s="13">
        <f t="shared" si="66"/>
        <v>5.8570805144373371E-2</v>
      </c>
      <c r="P368" s="8">
        <f t="shared" si="67"/>
        <v>24626839.08045977</v>
      </c>
      <c r="Q368" s="12">
        <f t="shared" si="68"/>
        <v>1335000</v>
      </c>
      <c r="R368" s="13">
        <f t="shared" si="69"/>
        <v>5.4209149442132801E-2</v>
      </c>
    </row>
    <row r="369" spans="1:18" x14ac:dyDescent="0.3">
      <c r="A369" s="1">
        <v>16150001</v>
      </c>
      <c r="B369" s="1">
        <v>16200000</v>
      </c>
      <c r="C369" s="9">
        <v>15900</v>
      </c>
      <c r="E369" s="3">
        <f t="shared" si="70"/>
        <v>2106000</v>
      </c>
      <c r="F369" s="3">
        <f t="shared" si="71"/>
        <v>1830600</v>
      </c>
      <c r="G369" s="2">
        <f t="shared" si="60"/>
        <v>8.0802469135802468E-2</v>
      </c>
      <c r="H369" s="8">
        <f t="shared" si="61"/>
        <v>30000</v>
      </c>
      <c r="I369" s="8">
        <f t="shared" si="62"/>
        <v>1339000</v>
      </c>
      <c r="L369" s="8">
        <f t="shared" si="63"/>
        <v>21491500</v>
      </c>
      <c r="M369" s="8">
        <f t="shared" si="64"/>
        <v>22863297.872340426</v>
      </c>
      <c r="N369" s="12">
        <f t="shared" si="65"/>
        <v>1339000</v>
      </c>
      <c r="O369" s="13">
        <f t="shared" si="66"/>
        <v>5.8565479375567081E-2</v>
      </c>
      <c r="P369" s="8">
        <f t="shared" si="67"/>
        <v>24702873.563218392</v>
      </c>
      <c r="Q369" s="12">
        <f t="shared" si="68"/>
        <v>1339000</v>
      </c>
      <c r="R369" s="13">
        <f t="shared" si="69"/>
        <v>5.4204220273131237E-2</v>
      </c>
    </row>
    <row r="370" spans="1:18" x14ac:dyDescent="0.3">
      <c r="A370" s="1">
        <v>16200001</v>
      </c>
      <c r="B370" s="1">
        <v>16250000</v>
      </c>
      <c r="C370" s="9">
        <v>15900</v>
      </c>
      <c r="E370" s="3">
        <f t="shared" si="70"/>
        <v>2112500</v>
      </c>
      <c r="F370" s="3">
        <f t="shared" si="71"/>
        <v>1836250</v>
      </c>
      <c r="G370" s="2">
        <f t="shared" si="60"/>
        <v>8.0799999999999997E-2</v>
      </c>
      <c r="H370" s="8">
        <f t="shared" si="61"/>
        <v>30000</v>
      </c>
      <c r="I370" s="8">
        <f t="shared" si="62"/>
        <v>1343000</v>
      </c>
      <c r="L370" s="8">
        <f t="shared" si="63"/>
        <v>21557650</v>
      </c>
      <c r="M370" s="8">
        <f t="shared" si="64"/>
        <v>22933670.212765958</v>
      </c>
      <c r="N370" s="12">
        <f t="shared" si="65"/>
        <v>1343000</v>
      </c>
      <c r="O370" s="13">
        <f t="shared" si="66"/>
        <v>5.8560186291177374E-2</v>
      </c>
      <c r="P370" s="8">
        <f t="shared" si="67"/>
        <v>24778908.045977011</v>
      </c>
      <c r="Q370" s="12">
        <f t="shared" si="68"/>
        <v>1343000</v>
      </c>
      <c r="R370" s="13">
        <f t="shared" si="69"/>
        <v>5.4199321354600337E-2</v>
      </c>
    </row>
    <row r="371" spans="1:18" x14ac:dyDescent="0.3">
      <c r="A371" s="1">
        <v>16250001</v>
      </c>
      <c r="B371" s="1">
        <v>16300000</v>
      </c>
      <c r="C371" s="9">
        <v>15900</v>
      </c>
      <c r="E371" s="3">
        <f t="shared" si="70"/>
        <v>2119000</v>
      </c>
      <c r="F371" s="3">
        <f t="shared" si="71"/>
        <v>1841900</v>
      </c>
      <c r="G371" s="2">
        <f t="shared" si="60"/>
        <v>8.0797546012269947E-2</v>
      </c>
      <c r="H371" s="8">
        <f t="shared" si="61"/>
        <v>30000</v>
      </c>
      <c r="I371" s="8">
        <f t="shared" si="62"/>
        <v>1347000.0000000002</v>
      </c>
      <c r="L371" s="8">
        <f t="shared" si="63"/>
        <v>21623800</v>
      </c>
      <c r="M371" s="8">
        <f t="shared" si="64"/>
        <v>23004042.55319149</v>
      </c>
      <c r="N371" s="12">
        <f t="shared" si="65"/>
        <v>1347000</v>
      </c>
      <c r="O371" s="13">
        <f t="shared" si="66"/>
        <v>5.8554925591246677E-2</v>
      </c>
      <c r="P371" s="8">
        <f t="shared" si="67"/>
        <v>24854942.528735634</v>
      </c>
      <c r="Q371" s="12">
        <f t="shared" si="68"/>
        <v>1347000</v>
      </c>
      <c r="R371" s="13">
        <f t="shared" si="69"/>
        <v>5.4194452408919798E-2</v>
      </c>
    </row>
    <row r="372" spans="1:18" x14ac:dyDescent="0.3">
      <c r="A372" s="1">
        <v>16300001</v>
      </c>
      <c r="B372" s="1">
        <v>16350000</v>
      </c>
      <c r="C372" s="9">
        <v>15900</v>
      </c>
      <c r="E372" s="3">
        <f t="shared" si="70"/>
        <v>2125500</v>
      </c>
      <c r="F372" s="3">
        <f t="shared" si="71"/>
        <v>1847550</v>
      </c>
      <c r="G372" s="2">
        <f t="shared" si="60"/>
        <v>8.0795107033639152E-2</v>
      </c>
      <c r="H372" s="8">
        <f t="shared" si="61"/>
        <v>30000</v>
      </c>
      <c r="I372" s="8">
        <f t="shared" si="62"/>
        <v>1351000.0000000002</v>
      </c>
      <c r="L372" s="8">
        <f t="shared" si="63"/>
        <v>21689950</v>
      </c>
      <c r="M372" s="8">
        <f t="shared" si="64"/>
        <v>23074414.893617023</v>
      </c>
      <c r="N372" s="12">
        <f t="shared" si="65"/>
        <v>1351000</v>
      </c>
      <c r="O372" s="13">
        <f t="shared" si="66"/>
        <v>5.8549696979476665E-2</v>
      </c>
      <c r="P372" s="8">
        <f t="shared" si="67"/>
        <v>24930977.011494253</v>
      </c>
      <c r="Q372" s="12">
        <f t="shared" si="68"/>
        <v>1351000</v>
      </c>
      <c r="R372" s="13">
        <f t="shared" si="69"/>
        <v>5.4189613161856068E-2</v>
      </c>
    </row>
    <row r="373" spans="1:18" x14ac:dyDescent="0.3">
      <c r="A373" s="1">
        <v>16350001</v>
      </c>
      <c r="B373" s="1">
        <v>16400000</v>
      </c>
      <c r="C373" s="9">
        <v>15900</v>
      </c>
      <c r="E373" s="3">
        <f t="shared" si="70"/>
        <v>2132000</v>
      </c>
      <c r="F373" s="3">
        <f t="shared" si="71"/>
        <v>1853200</v>
      </c>
      <c r="G373" s="2">
        <f t="shared" si="60"/>
        <v>8.0792682926829271E-2</v>
      </c>
      <c r="H373" s="8">
        <f t="shared" si="61"/>
        <v>30000</v>
      </c>
      <c r="I373" s="8">
        <f t="shared" si="62"/>
        <v>1355000</v>
      </c>
      <c r="L373" s="8">
        <f t="shared" si="63"/>
        <v>21756100</v>
      </c>
      <c r="M373" s="8">
        <f t="shared" si="64"/>
        <v>23144787.234042555</v>
      </c>
      <c r="N373" s="12">
        <f t="shared" si="65"/>
        <v>1355000</v>
      </c>
      <c r="O373" s="13">
        <f t="shared" si="66"/>
        <v>5.8544500163172621E-2</v>
      </c>
      <c r="P373" s="8">
        <f t="shared" si="67"/>
        <v>25007011.494252875</v>
      </c>
      <c r="Q373" s="12">
        <f t="shared" si="68"/>
        <v>1355000</v>
      </c>
      <c r="R373" s="13">
        <f t="shared" si="69"/>
        <v>5.4184803342510829E-2</v>
      </c>
    </row>
    <row r="374" spans="1:18" x14ac:dyDescent="0.3">
      <c r="A374" s="1">
        <v>16400001</v>
      </c>
      <c r="B374" s="1">
        <v>16450000</v>
      </c>
      <c r="C374" s="9">
        <v>15900</v>
      </c>
      <c r="E374" s="3">
        <f t="shared" si="70"/>
        <v>2138500</v>
      </c>
      <c r="F374" s="3">
        <f t="shared" si="71"/>
        <v>1858850</v>
      </c>
      <c r="G374" s="2">
        <f t="shared" si="60"/>
        <v>8.0790273556231001E-2</v>
      </c>
      <c r="H374" s="8">
        <f t="shared" si="61"/>
        <v>30000</v>
      </c>
      <c r="I374" s="8">
        <f t="shared" si="62"/>
        <v>1359000</v>
      </c>
      <c r="L374" s="8">
        <f t="shared" si="63"/>
        <v>21822250</v>
      </c>
      <c r="M374" s="8">
        <f t="shared" si="64"/>
        <v>23215159.574468087</v>
      </c>
      <c r="N374" s="12">
        <f t="shared" si="65"/>
        <v>1359000</v>
      </c>
      <c r="O374" s="13">
        <f t="shared" si="66"/>
        <v>5.8539334853188824E-2</v>
      </c>
      <c r="P374" s="8">
        <f t="shared" si="67"/>
        <v>25083045.977011494</v>
      </c>
      <c r="Q374" s="12">
        <f t="shared" si="68"/>
        <v>1359000</v>
      </c>
      <c r="R374" s="13">
        <f t="shared" si="69"/>
        <v>5.4180022683270518E-2</v>
      </c>
    </row>
    <row r="375" spans="1:18" x14ac:dyDescent="0.3">
      <c r="A375" s="1">
        <v>16450001</v>
      </c>
      <c r="B375" s="1">
        <v>16500000</v>
      </c>
      <c r="C375" s="9">
        <v>15900</v>
      </c>
      <c r="E375" s="3">
        <f t="shared" si="70"/>
        <v>2145000</v>
      </c>
      <c r="F375" s="3">
        <f t="shared" si="71"/>
        <v>1864500</v>
      </c>
      <c r="G375" s="2">
        <f t="shared" si="60"/>
        <v>8.0787878787878784E-2</v>
      </c>
      <c r="H375" s="8">
        <f t="shared" si="61"/>
        <v>30000</v>
      </c>
      <c r="I375" s="8">
        <f t="shared" si="62"/>
        <v>1363000</v>
      </c>
      <c r="L375" s="8">
        <f t="shared" si="63"/>
        <v>21888400</v>
      </c>
      <c r="M375" s="8">
        <f t="shared" si="64"/>
        <v>23285531.91489362</v>
      </c>
      <c r="N375" s="12">
        <f t="shared" si="65"/>
        <v>1363000</v>
      </c>
      <c r="O375" s="13">
        <f t="shared" si="66"/>
        <v>5.8534200763874923E-2</v>
      </c>
      <c r="P375" s="8">
        <f t="shared" si="67"/>
        <v>25159080.459770113</v>
      </c>
      <c r="Q375" s="12">
        <f t="shared" si="68"/>
        <v>1363000</v>
      </c>
      <c r="R375" s="13">
        <f t="shared" si="69"/>
        <v>5.4175270919756588E-2</v>
      </c>
    </row>
    <row r="376" spans="1:18" x14ac:dyDescent="0.3">
      <c r="A376" s="1">
        <v>16500001</v>
      </c>
      <c r="B376" s="1">
        <v>16550000</v>
      </c>
      <c r="C376" s="9">
        <v>15900</v>
      </c>
      <c r="E376" s="3">
        <f t="shared" si="70"/>
        <v>2151500</v>
      </c>
      <c r="F376" s="3">
        <f t="shared" si="71"/>
        <v>1870150</v>
      </c>
      <c r="G376" s="2">
        <f t="shared" si="60"/>
        <v>8.0785498489425983E-2</v>
      </c>
      <c r="H376" s="8">
        <f t="shared" si="61"/>
        <v>30000</v>
      </c>
      <c r="I376" s="8">
        <f t="shared" si="62"/>
        <v>1367000</v>
      </c>
      <c r="L376" s="8">
        <f t="shared" si="63"/>
        <v>21954550</v>
      </c>
      <c r="M376" s="8">
        <f t="shared" si="64"/>
        <v>23355904.255319152</v>
      </c>
      <c r="N376" s="12">
        <f t="shared" si="65"/>
        <v>1367000</v>
      </c>
      <c r="O376" s="13">
        <f t="shared" si="66"/>
        <v>5.8529097613023259E-2</v>
      </c>
      <c r="P376" s="8">
        <f t="shared" si="67"/>
        <v>25235114.942528736</v>
      </c>
      <c r="Q376" s="12">
        <f t="shared" si="68"/>
        <v>1367000</v>
      </c>
      <c r="R376" s="13">
        <f t="shared" si="69"/>
        <v>5.4170547790776853E-2</v>
      </c>
    </row>
    <row r="377" spans="1:18" x14ac:dyDescent="0.3">
      <c r="A377" s="1">
        <v>16550001</v>
      </c>
      <c r="B377" s="1">
        <v>16600000</v>
      </c>
      <c r="C377" s="9">
        <v>15900</v>
      </c>
      <c r="E377" s="3">
        <f t="shared" si="70"/>
        <v>2158000</v>
      </c>
      <c r="F377" s="3">
        <f t="shared" si="71"/>
        <v>1875800</v>
      </c>
      <c r="G377" s="2">
        <f t="shared" si="60"/>
        <v>8.0783132530120483E-2</v>
      </c>
      <c r="H377" s="8">
        <f t="shared" si="61"/>
        <v>30000</v>
      </c>
      <c r="I377" s="8">
        <f t="shared" si="62"/>
        <v>1371000</v>
      </c>
      <c r="L377" s="8">
        <f t="shared" si="63"/>
        <v>22020700</v>
      </c>
      <c r="M377" s="8">
        <f t="shared" si="64"/>
        <v>23426276.595744681</v>
      </c>
      <c r="N377" s="12">
        <f t="shared" si="65"/>
        <v>1371000</v>
      </c>
      <c r="O377" s="13">
        <f t="shared" si="66"/>
        <v>5.8524025121817203E-2</v>
      </c>
      <c r="P377" s="8">
        <f t="shared" si="67"/>
        <v>25311149.425287355</v>
      </c>
      <c r="Q377" s="12">
        <f t="shared" si="68"/>
        <v>1371000</v>
      </c>
      <c r="R377" s="13">
        <f t="shared" si="69"/>
        <v>5.4165853038277624E-2</v>
      </c>
    </row>
    <row r="378" spans="1:18" x14ac:dyDescent="0.3">
      <c r="A378" s="1">
        <v>16600001</v>
      </c>
      <c r="B378" s="1">
        <v>16650000</v>
      </c>
      <c r="C378" s="9">
        <v>15900</v>
      </c>
      <c r="E378" s="3">
        <f t="shared" si="70"/>
        <v>2164500</v>
      </c>
      <c r="F378" s="3">
        <f t="shared" si="71"/>
        <v>1881450</v>
      </c>
      <c r="G378" s="2">
        <f t="shared" si="60"/>
        <v>8.0780780780780784E-2</v>
      </c>
      <c r="H378" s="8">
        <f t="shared" si="61"/>
        <v>30000</v>
      </c>
      <c r="I378" s="8">
        <f t="shared" si="62"/>
        <v>1375000</v>
      </c>
      <c r="L378" s="8">
        <f t="shared" si="63"/>
        <v>22086850</v>
      </c>
      <c r="M378" s="8">
        <f t="shared" si="64"/>
        <v>23496648.936170213</v>
      </c>
      <c r="N378" s="12">
        <f t="shared" si="65"/>
        <v>1375000</v>
      </c>
      <c r="O378" s="13">
        <f t="shared" si="66"/>
        <v>5.8518983014780285E-2</v>
      </c>
      <c r="P378" s="8">
        <f t="shared" si="67"/>
        <v>25387183.908045977</v>
      </c>
      <c r="Q378" s="12">
        <f t="shared" si="68"/>
        <v>1375000</v>
      </c>
      <c r="R378" s="13">
        <f t="shared" si="69"/>
        <v>5.4161186407296648E-2</v>
      </c>
    </row>
    <row r="379" spans="1:18" x14ac:dyDescent="0.3">
      <c r="A379" s="1">
        <v>16650001</v>
      </c>
      <c r="B379" s="1">
        <v>16700000</v>
      </c>
      <c r="C379" s="9">
        <v>15900</v>
      </c>
      <c r="E379" s="3">
        <f t="shared" si="70"/>
        <v>2171000</v>
      </c>
      <c r="F379" s="3">
        <f t="shared" si="71"/>
        <v>1887100</v>
      </c>
      <c r="G379" s="2">
        <f t="shared" si="60"/>
        <v>8.0778443113772455E-2</v>
      </c>
      <c r="H379" s="8">
        <f t="shared" si="61"/>
        <v>30000</v>
      </c>
      <c r="I379" s="8">
        <f t="shared" si="62"/>
        <v>1379000</v>
      </c>
      <c r="L379" s="8">
        <f t="shared" si="63"/>
        <v>22153000</v>
      </c>
      <c r="M379" s="8">
        <f t="shared" si="64"/>
        <v>23567021.276595745</v>
      </c>
      <c r="N379" s="12">
        <f t="shared" si="65"/>
        <v>1379000</v>
      </c>
      <c r="O379" s="13">
        <f t="shared" si="66"/>
        <v>5.8513971019726448E-2</v>
      </c>
      <c r="P379" s="8">
        <f t="shared" si="67"/>
        <v>25463218.390804596</v>
      </c>
      <c r="Q379" s="12">
        <f t="shared" si="68"/>
        <v>1379000</v>
      </c>
      <c r="R379" s="13">
        <f t="shared" si="69"/>
        <v>5.4156547645917034E-2</v>
      </c>
    </row>
    <row r="380" spans="1:18" x14ac:dyDescent="0.3">
      <c r="A380" s="1">
        <v>16700001</v>
      </c>
      <c r="B380" s="1">
        <v>16750000</v>
      </c>
      <c r="C380" s="9">
        <v>15900</v>
      </c>
      <c r="E380" s="3">
        <f t="shared" si="70"/>
        <v>2177500</v>
      </c>
      <c r="F380" s="3">
        <f t="shared" si="71"/>
        <v>1892750</v>
      </c>
      <c r="G380" s="2">
        <f t="shared" si="60"/>
        <v>8.0776119402985069E-2</v>
      </c>
      <c r="H380" s="8">
        <f t="shared" si="61"/>
        <v>30000</v>
      </c>
      <c r="I380" s="8">
        <f t="shared" si="62"/>
        <v>1383000</v>
      </c>
      <c r="L380" s="8">
        <f t="shared" si="63"/>
        <v>22219150</v>
      </c>
      <c r="M380" s="8">
        <f t="shared" si="64"/>
        <v>23637393.617021278</v>
      </c>
      <c r="N380" s="12">
        <f t="shared" si="65"/>
        <v>1383000</v>
      </c>
      <c r="O380" s="13">
        <f t="shared" si="66"/>
        <v>5.8508988867710957E-2</v>
      </c>
      <c r="P380" s="8">
        <f t="shared" si="67"/>
        <v>25539252.873563219</v>
      </c>
      <c r="Q380" s="12">
        <f t="shared" si="68"/>
        <v>1383000</v>
      </c>
      <c r="R380" s="13">
        <f t="shared" si="69"/>
        <v>5.4151936505221848E-2</v>
      </c>
    </row>
    <row r="381" spans="1:18" x14ac:dyDescent="0.3">
      <c r="A381" s="1">
        <v>16750001</v>
      </c>
      <c r="B381" s="1">
        <v>16800000</v>
      </c>
      <c r="C381" s="9">
        <v>15900</v>
      </c>
      <c r="E381" s="3">
        <f t="shared" si="70"/>
        <v>2184000</v>
      </c>
      <c r="F381" s="3">
        <f t="shared" si="71"/>
        <v>1898400</v>
      </c>
      <c r="G381" s="2">
        <f t="shared" si="60"/>
        <v>8.0773809523809526E-2</v>
      </c>
      <c r="H381" s="8">
        <f t="shared" si="61"/>
        <v>30000</v>
      </c>
      <c r="I381" s="8">
        <f t="shared" si="62"/>
        <v>1387000</v>
      </c>
      <c r="L381" s="8">
        <f t="shared" si="63"/>
        <v>22285300</v>
      </c>
      <c r="M381" s="8">
        <f t="shared" si="64"/>
        <v>23707765.95744681</v>
      </c>
      <c r="N381" s="12">
        <f t="shared" si="65"/>
        <v>1387000</v>
      </c>
      <c r="O381" s="13">
        <f t="shared" si="66"/>
        <v>5.8504036292982363E-2</v>
      </c>
      <c r="P381" s="8">
        <f t="shared" si="67"/>
        <v>25615287.356321838</v>
      </c>
      <c r="Q381" s="12">
        <f t="shared" si="68"/>
        <v>1387000</v>
      </c>
      <c r="R381" s="13">
        <f t="shared" si="69"/>
        <v>5.4147352739249643E-2</v>
      </c>
    </row>
    <row r="382" spans="1:18" x14ac:dyDescent="0.3">
      <c r="A382" s="1">
        <v>16800001</v>
      </c>
      <c r="B382" s="1">
        <v>16850000</v>
      </c>
      <c r="C382" s="9">
        <v>15900</v>
      </c>
      <c r="E382" s="3">
        <f t="shared" si="70"/>
        <v>2190500</v>
      </c>
      <c r="F382" s="3">
        <f t="shared" si="71"/>
        <v>1904050</v>
      </c>
      <c r="G382" s="2">
        <f t="shared" si="60"/>
        <v>8.0771513353115734E-2</v>
      </c>
      <c r="H382" s="8">
        <f t="shared" si="61"/>
        <v>30000</v>
      </c>
      <c r="I382" s="8">
        <f t="shared" si="62"/>
        <v>1391000.0000000002</v>
      </c>
      <c r="L382" s="8">
        <f t="shared" si="63"/>
        <v>22351450</v>
      </c>
      <c r="M382" s="8">
        <f t="shared" si="64"/>
        <v>23778138.297872342</v>
      </c>
      <c r="N382" s="12">
        <f t="shared" si="65"/>
        <v>1391000</v>
      </c>
      <c r="O382" s="13">
        <f t="shared" si="66"/>
        <v>5.8499113032935222E-2</v>
      </c>
      <c r="P382" s="8">
        <f t="shared" si="67"/>
        <v>25691321.83908046</v>
      </c>
      <c r="Q382" s="12">
        <f t="shared" si="68"/>
        <v>1391000</v>
      </c>
      <c r="R382" s="13">
        <f t="shared" si="69"/>
        <v>5.4142796104950687E-2</v>
      </c>
    </row>
    <row r="383" spans="1:18" x14ac:dyDescent="0.3">
      <c r="A383" s="1">
        <v>16850001</v>
      </c>
      <c r="B383" s="1">
        <v>16900000</v>
      </c>
      <c r="C383" s="9">
        <v>15900</v>
      </c>
      <c r="E383" s="3">
        <f t="shared" si="70"/>
        <v>2197000</v>
      </c>
      <c r="F383" s="3">
        <f t="shared" si="71"/>
        <v>1909700</v>
      </c>
      <c r="G383" s="2">
        <f t="shared" si="60"/>
        <v>8.0769230769230774E-2</v>
      </c>
      <c r="H383" s="8">
        <f t="shared" si="61"/>
        <v>30000</v>
      </c>
      <c r="I383" s="8">
        <f t="shared" si="62"/>
        <v>1395000</v>
      </c>
      <c r="L383" s="8">
        <f t="shared" si="63"/>
        <v>22417600</v>
      </c>
      <c r="M383" s="8">
        <f t="shared" si="64"/>
        <v>23848510.638297874</v>
      </c>
      <c r="N383" s="12">
        <f t="shared" si="65"/>
        <v>1395000</v>
      </c>
      <c r="O383" s="13">
        <f t="shared" si="66"/>
        <v>5.849421882806366E-2</v>
      </c>
      <c r="P383" s="8">
        <f t="shared" si="67"/>
        <v>25767356.321839079</v>
      </c>
      <c r="Q383" s="12">
        <f t="shared" si="68"/>
        <v>1395000</v>
      </c>
      <c r="R383" s="13">
        <f t="shared" si="69"/>
        <v>5.4138266362144034E-2</v>
      </c>
    </row>
    <row r="384" spans="1:18" x14ac:dyDescent="0.3">
      <c r="A384" s="1">
        <v>16900001</v>
      </c>
      <c r="B384" s="1">
        <v>16950000</v>
      </c>
      <c r="C384" s="9">
        <v>15900</v>
      </c>
      <c r="E384" s="3">
        <f t="shared" si="70"/>
        <v>2203500</v>
      </c>
      <c r="F384" s="3">
        <f t="shared" si="71"/>
        <v>1915350</v>
      </c>
      <c r="G384" s="2">
        <f t="shared" si="60"/>
        <v>8.0766961651917407E-2</v>
      </c>
      <c r="H384" s="8">
        <f t="shared" si="61"/>
        <v>30000</v>
      </c>
      <c r="I384" s="8">
        <f t="shared" si="62"/>
        <v>1399000</v>
      </c>
      <c r="L384" s="8">
        <f t="shared" si="63"/>
        <v>22483750</v>
      </c>
      <c r="M384" s="8">
        <f t="shared" si="64"/>
        <v>23918882.978723407</v>
      </c>
      <c r="N384" s="12">
        <f t="shared" si="65"/>
        <v>1399000</v>
      </c>
      <c r="O384" s="13">
        <f t="shared" si="66"/>
        <v>5.8489353421915823E-2</v>
      </c>
      <c r="P384" s="8">
        <f t="shared" si="67"/>
        <v>25843390.804597702</v>
      </c>
      <c r="Q384" s="12">
        <f t="shared" si="68"/>
        <v>1399000</v>
      </c>
      <c r="R384" s="13">
        <f t="shared" si="69"/>
        <v>5.4133763273475285E-2</v>
      </c>
    </row>
    <row r="385" spans="1:18" x14ac:dyDescent="0.3">
      <c r="A385" s="1">
        <v>16950001</v>
      </c>
      <c r="B385" s="1">
        <v>17000000</v>
      </c>
      <c r="C385" s="9">
        <v>15900</v>
      </c>
      <c r="E385" s="3">
        <f t="shared" si="70"/>
        <v>2210000</v>
      </c>
      <c r="F385" s="3">
        <f t="shared" si="71"/>
        <v>1921000</v>
      </c>
      <c r="G385" s="2">
        <f t="shared" si="60"/>
        <v>8.0764705882352947E-2</v>
      </c>
      <c r="H385" s="8">
        <f t="shared" si="61"/>
        <v>30000</v>
      </c>
      <c r="I385" s="8">
        <f t="shared" si="62"/>
        <v>1403000</v>
      </c>
      <c r="L385" s="8">
        <f t="shared" si="63"/>
        <v>22549900</v>
      </c>
      <c r="M385" s="8">
        <f t="shared" si="64"/>
        <v>23989255.319148939</v>
      </c>
      <c r="N385" s="12">
        <f t="shared" si="65"/>
        <v>1403000</v>
      </c>
      <c r="O385" s="13">
        <f t="shared" si="66"/>
        <v>5.8484516561049041E-2</v>
      </c>
      <c r="P385" s="8">
        <f t="shared" si="67"/>
        <v>25919425.287356321</v>
      </c>
      <c r="Q385" s="12">
        <f t="shared" si="68"/>
        <v>1403000</v>
      </c>
      <c r="R385" s="13">
        <f t="shared" si="69"/>
        <v>5.4129286604375187E-2</v>
      </c>
    </row>
    <row r="386" spans="1:18" x14ac:dyDescent="0.3">
      <c r="A386" s="1">
        <v>17000001</v>
      </c>
      <c r="B386" s="1">
        <v>17050000</v>
      </c>
      <c r="C386" s="9">
        <v>15900</v>
      </c>
      <c r="E386" s="3">
        <f t="shared" si="70"/>
        <v>2216500</v>
      </c>
      <c r="F386" s="3">
        <f t="shared" si="71"/>
        <v>1926650</v>
      </c>
      <c r="G386" s="2">
        <f t="shared" si="60"/>
        <v>8.0762463343108506E-2</v>
      </c>
      <c r="H386" s="8">
        <f t="shared" si="61"/>
        <v>30000</v>
      </c>
      <c r="I386" s="8">
        <f t="shared" si="62"/>
        <v>1407000</v>
      </c>
      <c r="L386" s="8">
        <f t="shared" si="63"/>
        <v>22616050</v>
      </c>
      <c r="M386" s="8">
        <f t="shared" si="64"/>
        <v>24059627.659574468</v>
      </c>
      <c r="N386" s="12">
        <f t="shared" si="65"/>
        <v>1407000</v>
      </c>
      <c r="O386" s="13">
        <f t="shared" si="66"/>
        <v>5.8479707994985863E-2</v>
      </c>
      <c r="P386" s="8">
        <f t="shared" si="67"/>
        <v>25995459.770114943</v>
      </c>
      <c r="Q386" s="12">
        <f t="shared" si="68"/>
        <v>1407000</v>
      </c>
      <c r="R386" s="13">
        <f t="shared" si="69"/>
        <v>5.4124836123018827E-2</v>
      </c>
    </row>
    <row r="387" spans="1:18" x14ac:dyDescent="0.3">
      <c r="A387" s="1">
        <v>17050001</v>
      </c>
      <c r="B387" s="1">
        <v>17100000</v>
      </c>
      <c r="C387" s="9">
        <v>15900</v>
      </c>
      <c r="E387" s="3">
        <f t="shared" si="70"/>
        <v>2223000</v>
      </c>
      <c r="F387" s="3">
        <f t="shared" si="71"/>
        <v>1932300</v>
      </c>
      <c r="G387" s="2">
        <f t="shared" ref="G387:G446" si="72">MIN($K$2,MAX($K$3,$K$4/B387+$K$3))</f>
        <v>8.0760233918128657E-2</v>
      </c>
      <c r="H387" s="8">
        <f t="shared" ref="H387:H446" si="73">MIN($K$11,$K$9+$K$10*(B387-$B$2))</f>
        <v>30000</v>
      </c>
      <c r="I387" s="8">
        <f t="shared" ref="I387:I446" si="74">B387*G387+H387</f>
        <v>1411000</v>
      </c>
      <c r="L387" s="8">
        <f t="shared" ref="L387:L446" si="75">B387+C387+E387+F387+I387</f>
        <v>22682200</v>
      </c>
      <c r="M387" s="8">
        <f t="shared" ref="M387:M446" si="76">L387/(1-$K$14)</f>
        <v>24130000</v>
      </c>
      <c r="N387" s="12">
        <f t="shared" ref="N387:N446" si="77">M387*(1-$K$14)-B387-C387-E387-F387</f>
        <v>1411000</v>
      </c>
      <c r="O387" s="13">
        <f t="shared" ref="O387:O446" si="78">N387/M387</f>
        <v>5.8474927476170745E-2</v>
      </c>
      <c r="P387" s="8">
        <f t="shared" ref="P387:P446" si="79">L387/(1-$K$15)</f>
        <v>26071494.252873562</v>
      </c>
      <c r="Q387" s="12">
        <f t="shared" ref="Q387:Q446" si="80">P387*(1-$K$15)-B387-C387-E387-F387</f>
        <v>1411000</v>
      </c>
      <c r="R387" s="13">
        <f t="shared" ref="R387:R446" si="81">Q387/P387</f>
        <v>5.4120411600285689E-2</v>
      </c>
    </row>
    <row r="388" spans="1:18" x14ac:dyDescent="0.3">
      <c r="A388" s="1">
        <v>17100001</v>
      </c>
      <c r="B388" s="1">
        <v>17150000</v>
      </c>
      <c r="C388" s="9">
        <v>15900</v>
      </c>
      <c r="E388" s="3">
        <f t="shared" si="70"/>
        <v>2229500</v>
      </c>
      <c r="F388" s="3">
        <f t="shared" si="71"/>
        <v>1937950</v>
      </c>
      <c r="G388" s="2">
        <f t="shared" si="72"/>
        <v>8.0758017492711373E-2</v>
      </c>
      <c r="H388" s="8">
        <f t="shared" si="73"/>
        <v>30000</v>
      </c>
      <c r="I388" s="8">
        <f t="shared" si="74"/>
        <v>1415000</v>
      </c>
      <c r="L388" s="8">
        <f t="shared" si="75"/>
        <v>22748350</v>
      </c>
      <c r="M388" s="8">
        <f t="shared" si="76"/>
        <v>24200372.340425532</v>
      </c>
      <c r="N388" s="12">
        <f t="shared" si="77"/>
        <v>1415000</v>
      </c>
      <c r="O388" s="13">
        <f t="shared" si="78"/>
        <v>5.8470174759927641E-2</v>
      </c>
      <c r="P388" s="8">
        <f t="shared" si="79"/>
        <v>26147528.735632185</v>
      </c>
      <c r="Q388" s="12">
        <f t="shared" si="80"/>
        <v>1415000</v>
      </c>
      <c r="R388" s="13">
        <f t="shared" si="81"/>
        <v>5.4116012809720261E-2</v>
      </c>
    </row>
    <row r="389" spans="1:18" x14ac:dyDescent="0.3">
      <c r="A389" s="1">
        <v>17150001</v>
      </c>
      <c r="B389" s="1">
        <v>17200000</v>
      </c>
      <c r="C389" s="9">
        <v>15900</v>
      </c>
      <c r="E389" s="3">
        <f t="shared" si="70"/>
        <v>2236000</v>
      </c>
      <c r="F389" s="3">
        <f t="shared" si="71"/>
        <v>1943600</v>
      </c>
      <c r="G389" s="2">
        <f t="shared" si="72"/>
        <v>8.0755813953488367E-2</v>
      </c>
      <c r="H389" s="8">
        <f t="shared" si="73"/>
        <v>30000</v>
      </c>
      <c r="I389" s="8">
        <f t="shared" si="74"/>
        <v>1419000</v>
      </c>
      <c r="L389" s="8">
        <f t="shared" si="75"/>
        <v>22814500</v>
      </c>
      <c r="M389" s="8">
        <f t="shared" si="76"/>
        <v>24270744.680851065</v>
      </c>
      <c r="N389" s="12">
        <f t="shared" si="77"/>
        <v>1419000</v>
      </c>
      <c r="O389" s="13">
        <f t="shared" si="78"/>
        <v>5.846544960441824E-2</v>
      </c>
      <c r="P389" s="8">
        <f t="shared" si="79"/>
        <v>26223563.218390804</v>
      </c>
      <c r="Q389" s="12">
        <f t="shared" si="80"/>
        <v>1419000</v>
      </c>
      <c r="R389" s="13">
        <f t="shared" si="81"/>
        <v>5.4111639527493482E-2</v>
      </c>
    </row>
    <row r="390" spans="1:18" x14ac:dyDescent="0.3">
      <c r="A390" s="1">
        <v>17200001</v>
      </c>
      <c r="B390" s="1">
        <v>17250000</v>
      </c>
      <c r="C390" s="9">
        <v>15900</v>
      </c>
      <c r="E390" s="3">
        <f t="shared" si="70"/>
        <v>2242500</v>
      </c>
      <c r="F390" s="3">
        <f t="shared" si="71"/>
        <v>1949250</v>
      </c>
      <c r="G390" s="2">
        <f t="shared" si="72"/>
        <v>8.0753623188405801E-2</v>
      </c>
      <c r="H390" s="8">
        <f t="shared" si="73"/>
        <v>30000</v>
      </c>
      <c r="I390" s="8">
        <f t="shared" si="74"/>
        <v>1423000</v>
      </c>
      <c r="L390" s="8">
        <f t="shared" si="75"/>
        <v>22880650</v>
      </c>
      <c r="M390" s="8">
        <f t="shared" si="76"/>
        <v>24341117.021276597</v>
      </c>
      <c r="N390" s="12">
        <f t="shared" si="77"/>
        <v>1423000</v>
      </c>
      <c r="O390" s="13">
        <f t="shared" si="78"/>
        <v>5.8460751770600922E-2</v>
      </c>
      <c r="P390" s="8">
        <f t="shared" si="79"/>
        <v>26299597.701149426</v>
      </c>
      <c r="Q390" s="12">
        <f t="shared" si="80"/>
        <v>1423000</v>
      </c>
      <c r="R390" s="13">
        <f t="shared" si="81"/>
        <v>5.4107291532364682E-2</v>
      </c>
    </row>
    <row r="391" spans="1:18" x14ac:dyDescent="0.3">
      <c r="A391" s="1">
        <v>17250001</v>
      </c>
      <c r="B391" s="1">
        <v>17300000</v>
      </c>
      <c r="C391" s="9">
        <v>15900</v>
      </c>
      <c r="E391" s="3">
        <f t="shared" si="70"/>
        <v>2249000</v>
      </c>
      <c r="F391" s="3">
        <f t="shared" si="71"/>
        <v>1954900</v>
      </c>
      <c r="G391" s="2">
        <f t="shared" si="72"/>
        <v>8.0751445086705204E-2</v>
      </c>
      <c r="H391" s="8">
        <f t="shared" si="73"/>
        <v>30000</v>
      </c>
      <c r="I391" s="8">
        <f t="shared" si="74"/>
        <v>1427000</v>
      </c>
      <c r="L391" s="8">
        <f t="shared" si="75"/>
        <v>22946800</v>
      </c>
      <c r="M391" s="8">
        <f t="shared" si="76"/>
        <v>24411489.361702129</v>
      </c>
      <c r="N391" s="12">
        <f t="shared" si="77"/>
        <v>1427000</v>
      </c>
      <c r="O391" s="13">
        <f t="shared" si="78"/>
        <v>5.8456081022190451E-2</v>
      </c>
      <c r="P391" s="8">
        <f t="shared" si="79"/>
        <v>26375632.183908045</v>
      </c>
      <c r="Q391" s="12">
        <f t="shared" si="80"/>
        <v>1427000</v>
      </c>
      <c r="R391" s="13">
        <f t="shared" si="81"/>
        <v>5.4102968605644362E-2</v>
      </c>
    </row>
    <row r="392" spans="1:18" x14ac:dyDescent="0.3">
      <c r="A392" s="1">
        <v>17300001</v>
      </c>
      <c r="B392" s="1">
        <v>17350000</v>
      </c>
      <c r="C392" s="9">
        <v>15900</v>
      </c>
      <c r="E392" s="3">
        <f t="shared" si="70"/>
        <v>2255500</v>
      </c>
      <c r="F392" s="3">
        <f t="shared" si="71"/>
        <v>1960550</v>
      </c>
      <c r="G392" s="2">
        <f t="shared" si="72"/>
        <v>8.07492795389049E-2</v>
      </c>
      <c r="H392" s="8">
        <f t="shared" si="73"/>
        <v>30000</v>
      </c>
      <c r="I392" s="8">
        <f t="shared" si="74"/>
        <v>1431000</v>
      </c>
      <c r="L392" s="8">
        <f t="shared" si="75"/>
        <v>23012950</v>
      </c>
      <c r="M392" s="8">
        <f t="shared" si="76"/>
        <v>24481861.702127662</v>
      </c>
      <c r="N392" s="12">
        <f t="shared" si="77"/>
        <v>1431000</v>
      </c>
      <c r="O392" s="13">
        <f t="shared" si="78"/>
        <v>5.84514371256184E-2</v>
      </c>
      <c r="P392" s="8">
        <f t="shared" si="79"/>
        <v>26451666.666666668</v>
      </c>
      <c r="Q392" s="12">
        <f t="shared" si="80"/>
        <v>1431000</v>
      </c>
      <c r="R392" s="13">
        <f t="shared" si="81"/>
        <v>5.4098670531157453E-2</v>
      </c>
    </row>
    <row r="393" spans="1:18" x14ac:dyDescent="0.3">
      <c r="A393" s="1">
        <v>17350001</v>
      </c>
      <c r="B393" s="1">
        <v>17400000</v>
      </c>
      <c r="C393" s="9">
        <v>15900</v>
      </c>
      <c r="E393" s="3">
        <f t="shared" si="70"/>
        <v>2262000</v>
      </c>
      <c r="F393" s="3">
        <f t="shared" si="71"/>
        <v>1966200</v>
      </c>
      <c r="G393" s="2">
        <f t="shared" si="72"/>
        <v>8.0747126436781613E-2</v>
      </c>
      <c r="H393" s="8">
        <f t="shared" si="73"/>
        <v>30000</v>
      </c>
      <c r="I393" s="8">
        <f t="shared" si="74"/>
        <v>1435000</v>
      </c>
      <c r="L393" s="8">
        <f t="shared" si="75"/>
        <v>23079100</v>
      </c>
      <c r="M393" s="8">
        <f t="shared" si="76"/>
        <v>24552234.042553194</v>
      </c>
      <c r="N393" s="12">
        <f t="shared" si="77"/>
        <v>1435000</v>
      </c>
      <c r="O393" s="13">
        <f t="shared" si="78"/>
        <v>5.8446819849994142E-2</v>
      </c>
      <c r="P393" s="8">
        <f t="shared" si="79"/>
        <v>26527701.149425287</v>
      </c>
      <c r="Q393" s="12">
        <f t="shared" si="80"/>
        <v>1435000</v>
      </c>
      <c r="R393" s="13">
        <f t="shared" si="81"/>
        <v>5.4094397095207351E-2</v>
      </c>
    </row>
    <row r="394" spans="1:18" x14ac:dyDescent="0.3">
      <c r="A394" s="1">
        <v>17400001</v>
      </c>
      <c r="B394" s="1">
        <v>17450000</v>
      </c>
      <c r="C394" s="9">
        <v>15900</v>
      </c>
      <c r="E394" s="3">
        <f t="shared" si="70"/>
        <v>2268500</v>
      </c>
      <c r="F394" s="3">
        <f t="shared" si="71"/>
        <v>1971850</v>
      </c>
      <c r="G394" s="2">
        <f t="shared" si="72"/>
        <v>8.0744985673352435E-2</v>
      </c>
      <c r="H394" s="8">
        <f t="shared" si="73"/>
        <v>30000</v>
      </c>
      <c r="I394" s="8">
        <f t="shared" si="74"/>
        <v>1439000</v>
      </c>
      <c r="L394" s="8">
        <f t="shared" si="75"/>
        <v>23145250</v>
      </c>
      <c r="M394" s="8">
        <f t="shared" si="76"/>
        <v>24622606.382978726</v>
      </c>
      <c r="N394" s="12">
        <f t="shared" si="77"/>
        <v>1439000</v>
      </c>
      <c r="O394" s="13">
        <f t="shared" si="78"/>
        <v>5.8442228967066669E-2</v>
      </c>
      <c r="P394" s="8">
        <f t="shared" si="79"/>
        <v>26603735.632183909</v>
      </c>
      <c r="Q394" s="12">
        <f t="shared" si="80"/>
        <v>1439000</v>
      </c>
      <c r="R394" s="13">
        <f t="shared" si="81"/>
        <v>5.4090148086540432E-2</v>
      </c>
    </row>
    <row r="395" spans="1:18" x14ac:dyDescent="0.3">
      <c r="A395" s="1">
        <v>17450001</v>
      </c>
      <c r="B395" s="1">
        <v>17500000</v>
      </c>
      <c r="C395" s="9">
        <v>15900</v>
      </c>
      <c r="E395" s="3">
        <f t="shared" si="70"/>
        <v>2275000</v>
      </c>
      <c r="F395" s="3">
        <f t="shared" si="71"/>
        <v>1977500</v>
      </c>
      <c r="G395" s="2">
        <f t="shared" si="72"/>
        <v>8.0742857142857144E-2</v>
      </c>
      <c r="H395" s="8">
        <f t="shared" si="73"/>
        <v>30000</v>
      </c>
      <c r="I395" s="8">
        <f t="shared" si="74"/>
        <v>1443000</v>
      </c>
      <c r="L395" s="8">
        <f t="shared" si="75"/>
        <v>23211400</v>
      </c>
      <c r="M395" s="8">
        <f t="shared" si="76"/>
        <v>24692978.723404258</v>
      </c>
      <c r="N395" s="12">
        <f t="shared" si="77"/>
        <v>1443000</v>
      </c>
      <c r="O395" s="13">
        <f t="shared" si="78"/>
        <v>5.8437664251186912E-2</v>
      </c>
      <c r="P395" s="8">
        <f t="shared" si="79"/>
        <v>26679770.114942528</v>
      </c>
      <c r="Q395" s="12">
        <f t="shared" si="80"/>
        <v>1443000</v>
      </c>
      <c r="R395" s="13">
        <f t="shared" si="81"/>
        <v>5.4085923296311296E-2</v>
      </c>
    </row>
    <row r="396" spans="1:18" x14ac:dyDescent="0.3">
      <c r="A396" s="1">
        <v>17500001</v>
      </c>
      <c r="B396" s="1">
        <v>17550000</v>
      </c>
      <c r="C396" s="9">
        <v>15900</v>
      </c>
      <c r="E396" s="3">
        <f t="shared" si="70"/>
        <v>2281500</v>
      </c>
      <c r="F396" s="3">
        <f t="shared" si="71"/>
        <v>1983150</v>
      </c>
      <c r="G396" s="2">
        <f t="shared" si="72"/>
        <v>8.0740740740740738E-2</v>
      </c>
      <c r="H396" s="8">
        <f t="shared" si="73"/>
        <v>30000</v>
      </c>
      <c r="I396" s="8">
        <f t="shared" si="74"/>
        <v>1447000</v>
      </c>
      <c r="L396" s="8">
        <f t="shared" si="75"/>
        <v>23277550</v>
      </c>
      <c r="M396" s="8">
        <f t="shared" si="76"/>
        <v>24763351.063829787</v>
      </c>
      <c r="N396" s="12">
        <f t="shared" si="77"/>
        <v>1447000</v>
      </c>
      <c r="O396" s="13">
        <f t="shared" si="78"/>
        <v>5.8433125479270799E-2</v>
      </c>
      <c r="P396" s="8">
        <f t="shared" si="79"/>
        <v>26755804.597701151</v>
      </c>
      <c r="Q396" s="12">
        <f t="shared" si="80"/>
        <v>1447000</v>
      </c>
      <c r="R396" s="13">
        <f t="shared" si="81"/>
        <v>5.4081722518048506E-2</v>
      </c>
    </row>
    <row r="397" spans="1:18" x14ac:dyDescent="0.3">
      <c r="A397" s="1">
        <v>17550001</v>
      </c>
      <c r="B397" s="1">
        <v>17600000</v>
      </c>
      <c r="C397" s="9">
        <v>15900</v>
      </c>
      <c r="E397" s="3">
        <f t="shared" si="70"/>
        <v>2288000</v>
      </c>
      <c r="F397" s="3">
        <f t="shared" si="71"/>
        <v>1988800</v>
      </c>
      <c r="G397" s="2">
        <f t="shared" si="72"/>
        <v>8.073863636363636E-2</v>
      </c>
      <c r="H397" s="8">
        <f t="shared" si="73"/>
        <v>30000</v>
      </c>
      <c r="I397" s="8">
        <f t="shared" si="74"/>
        <v>1451000</v>
      </c>
      <c r="L397" s="8">
        <f t="shared" si="75"/>
        <v>23343700</v>
      </c>
      <c r="M397" s="8">
        <f t="shared" si="76"/>
        <v>24833723.404255319</v>
      </c>
      <c r="N397" s="12">
        <f t="shared" si="77"/>
        <v>1451000</v>
      </c>
      <c r="O397" s="13">
        <f t="shared" si="78"/>
        <v>5.8428612430762902E-2</v>
      </c>
      <c r="P397" s="8">
        <f t="shared" si="79"/>
        <v>26831839.08045977</v>
      </c>
      <c r="Q397" s="12">
        <f t="shared" si="80"/>
        <v>1451000</v>
      </c>
      <c r="R397" s="13">
        <f t="shared" si="81"/>
        <v>5.4077545547620988E-2</v>
      </c>
    </row>
    <row r="398" spans="1:18" x14ac:dyDescent="0.3">
      <c r="A398" s="1">
        <v>17600001</v>
      </c>
      <c r="B398" s="1">
        <v>17650000</v>
      </c>
      <c r="C398" s="9">
        <v>15900</v>
      </c>
      <c r="E398" s="3">
        <f t="shared" si="70"/>
        <v>2294500</v>
      </c>
      <c r="F398" s="3">
        <f t="shared" si="71"/>
        <v>1994450</v>
      </c>
      <c r="G398" s="2">
        <f t="shared" si="72"/>
        <v>8.0736543909348438E-2</v>
      </c>
      <c r="H398" s="8">
        <f t="shared" si="73"/>
        <v>30000</v>
      </c>
      <c r="I398" s="8">
        <f t="shared" si="74"/>
        <v>1455000</v>
      </c>
      <c r="L398" s="8">
        <f t="shared" si="75"/>
        <v>23409850</v>
      </c>
      <c r="M398" s="8">
        <f t="shared" si="76"/>
        <v>24904095.744680852</v>
      </c>
      <c r="N398" s="12">
        <f t="shared" si="77"/>
        <v>1455000</v>
      </c>
      <c r="O398" s="13">
        <f t="shared" si="78"/>
        <v>5.842412488760073E-2</v>
      </c>
      <c r="P398" s="8">
        <f t="shared" si="79"/>
        <v>26907873.563218392</v>
      </c>
      <c r="Q398" s="12">
        <f t="shared" si="80"/>
        <v>1455000</v>
      </c>
      <c r="R398" s="13">
        <f t="shared" si="81"/>
        <v>5.4073392183204928E-2</v>
      </c>
    </row>
    <row r="399" spans="1:18" x14ac:dyDescent="0.3">
      <c r="A399" s="1">
        <v>17650001</v>
      </c>
      <c r="B399" s="1">
        <v>17700000</v>
      </c>
      <c r="C399" s="9">
        <v>15900</v>
      </c>
      <c r="E399" s="3">
        <f t="shared" si="70"/>
        <v>2301000</v>
      </c>
      <c r="F399" s="3">
        <f t="shared" si="71"/>
        <v>2000100</v>
      </c>
      <c r="G399" s="2">
        <f t="shared" si="72"/>
        <v>8.0734463276836158E-2</v>
      </c>
      <c r="H399" s="8">
        <f t="shared" si="73"/>
        <v>30000</v>
      </c>
      <c r="I399" s="8">
        <f t="shared" si="74"/>
        <v>1459000</v>
      </c>
      <c r="L399" s="8">
        <f t="shared" si="75"/>
        <v>23476000</v>
      </c>
      <c r="M399" s="8">
        <f t="shared" si="76"/>
        <v>24974468.085106384</v>
      </c>
      <c r="N399" s="12">
        <f t="shared" si="77"/>
        <v>1459000</v>
      </c>
      <c r="O399" s="13">
        <f t="shared" si="78"/>
        <v>5.8419662634179588E-2</v>
      </c>
      <c r="P399" s="8">
        <f t="shared" si="79"/>
        <v>26983908.045977011</v>
      </c>
      <c r="Q399" s="12">
        <f t="shared" si="80"/>
        <v>1459000</v>
      </c>
      <c r="R399" s="13">
        <f t="shared" si="81"/>
        <v>5.4069262225251317E-2</v>
      </c>
    </row>
    <row r="400" spans="1:18" x14ac:dyDescent="0.3">
      <c r="A400" s="1">
        <v>17700001</v>
      </c>
      <c r="B400" s="1">
        <v>17750000</v>
      </c>
      <c r="C400" s="9">
        <v>15900</v>
      </c>
      <c r="E400" s="3">
        <f t="shared" si="70"/>
        <v>2307500</v>
      </c>
      <c r="F400" s="3">
        <f t="shared" si="71"/>
        <v>2005750</v>
      </c>
      <c r="G400" s="2">
        <f t="shared" si="72"/>
        <v>8.0732394366197183E-2</v>
      </c>
      <c r="H400" s="8">
        <f t="shared" si="73"/>
        <v>30000</v>
      </c>
      <c r="I400" s="8">
        <f t="shared" si="74"/>
        <v>1463000</v>
      </c>
      <c r="L400" s="8">
        <f t="shared" si="75"/>
        <v>23542150</v>
      </c>
      <c r="M400" s="8">
        <f t="shared" si="76"/>
        <v>25044840.425531916</v>
      </c>
      <c r="N400" s="12">
        <f t="shared" si="77"/>
        <v>1463000</v>
      </c>
      <c r="O400" s="13">
        <f t="shared" si="78"/>
        <v>5.8415225457318039E-2</v>
      </c>
      <c r="P400" s="8">
        <f t="shared" si="79"/>
        <v>27059942.528735634</v>
      </c>
      <c r="Q400" s="12">
        <f t="shared" si="80"/>
        <v>1463000</v>
      </c>
      <c r="R400" s="13">
        <f t="shared" si="81"/>
        <v>5.4065155476453929E-2</v>
      </c>
    </row>
    <row r="401" spans="1:18" x14ac:dyDescent="0.3">
      <c r="A401" s="1">
        <v>17750001</v>
      </c>
      <c r="B401" s="1">
        <v>17800000</v>
      </c>
      <c r="C401" s="9">
        <v>15900</v>
      </c>
      <c r="E401" s="3">
        <f t="shared" si="70"/>
        <v>2314000</v>
      </c>
      <c r="F401" s="3">
        <f t="shared" si="71"/>
        <v>2011400</v>
      </c>
      <c r="G401" s="2">
        <f t="shared" si="72"/>
        <v>8.0730337078651682E-2</v>
      </c>
      <c r="H401" s="8">
        <f t="shared" si="73"/>
        <v>30000</v>
      </c>
      <c r="I401" s="8">
        <f t="shared" si="74"/>
        <v>1467000</v>
      </c>
      <c r="L401" s="8">
        <f t="shared" si="75"/>
        <v>23608300</v>
      </c>
      <c r="M401" s="8">
        <f t="shared" si="76"/>
        <v>25115212.765957449</v>
      </c>
      <c r="N401" s="12">
        <f t="shared" si="77"/>
        <v>1467000</v>
      </c>
      <c r="O401" s="13">
        <f t="shared" si="78"/>
        <v>5.841081314622399E-2</v>
      </c>
      <c r="P401" s="8">
        <f t="shared" si="79"/>
        <v>27135977.011494253</v>
      </c>
      <c r="Q401" s="12">
        <f t="shared" si="80"/>
        <v>1467000</v>
      </c>
      <c r="R401" s="13">
        <f t="shared" si="81"/>
        <v>5.4061071741717953E-2</v>
      </c>
    </row>
    <row r="402" spans="1:18" x14ac:dyDescent="0.3">
      <c r="A402" s="1">
        <v>17800001</v>
      </c>
      <c r="B402" s="1">
        <v>17850000</v>
      </c>
      <c r="C402" s="9">
        <v>15900</v>
      </c>
      <c r="E402" s="3">
        <f t="shared" si="70"/>
        <v>2320500</v>
      </c>
      <c r="F402" s="3">
        <f t="shared" si="71"/>
        <v>2017050</v>
      </c>
      <c r="G402" s="2">
        <f t="shared" si="72"/>
        <v>8.0728291316526618E-2</v>
      </c>
      <c r="H402" s="8">
        <f t="shared" si="73"/>
        <v>30000</v>
      </c>
      <c r="I402" s="8">
        <f t="shared" si="74"/>
        <v>1471000.0000000002</v>
      </c>
      <c r="L402" s="8">
        <f t="shared" si="75"/>
        <v>23674450</v>
      </c>
      <c r="M402" s="8">
        <f t="shared" si="76"/>
        <v>25185585.106382981</v>
      </c>
      <c r="N402" s="12">
        <f t="shared" si="77"/>
        <v>1471000</v>
      </c>
      <c r="O402" s="13">
        <f t="shared" si="78"/>
        <v>5.8406425492461278E-2</v>
      </c>
      <c r="P402" s="8">
        <f t="shared" si="79"/>
        <v>27212011.494252875</v>
      </c>
      <c r="Q402" s="12">
        <f t="shared" si="80"/>
        <v>1471000</v>
      </c>
      <c r="R402" s="13">
        <f t="shared" si="81"/>
        <v>5.4057010828129054E-2</v>
      </c>
    </row>
    <row r="403" spans="1:18" x14ac:dyDescent="0.3">
      <c r="A403" s="1">
        <v>17850001</v>
      </c>
      <c r="B403" s="1">
        <v>17900000</v>
      </c>
      <c r="C403" s="9">
        <v>15900</v>
      </c>
      <c r="E403" s="3">
        <f t="shared" si="70"/>
        <v>2327000</v>
      </c>
      <c r="F403" s="3">
        <f t="shared" si="71"/>
        <v>2022700</v>
      </c>
      <c r="G403" s="2">
        <f t="shared" si="72"/>
        <v>8.0726256983240222E-2</v>
      </c>
      <c r="H403" s="8">
        <f t="shared" si="73"/>
        <v>30000</v>
      </c>
      <c r="I403" s="8">
        <f t="shared" si="74"/>
        <v>1475000</v>
      </c>
      <c r="L403" s="8">
        <f t="shared" si="75"/>
        <v>23740600</v>
      </c>
      <c r="M403" s="8">
        <f t="shared" si="76"/>
        <v>25255957.446808513</v>
      </c>
      <c r="N403" s="12">
        <f t="shared" si="77"/>
        <v>1475000</v>
      </c>
      <c r="O403" s="13">
        <f t="shared" si="78"/>
        <v>5.8402062289916845E-2</v>
      </c>
      <c r="P403" s="8">
        <f t="shared" si="79"/>
        <v>27288045.977011494</v>
      </c>
      <c r="Q403" s="12">
        <f t="shared" si="80"/>
        <v>1475000</v>
      </c>
      <c r="R403" s="13">
        <f t="shared" si="81"/>
        <v>5.4052972544923042E-2</v>
      </c>
    </row>
    <row r="404" spans="1:18" x14ac:dyDescent="0.3">
      <c r="A404" s="1">
        <v>17900001</v>
      </c>
      <c r="B404" s="1">
        <v>17950000</v>
      </c>
      <c r="C404" s="9">
        <v>15900</v>
      </c>
      <c r="E404" s="3">
        <f t="shared" si="70"/>
        <v>2333500</v>
      </c>
      <c r="F404" s="3">
        <f t="shared" si="71"/>
        <v>2028350</v>
      </c>
      <c r="G404" s="2">
        <f t="shared" si="72"/>
        <v>8.0724233983286917E-2</v>
      </c>
      <c r="H404" s="8">
        <f t="shared" si="73"/>
        <v>30000</v>
      </c>
      <c r="I404" s="8">
        <f t="shared" si="74"/>
        <v>1479000.0000000002</v>
      </c>
      <c r="L404" s="8">
        <f t="shared" si="75"/>
        <v>23806750</v>
      </c>
      <c r="M404" s="8">
        <f t="shared" si="76"/>
        <v>25326329.787234046</v>
      </c>
      <c r="N404" s="12">
        <f t="shared" si="77"/>
        <v>1479000</v>
      </c>
      <c r="O404" s="13">
        <f t="shared" si="78"/>
        <v>5.8397723334768496E-2</v>
      </c>
      <c r="P404" s="8">
        <f t="shared" si="79"/>
        <v>27364080.459770113</v>
      </c>
      <c r="Q404" s="12">
        <f t="shared" si="80"/>
        <v>1479000</v>
      </c>
      <c r="R404" s="13">
        <f t="shared" si="81"/>
        <v>5.4048956703455955E-2</v>
      </c>
    </row>
    <row r="405" spans="1:18" x14ac:dyDescent="0.3">
      <c r="A405" s="1">
        <v>17950001</v>
      </c>
      <c r="B405" s="1">
        <v>18000000</v>
      </c>
      <c r="C405" s="9">
        <v>15900</v>
      </c>
      <c r="E405" s="3">
        <f t="shared" si="70"/>
        <v>2340000</v>
      </c>
      <c r="F405" s="3">
        <f t="shared" si="71"/>
        <v>2034000</v>
      </c>
      <c r="G405" s="2">
        <f t="shared" si="72"/>
        <v>8.0722222222222223E-2</v>
      </c>
      <c r="H405" s="8">
        <f t="shared" si="73"/>
        <v>30000</v>
      </c>
      <c r="I405" s="8">
        <f t="shared" si="74"/>
        <v>1483000</v>
      </c>
      <c r="L405" s="8">
        <f t="shared" si="75"/>
        <v>23872900</v>
      </c>
      <c r="M405" s="8">
        <f t="shared" si="76"/>
        <v>25396702.127659574</v>
      </c>
      <c r="N405" s="12">
        <f t="shared" si="77"/>
        <v>1483000</v>
      </c>
      <c r="O405" s="13">
        <f t="shared" si="78"/>
        <v>5.8393408425453132E-2</v>
      </c>
      <c r="P405" s="8">
        <f t="shared" si="79"/>
        <v>27440114.942528736</v>
      </c>
      <c r="Q405" s="12">
        <f t="shared" si="80"/>
        <v>1483000</v>
      </c>
      <c r="R405" s="13">
        <f t="shared" si="81"/>
        <v>5.4044963117174702E-2</v>
      </c>
    </row>
    <row r="406" spans="1:18" x14ac:dyDescent="0.3">
      <c r="A406" s="1">
        <v>18000001</v>
      </c>
      <c r="B406" s="1">
        <v>18050000</v>
      </c>
      <c r="C406" s="9">
        <v>15900</v>
      </c>
      <c r="E406" s="3">
        <f t="shared" si="70"/>
        <v>2346500</v>
      </c>
      <c r="F406" s="3">
        <f t="shared" si="71"/>
        <v>2039650</v>
      </c>
      <c r="G406" s="2">
        <f t="shared" si="72"/>
        <v>8.0720221606648199E-2</v>
      </c>
      <c r="H406" s="8">
        <f t="shared" si="73"/>
        <v>30000</v>
      </c>
      <c r="I406" s="8">
        <f t="shared" si="74"/>
        <v>1487000</v>
      </c>
      <c r="L406" s="8">
        <f t="shared" si="75"/>
        <v>23939050</v>
      </c>
      <c r="M406" s="8">
        <f t="shared" si="76"/>
        <v>25467074.468085106</v>
      </c>
      <c r="N406" s="12">
        <f t="shared" si="77"/>
        <v>1487000</v>
      </c>
      <c r="O406" s="13">
        <f t="shared" si="78"/>
        <v>5.8389117362635523E-2</v>
      </c>
      <c r="P406" s="8">
        <f t="shared" si="79"/>
        <v>27516149.425287355</v>
      </c>
      <c r="Q406" s="12">
        <f t="shared" si="80"/>
        <v>1487000</v>
      </c>
      <c r="R406" s="13">
        <f t="shared" si="81"/>
        <v>5.4040991601588206E-2</v>
      </c>
    </row>
    <row r="407" spans="1:18" x14ac:dyDescent="0.3">
      <c r="A407" s="1">
        <v>18050001</v>
      </c>
      <c r="B407" s="1">
        <v>18100000</v>
      </c>
      <c r="C407" s="9">
        <v>15900</v>
      </c>
      <c r="E407" s="3">
        <f t="shared" si="70"/>
        <v>2353000</v>
      </c>
      <c r="F407" s="3">
        <f t="shared" si="71"/>
        <v>2045300</v>
      </c>
      <c r="G407" s="2">
        <f t="shared" si="72"/>
        <v>8.0718232044198895E-2</v>
      </c>
      <c r="H407" s="8">
        <f t="shared" si="73"/>
        <v>30000</v>
      </c>
      <c r="I407" s="8">
        <f t="shared" si="74"/>
        <v>1491000</v>
      </c>
      <c r="L407" s="8">
        <f t="shared" si="75"/>
        <v>24005200</v>
      </c>
      <c r="M407" s="8">
        <f t="shared" si="76"/>
        <v>25537446.808510639</v>
      </c>
      <c r="N407" s="12">
        <f t="shared" si="77"/>
        <v>1491000</v>
      </c>
      <c r="O407" s="13">
        <f t="shared" si="78"/>
        <v>5.8384849949177677E-2</v>
      </c>
      <c r="P407" s="8">
        <f t="shared" si="79"/>
        <v>27592183.908045977</v>
      </c>
      <c r="Q407" s="12">
        <f t="shared" si="80"/>
        <v>1491000</v>
      </c>
      <c r="R407" s="13">
        <f t="shared" si="81"/>
        <v>5.4037041974238913E-2</v>
      </c>
    </row>
    <row r="408" spans="1:18" x14ac:dyDescent="0.3">
      <c r="A408" s="1">
        <v>18100001</v>
      </c>
      <c r="B408" s="1">
        <v>18150000</v>
      </c>
      <c r="C408" s="9">
        <v>15900</v>
      </c>
      <c r="E408" s="3">
        <f t="shared" si="70"/>
        <v>2359500</v>
      </c>
      <c r="F408" s="3">
        <f t="shared" si="71"/>
        <v>2050950</v>
      </c>
      <c r="G408" s="2">
        <f t="shared" si="72"/>
        <v>8.0716253443526176E-2</v>
      </c>
      <c r="H408" s="8">
        <f t="shared" si="73"/>
        <v>30000</v>
      </c>
      <c r="I408" s="8">
        <f t="shared" si="74"/>
        <v>1495000</v>
      </c>
      <c r="L408" s="8">
        <f t="shared" si="75"/>
        <v>24071350</v>
      </c>
      <c r="M408" s="8">
        <f t="shared" si="76"/>
        <v>25607819.148936171</v>
      </c>
      <c r="N408" s="12">
        <f t="shared" si="77"/>
        <v>1495000</v>
      </c>
      <c r="O408" s="13">
        <f t="shared" si="78"/>
        <v>5.8380605990108574E-2</v>
      </c>
      <c r="P408" s="8">
        <f t="shared" si="79"/>
        <v>27668218.390804596</v>
      </c>
      <c r="Q408" s="12">
        <f t="shared" si="80"/>
        <v>1495000</v>
      </c>
      <c r="R408" s="13">
        <f t="shared" si="81"/>
        <v>5.4033114054674959E-2</v>
      </c>
    </row>
    <row r="409" spans="1:18" x14ac:dyDescent="0.3">
      <c r="A409" s="1">
        <v>18150001</v>
      </c>
      <c r="B409" s="1">
        <v>18200000</v>
      </c>
      <c r="C409" s="9">
        <v>15900</v>
      </c>
      <c r="E409" s="3">
        <f t="shared" si="70"/>
        <v>2366000</v>
      </c>
      <c r="F409" s="3">
        <f t="shared" si="71"/>
        <v>2056600</v>
      </c>
      <c r="G409" s="2">
        <f t="shared" si="72"/>
        <v>8.0714285714285711E-2</v>
      </c>
      <c r="H409" s="8">
        <f t="shared" si="73"/>
        <v>30000</v>
      </c>
      <c r="I409" s="8">
        <f t="shared" si="74"/>
        <v>1499000</v>
      </c>
      <c r="L409" s="8">
        <f t="shared" si="75"/>
        <v>24137500</v>
      </c>
      <c r="M409" s="8">
        <f t="shared" si="76"/>
        <v>25678191.489361703</v>
      </c>
      <c r="N409" s="12">
        <f t="shared" si="77"/>
        <v>1499000</v>
      </c>
      <c r="O409" s="13">
        <f t="shared" si="78"/>
        <v>5.8376385292594507E-2</v>
      </c>
      <c r="P409" s="8">
        <f t="shared" si="79"/>
        <v>27744252.873563219</v>
      </c>
      <c r="Q409" s="12">
        <f t="shared" si="80"/>
        <v>1499000</v>
      </c>
      <c r="R409" s="13">
        <f t="shared" si="81"/>
        <v>5.4029207664422575E-2</v>
      </c>
    </row>
    <row r="410" spans="1:18" x14ac:dyDescent="0.3">
      <c r="A410" s="1">
        <v>18200001</v>
      </c>
      <c r="B410" s="1">
        <v>18250000</v>
      </c>
      <c r="C410" s="9">
        <v>15900</v>
      </c>
      <c r="E410" s="3">
        <f t="shared" si="70"/>
        <v>2372500</v>
      </c>
      <c r="F410" s="3">
        <f t="shared" si="71"/>
        <v>2062250</v>
      </c>
      <c r="G410" s="2">
        <f t="shared" si="72"/>
        <v>8.0712328767123295E-2</v>
      </c>
      <c r="H410" s="8">
        <f t="shared" si="73"/>
        <v>30000</v>
      </c>
      <c r="I410" s="8">
        <f t="shared" si="74"/>
        <v>1503000.0000000002</v>
      </c>
      <c r="L410" s="8">
        <f t="shared" si="75"/>
        <v>24203650</v>
      </c>
      <c r="M410" s="8">
        <f t="shared" si="76"/>
        <v>25748563.829787236</v>
      </c>
      <c r="N410" s="12">
        <f t="shared" si="77"/>
        <v>1503000</v>
      </c>
      <c r="O410" s="13">
        <f t="shared" si="78"/>
        <v>5.8372187665909889E-2</v>
      </c>
      <c r="P410" s="8">
        <f t="shared" si="79"/>
        <v>27820287.356321838</v>
      </c>
      <c r="Q410" s="12">
        <f t="shared" si="80"/>
        <v>1503000</v>
      </c>
      <c r="R410" s="13">
        <f t="shared" si="81"/>
        <v>5.4025322626959159E-2</v>
      </c>
    </row>
    <row r="411" spans="1:18" x14ac:dyDescent="0.3">
      <c r="A411" s="1">
        <v>18250001</v>
      </c>
      <c r="B411" s="1">
        <v>18300000</v>
      </c>
      <c r="C411" s="9">
        <v>15900</v>
      </c>
      <c r="E411" s="3">
        <f t="shared" si="70"/>
        <v>2379000</v>
      </c>
      <c r="F411" s="3">
        <f t="shared" si="71"/>
        <v>2067900</v>
      </c>
      <c r="G411" s="2">
        <f t="shared" si="72"/>
        <v>8.0710382513661208E-2</v>
      </c>
      <c r="H411" s="8">
        <f t="shared" si="73"/>
        <v>30000</v>
      </c>
      <c r="I411" s="8">
        <f t="shared" si="74"/>
        <v>1507000</v>
      </c>
      <c r="L411" s="8">
        <f t="shared" si="75"/>
        <v>24269800</v>
      </c>
      <c r="M411" s="8">
        <f t="shared" si="76"/>
        <v>25818936.170212768</v>
      </c>
      <c r="N411" s="12">
        <f t="shared" si="77"/>
        <v>1507000</v>
      </c>
      <c r="O411" s="13">
        <f t="shared" si="78"/>
        <v>5.8368012921408495E-2</v>
      </c>
      <c r="P411" s="8">
        <f t="shared" si="79"/>
        <v>27896321.83908046</v>
      </c>
      <c r="Q411" s="12">
        <f t="shared" si="80"/>
        <v>1507000</v>
      </c>
      <c r="R411" s="13">
        <f t="shared" si="81"/>
        <v>5.4021458767686589E-2</v>
      </c>
    </row>
    <row r="412" spans="1:18" x14ac:dyDescent="0.3">
      <c r="A412" s="1">
        <v>18300001</v>
      </c>
      <c r="B412" s="1">
        <v>18350000</v>
      </c>
      <c r="C412" s="9">
        <v>15900</v>
      </c>
      <c r="E412" s="3">
        <f t="shared" si="70"/>
        <v>2385500</v>
      </c>
      <c r="F412" s="3">
        <f t="shared" si="71"/>
        <v>2073550</v>
      </c>
      <c r="G412" s="2">
        <f t="shared" si="72"/>
        <v>8.0708446866485012E-2</v>
      </c>
      <c r="H412" s="8">
        <f t="shared" si="73"/>
        <v>30000</v>
      </c>
      <c r="I412" s="8">
        <f t="shared" si="74"/>
        <v>1511000</v>
      </c>
      <c r="L412" s="8">
        <f t="shared" si="75"/>
        <v>24335950</v>
      </c>
      <c r="M412" s="8">
        <f t="shared" si="76"/>
        <v>25889308.5106383</v>
      </c>
      <c r="N412" s="12">
        <f t="shared" si="77"/>
        <v>1511000</v>
      </c>
      <c r="O412" s="13">
        <f t="shared" si="78"/>
        <v>5.8363860872495212E-2</v>
      </c>
      <c r="P412" s="8">
        <f t="shared" si="79"/>
        <v>27972356.321839079</v>
      </c>
      <c r="Q412" s="12">
        <f t="shared" si="80"/>
        <v>1511000</v>
      </c>
      <c r="R412" s="13">
        <f t="shared" si="81"/>
        <v>5.4017615913905151E-2</v>
      </c>
    </row>
    <row r="413" spans="1:18" x14ac:dyDescent="0.3">
      <c r="A413" s="1">
        <v>18350001</v>
      </c>
      <c r="B413" s="1">
        <v>18400000</v>
      </c>
      <c r="C413" s="9">
        <v>15900</v>
      </c>
      <c r="E413" s="3">
        <f t="shared" si="70"/>
        <v>2392000</v>
      </c>
      <c r="F413" s="3">
        <f t="shared" si="71"/>
        <v>2079200</v>
      </c>
      <c r="G413" s="2">
        <f t="shared" si="72"/>
        <v>8.0706521739130441E-2</v>
      </c>
      <c r="H413" s="8">
        <f t="shared" si="73"/>
        <v>30000</v>
      </c>
      <c r="I413" s="8">
        <f t="shared" si="74"/>
        <v>1515000</v>
      </c>
      <c r="L413" s="8">
        <f t="shared" si="75"/>
        <v>24402100</v>
      </c>
      <c r="M413" s="8">
        <f t="shared" si="76"/>
        <v>25959680.851063833</v>
      </c>
      <c r="N413" s="12">
        <f t="shared" si="77"/>
        <v>1515000</v>
      </c>
      <c r="O413" s="13">
        <f t="shared" si="78"/>
        <v>5.8359731334598243E-2</v>
      </c>
      <c r="P413" s="8">
        <f t="shared" si="79"/>
        <v>28048390.804597702</v>
      </c>
      <c r="Q413" s="12">
        <f t="shared" si="80"/>
        <v>1515000</v>
      </c>
      <c r="R413" s="13">
        <f t="shared" si="81"/>
        <v>5.4013793894787741E-2</v>
      </c>
    </row>
    <row r="414" spans="1:18" x14ac:dyDescent="0.3">
      <c r="A414" s="1">
        <v>18400001</v>
      </c>
      <c r="B414" s="1">
        <v>18450000</v>
      </c>
      <c r="C414" s="9">
        <v>15900</v>
      </c>
      <c r="E414" s="3">
        <f t="shared" si="70"/>
        <v>2398500</v>
      </c>
      <c r="F414" s="3">
        <f t="shared" si="71"/>
        <v>2084850</v>
      </c>
      <c r="G414" s="2">
        <f t="shared" si="72"/>
        <v>8.0704607046070465E-2</v>
      </c>
      <c r="H414" s="8">
        <f t="shared" si="73"/>
        <v>30000</v>
      </c>
      <c r="I414" s="8">
        <f t="shared" si="74"/>
        <v>1519000</v>
      </c>
      <c r="L414" s="8">
        <f t="shared" si="75"/>
        <v>24468250</v>
      </c>
      <c r="M414" s="8">
        <f t="shared" si="76"/>
        <v>26030053.191489365</v>
      </c>
      <c r="N414" s="12">
        <f t="shared" si="77"/>
        <v>1519000</v>
      </c>
      <c r="O414" s="13">
        <f t="shared" si="78"/>
        <v>5.835562412514176E-2</v>
      </c>
      <c r="P414" s="8">
        <f t="shared" si="79"/>
        <v>28124425.287356321</v>
      </c>
      <c r="Q414" s="12">
        <f t="shared" si="80"/>
        <v>1519000</v>
      </c>
      <c r="R414" s="13">
        <f t="shared" si="81"/>
        <v>5.4009992541354614E-2</v>
      </c>
    </row>
    <row r="415" spans="1:18" x14ac:dyDescent="0.3">
      <c r="A415" s="1">
        <v>18450001</v>
      </c>
      <c r="B415" s="1">
        <v>18500000</v>
      </c>
      <c r="C415" s="9">
        <v>15900</v>
      </c>
      <c r="E415" s="3">
        <f t="shared" si="70"/>
        <v>2405000</v>
      </c>
      <c r="F415" s="3">
        <f t="shared" si="71"/>
        <v>2090500</v>
      </c>
      <c r="G415" s="2">
        <f t="shared" si="72"/>
        <v>8.0702702702702703E-2</v>
      </c>
      <c r="H415" s="8">
        <f t="shared" si="73"/>
        <v>30000</v>
      </c>
      <c r="I415" s="8">
        <f t="shared" si="74"/>
        <v>1523000</v>
      </c>
      <c r="L415" s="8">
        <f t="shared" si="75"/>
        <v>24534400</v>
      </c>
      <c r="M415" s="8">
        <f t="shared" si="76"/>
        <v>26100425.531914894</v>
      </c>
      <c r="N415" s="12">
        <f t="shared" si="77"/>
        <v>1523000</v>
      </c>
      <c r="O415" s="13">
        <f t="shared" si="78"/>
        <v>5.8351539063518976E-2</v>
      </c>
      <c r="P415" s="8">
        <f t="shared" si="79"/>
        <v>28200459.770114943</v>
      </c>
      <c r="Q415" s="12">
        <f t="shared" si="80"/>
        <v>1523000</v>
      </c>
      <c r="R415" s="13">
        <f t="shared" si="81"/>
        <v>5.400621168644841E-2</v>
      </c>
    </row>
    <row r="416" spans="1:18" x14ac:dyDescent="0.3">
      <c r="A416" s="1">
        <v>18500001</v>
      </c>
      <c r="B416" s="1">
        <v>18550000</v>
      </c>
      <c r="C416" s="9">
        <v>15900</v>
      </c>
      <c r="E416" s="3">
        <f t="shared" si="70"/>
        <v>2411500</v>
      </c>
      <c r="F416" s="3">
        <f t="shared" si="71"/>
        <v>2096150</v>
      </c>
      <c r="G416" s="2">
        <f t="shared" si="72"/>
        <v>8.0700808625336934E-2</v>
      </c>
      <c r="H416" s="8">
        <f t="shared" si="73"/>
        <v>30000</v>
      </c>
      <c r="I416" s="8">
        <f t="shared" si="74"/>
        <v>1527000.0000000002</v>
      </c>
      <c r="L416" s="8">
        <f t="shared" si="75"/>
        <v>24600550</v>
      </c>
      <c r="M416" s="8">
        <f t="shared" si="76"/>
        <v>26170797.872340426</v>
      </c>
      <c r="N416" s="12">
        <f t="shared" si="77"/>
        <v>1527000</v>
      </c>
      <c r="O416" s="13">
        <f t="shared" si="78"/>
        <v>5.8347475971065689E-2</v>
      </c>
      <c r="P416" s="8">
        <f t="shared" si="79"/>
        <v>28276494.252873562</v>
      </c>
      <c r="Q416" s="12">
        <f t="shared" si="80"/>
        <v>1527000</v>
      </c>
      <c r="R416" s="13">
        <f t="shared" si="81"/>
        <v>5.4002451164709732E-2</v>
      </c>
    </row>
    <row r="417" spans="1:18" x14ac:dyDescent="0.3">
      <c r="A417" s="1">
        <v>18550001</v>
      </c>
      <c r="B417" s="1">
        <v>18600000</v>
      </c>
      <c r="C417" s="9">
        <v>15900</v>
      </c>
      <c r="E417" s="3">
        <f t="shared" ref="E417:E446" si="82">B417*13%</f>
        <v>2418000</v>
      </c>
      <c r="F417" s="3">
        <f t="shared" ref="F417:F446" si="83">(B417+E417)*10%</f>
        <v>2101800</v>
      </c>
      <c r="G417" s="2">
        <f t="shared" si="72"/>
        <v>8.06989247311828E-2</v>
      </c>
      <c r="H417" s="8">
        <f t="shared" si="73"/>
        <v>30000</v>
      </c>
      <c r="I417" s="8">
        <f t="shared" si="74"/>
        <v>1531000</v>
      </c>
      <c r="L417" s="8">
        <f t="shared" si="75"/>
        <v>24666700</v>
      </c>
      <c r="M417" s="8">
        <f t="shared" si="76"/>
        <v>26241170.212765958</v>
      </c>
      <c r="N417" s="12">
        <f t="shared" si="77"/>
        <v>1531000</v>
      </c>
      <c r="O417" s="13">
        <f t="shared" si="78"/>
        <v>5.8343434671034228E-2</v>
      </c>
      <c r="P417" s="8">
        <f t="shared" si="79"/>
        <v>28352528.735632185</v>
      </c>
      <c r="Q417" s="12">
        <f t="shared" si="80"/>
        <v>1531000</v>
      </c>
      <c r="R417" s="13">
        <f t="shared" si="81"/>
        <v>5.3998710812552954E-2</v>
      </c>
    </row>
    <row r="418" spans="1:18" x14ac:dyDescent="0.3">
      <c r="A418" s="1">
        <v>18600001</v>
      </c>
      <c r="B418" s="1">
        <v>18650000</v>
      </c>
      <c r="C418" s="9">
        <v>15900</v>
      </c>
      <c r="E418" s="3">
        <f t="shared" si="82"/>
        <v>2424500</v>
      </c>
      <c r="F418" s="3">
        <f t="shared" si="83"/>
        <v>2107450</v>
      </c>
      <c r="G418" s="2">
        <f t="shared" si="72"/>
        <v>8.0697050938337803E-2</v>
      </c>
      <c r="H418" s="8">
        <f t="shared" si="73"/>
        <v>30000</v>
      </c>
      <c r="I418" s="8">
        <f t="shared" si="74"/>
        <v>1535000</v>
      </c>
      <c r="L418" s="8">
        <f t="shared" si="75"/>
        <v>24732850</v>
      </c>
      <c r="M418" s="8">
        <f t="shared" si="76"/>
        <v>26311542.55319149</v>
      </c>
      <c r="N418" s="12">
        <f t="shared" si="77"/>
        <v>1535000</v>
      </c>
      <c r="O418" s="13">
        <f t="shared" si="78"/>
        <v>5.8339414988567831E-2</v>
      </c>
      <c r="P418" s="8">
        <f t="shared" si="79"/>
        <v>28428563.218390804</v>
      </c>
      <c r="Q418" s="12">
        <f t="shared" si="80"/>
        <v>1535000</v>
      </c>
      <c r="R418" s="13">
        <f t="shared" si="81"/>
        <v>5.3994990468142573E-2</v>
      </c>
    </row>
    <row r="419" spans="1:18" x14ac:dyDescent="0.3">
      <c r="A419" s="1">
        <v>18650001</v>
      </c>
      <c r="B419" s="1">
        <v>18700000</v>
      </c>
      <c r="C419" s="9">
        <v>15900</v>
      </c>
      <c r="E419" s="3">
        <f t="shared" si="82"/>
        <v>2431000</v>
      </c>
      <c r="F419" s="3">
        <f t="shared" si="83"/>
        <v>2113100</v>
      </c>
      <c r="G419" s="2">
        <f t="shared" si="72"/>
        <v>8.0695187165775409E-2</v>
      </c>
      <c r="H419" s="8">
        <f t="shared" si="73"/>
        <v>30000</v>
      </c>
      <c r="I419" s="8">
        <f t="shared" si="74"/>
        <v>1539000.0000000002</v>
      </c>
      <c r="L419" s="8">
        <f t="shared" si="75"/>
        <v>24799000</v>
      </c>
      <c r="M419" s="8">
        <f t="shared" si="76"/>
        <v>26381914.893617023</v>
      </c>
      <c r="N419" s="12">
        <f t="shared" si="77"/>
        <v>1539000</v>
      </c>
      <c r="O419" s="13">
        <f t="shared" si="78"/>
        <v>5.8335416750675426E-2</v>
      </c>
      <c r="P419" s="8">
        <f t="shared" si="79"/>
        <v>28504597.701149426</v>
      </c>
      <c r="Q419" s="12">
        <f t="shared" si="80"/>
        <v>1539000</v>
      </c>
      <c r="R419" s="13">
        <f t="shared" si="81"/>
        <v>5.3991289971369809E-2</v>
      </c>
    </row>
    <row r="420" spans="1:18" x14ac:dyDescent="0.3">
      <c r="A420" s="1">
        <v>18700001</v>
      </c>
      <c r="B420" s="1">
        <v>18750000</v>
      </c>
      <c r="C420" s="9">
        <v>15900</v>
      </c>
      <c r="E420" s="3">
        <f t="shared" si="82"/>
        <v>2437500</v>
      </c>
      <c r="F420" s="3">
        <f t="shared" si="83"/>
        <v>2118750</v>
      </c>
      <c r="G420" s="2">
        <f t="shared" si="72"/>
        <v>8.0693333333333339E-2</v>
      </c>
      <c r="H420" s="8">
        <f t="shared" si="73"/>
        <v>30000</v>
      </c>
      <c r="I420" s="8">
        <f t="shared" si="74"/>
        <v>1543000</v>
      </c>
      <c r="L420" s="8">
        <f t="shared" si="75"/>
        <v>24865150</v>
      </c>
      <c r="M420" s="8">
        <f t="shared" si="76"/>
        <v>26452287.234042555</v>
      </c>
      <c r="N420" s="12">
        <f t="shared" si="77"/>
        <v>1543000</v>
      </c>
      <c r="O420" s="13">
        <f t="shared" si="78"/>
        <v>5.8331439786206793E-2</v>
      </c>
      <c r="P420" s="8">
        <f t="shared" si="79"/>
        <v>28580632.183908045</v>
      </c>
      <c r="Q420" s="12">
        <f t="shared" si="80"/>
        <v>1543000</v>
      </c>
      <c r="R420" s="13">
        <f t="shared" si="81"/>
        <v>5.3987609163829699E-2</v>
      </c>
    </row>
    <row r="421" spans="1:18" x14ac:dyDescent="0.3">
      <c r="A421" s="1">
        <v>18750001</v>
      </c>
      <c r="B421" s="1">
        <v>18800000</v>
      </c>
      <c r="C421" s="9">
        <v>15900</v>
      </c>
      <c r="E421" s="3">
        <f t="shared" si="82"/>
        <v>2444000</v>
      </c>
      <c r="F421" s="3">
        <f t="shared" si="83"/>
        <v>2124400</v>
      </c>
      <c r="G421" s="2">
        <f t="shared" si="72"/>
        <v>8.0691489361702132E-2</v>
      </c>
      <c r="H421" s="8">
        <f t="shared" si="73"/>
        <v>30000</v>
      </c>
      <c r="I421" s="8">
        <f t="shared" si="74"/>
        <v>1547000</v>
      </c>
      <c r="L421" s="8">
        <f t="shared" si="75"/>
        <v>24931300</v>
      </c>
      <c r="M421" s="8">
        <f t="shared" si="76"/>
        <v>26522659.574468087</v>
      </c>
      <c r="N421" s="12">
        <f t="shared" si="77"/>
        <v>1547000</v>
      </c>
      <c r="O421" s="13">
        <f t="shared" si="78"/>
        <v>5.832748392582817E-2</v>
      </c>
      <c r="P421" s="8">
        <f t="shared" si="79"/>
        <v>28656666.666666668</v>
      </c>
      <c r="Q421" s="12">
        <f t="shared" si="80"/>
        <v>1547000</v>
      </c>
      <c r="R421" s="13">
        <f t="shared" si="81"/>
        <v>5.3983947888798414E-2</v>
      </c>
    </row>
    <row r="422" spans="1:18" x14ac:dyDescent="0.3">
      <c r="A422" s="1">
        <v>18800001</v>
      </c>
      <c r="B422" s="1">
        <v>18850000</v>
      </c>
      <c r="C422" s="9">
        <v>15900</v>
      </c>
      <c r="E422" s="3">
        <f t="shared" si="82"/>
        <v>2450500</v>
      </c>
      <c r="F422" s="3">
        <f t="shared" si="83"/>
        <v>2130050</v>
      </c>
      <c r="G422" s="2">
        <f t="shared" si="72"/>
        <v>8.0689655172413791E-2</v>
      </c>
      <c r="H422" s="8">
        <f t="shared" si="73"/>
        <v>30000</v>
      </c>
      <c r="I422" s="8">
        <f t="shared" si="74"/>
        <v>1551000</v>
      </c>
      <c r="L422" s="8">
        <f t="shared" si="75"/>
        <v>24997450</v>
      </c>
      <c r="M422" s="8">
        <f t="shared" si="76"/>
        <v>26593031.91489362</v>
      </c>
      <c r="N422" s="12">
        <f t="shared" si="77"/>
        <v>1551000</v>
      </c>
      <c r="O422" s="13">
        <f t="shared" si="78"/>
        <v>5.8323549001998196E-2</v>
      </c>
      <c r="P422" s="8">
        <f t="shared" si="79"/>
        <v>28732701.149425287</v>
      </c>
      <c r="Q422" s="12">
        <f t="shared" si="80"/>
        <v>1551000</v>
      </c>
      <c r="R422" s="13">
        <f t="shared" si="81"/>
        <v>5.3980305991211106E-2</v>
      </c>
    </row>
    <row r="423" spans="1:18" x14ac:dyDescent="0.3">
      <c r="A423" s="1">
        <v>18850001</v>
      </c>
      <c r="B423" s="1">
        <v>18900000</v>
      </c>
      <c r="C423" s="9">
        <v>15900</v>
      </c>
      <c r="E423" s="3">
        <f t="shared" si="82"/>
        <v>2457000</v>
      </c>
      <c r="F423" s="3">
        <f t="shared" si="83"/>
        <v>2135700</v>
      </c>
      <c r="G423" s="2">
        <f t="shared" si="72"/>
        <v>8.0687830687830683E-2</v>
      </c>
      <c r="H423" s="8">
        <f t="shared" si="73"/>
        <v>30000</v>
      </c>
      <c r="I423" s="8">
        <f t="shared" si="74"/>
        <v>1555000</v>
      </c>
      <c r="L423" s="8">
        <f t="shared" si="75"/>
        <v>25063600</v>
      </c>
      <c r="M423" s="8">
        <f t="shared" si="76"/>
        <v>26663404.255319152</v>
      </c>
      <c r="N423" s="12">
        <f t="shared" si="77"/>
        <v>1555000</v>
      </c>
      <c r="O423" s="13">
        <f t="shared" si="78"/>
        <v>5.8319634848944278E-2</v>
      </c>
      <c r="P423" s="8">
        <f t="shared" si="79"/>
        <v>28808735.632183909</v>
      </c>
      <c r="Q423" s="12">
        <f t="shared" si="80"/>
        <v>1555000</v>
      </c>
      <c r="R423" s="13">
        <f t="shared" si="81"/>
        <v>5.3976683317639919E-2</v>
      </c>
    </row>
    <row r="424" spans="1:18" x14ac:dyDescent="0.3">
      <c r="A424" s="1">
        <v>18900001</v>
      </c>
      <c r="B424" s="1">
        <v>18950000</v>
      </c>
      <c r="C424" s="9">
        <v>15900</v>
      </c>
      <c r="E424" s="3">
        <f t="shared" si="82"/>
        <v>2463500</v>
      </c>
      <c r="F424" s="3">
        <f t="shared" si="83"/>
        <v>2141350</v>
      </c>
      <c r="G424" s="2">
        <f t="shared" si="72"/>
        <v>8.0686015831134564E-2</v>
      </c>
      <c r="H424" s="8">
        <f t="shared" si="73"/>
        <v>30000</v>
      </c>
      <c r="I424" s="8">
        <f t="shared" si="74"/>
        <v>1559000</v>
      </c>
      <c r="L424" s="8">
        <f t="shared" si="75"/>
        <v>25129750</v>
      </c>
      <c r="M424" s="8">
        <f t="shared" si="76"/>
        <v>26733776.595744681</v>
      </c>
      <c r="N424" s="12">
        <f t="shared" si="77"/>
        <v>1559000</v>
      </c>
      <c r="O424" s="13">
        <f t="shared" si="78"/>
        <v>5.83157413026393E-2</v>
      </c>
      <c r="P424" s="8">
        <f t="shared" si="79"/>
        <v>28884770.114942528</v>
      </c>
      <c r="Q424" s="12">
        <f t="shared" si="80"/>
        <v>1559000</v>
      </c>
      <c r="R424" s="13">
        <f t="shared" si="81"/>
        <v>5.3973079716272548E-2</v>
      </c>
    </row>
    <row r="425" spans="1:18" x14ac:dyDescent="0.3">
      <c r="A425" s="1">
        <v>18950001</v>
      </c>
      <c r="B425" s="1">
        <v>19000000</v>
      </c>
      <c r="C425" s="9">
        <v>15900</v>
      </c>
      <c r="E425" s="3">
        <f t="shared" si="82"/>
        <v>2470000</v>
      </c>
      <c r="F425" s="3">
        <f t="shared" si="83"/>
        <v>2147000</v>
      </c>
      <c r="G425" s="2">
        <f t="shared" si="72"/>
        <v>8.0684210526315789E-2</v>
      </c>
      <c r="H425" s="8">
        <f t="shared" si="73"/>
        <v>30000</v>
      </c>
      <c r="I425" s="8">
        <f t="shared" si="74"/>
        <v>1563000</v>
      </c>
      <c r="L425" s="8">
        <f t="shared" si="75"/>
        <v>25195900</v>
      </c>
      <c r="M425" s="8">
        <f t="shared" si="76"/>
        <v>26804148.936170213</v>
      </c>
      <c r="N425" s="12">
        <f t="shared" si="77"/>
        <v>1563000</v>
      </c>
      <c r="O425" s="13">
        <f t="shared" si="78"/>
        <v>5.8311868200778695E-2</v>
      </c>
      <c r="P425" s="8">
        <f t="shared" si="79"/>
        <v>28960804.597701151</v>
      </c>
      <c r="Q425" s="12">
        <f t="shared" si="80"/>
        <v>1563000</v>
      </c>
      <c r="R425" s="13">
        <f t="shared" si="81"/>
        <v>5.396949503689092E-2</v>
      </c>
    </row>
    <row r="426" spans="1:18" x14ac:dyDescent="0.3">
      <c r="A426" s="1">
        <v>19000001</v>
      </c>
      <c r="B426" s="1">
        <v>19050000</v>
      </c>
      <c r="C426" s="9">
        <v>15900</v>
      </c>
      <c r="E426" s="3">
        <f t="shared" si="82"/>
        <v>2476500</v>
      </c>
      <c r="F426" s="3">
        <f t="shared" si="83"/>
        <v>2152650</v>
      </c>
      <c r="G426" s="2">
        <f t="shared" si="72"/>
        <v>8.068241469816273E-2</v>
      </c>
      <c r="H426" s="8">
        <f t="shared" si="73"/>
        <v>30000</v>
      </c>
      <c r="I426" s="8">
        <f t="shared" si="74"/>
        <v>1567000</v>
      </c>
      <c r="L426" s="8">
        <f t="shared" si="75"/>
        <v>25262050</v>
      </c>
      <c r="M426" s="8">
        <f t="shared" si="76"/>
        <v>26874521.276595745</v>
      </c>
      <c r="N426" s="12">
        <f t="shared" si="77"/>
        <v>1567000</v>
      </c>
      <c r="O426" s="13">
        <f t="shared" si="78"/>
        <v>5.8308015382757927E-2</v>
      </c>
      <c r="P426" s="8">
        <f t="shared" si="79"/>
        <v>29036839.08045977</v>
      </c>
      <c r="Q426" s="12">
        <f t="shared" si="80"/>
        <v>1567000</v>
      </c>
      <c r="R426" s="13">
        <f t="shared" si="81"/>
        <v>5.3965929130850424E-2</v>
      </c>
    </row>
    <row r="427" spans="1:18" x14ac:dyDescent="0.3">
      <c r="A427" s="1">
        <v>19050001</v>
      </c>
      <c r="B427" s="1">
        <v>19100000</v>
      </c>
      <c r="C427" s="9">
        <v>15900</v>
      </c>
      <c r="E427" s="3">
        <f t="shared" si="82"/>
        <v>2483000</v>
      </c>
      <c r="F427" s="3">
        <f t="shared" si="83"/>
        <v>2158300</v>
      </c>
      <c r="G427" s="2">
        <f t="shared" si="72"/>
        <v>8.0680628272251309E-2</v>
      </c>
      <c r="H427" s="8">
        <f t="shared" si="73"/>
        <v>30000</v>
      </c>
      <c r="I427" s="8">
        <f t="shared" si="74"/>
        <v>1571000</v>
      </c>
      <c r="L427" s="8">
        <f t="shared" si="75"/>
        <v>25328200</v>
      </c>
      <c r="M427" s="8">
        <f t="shared" si="76"/>
        <v>26944893.617021278</v>
      </c>
      <c r="N427" s="12">
        <f t="shared" si="77"/>
        <v>1571000</v>
      </c>
      <c r="O427" s="13">
        <f t="shared" si="78"/>
        <v>5.830418268965027E-2</v>
      </c>
      <c r="P427" s="8">
        <f t="shared" si="79"/>
        <v>29112873.563218392</v>
      </c>
      <c r="Q427" s="12">
        <f t="shared" si="80"/>
        <v>1571000</v>
      </c>
      <c r="R427" s="13">
        <f t="shared" si="81"/>
        <v>5.3962381851059289E-2</v>
      </c>
    </row>
    <row r="428" spans="1:18" x14ac:dyDescent="0.3">
      <c r="A428" s="1">
        <v>19100001</v>
      </c>
      <c r="B428" s="1">
        <v>19150000</v>
      </c>
      <c r="C428" s="9">
        <v>15900</v>
      </c>
      <c r="E428" s="3">
        <f t="shared" si="82"/>
        <v>2489500</v>
      </c>
      <c r="F428" s="3">
        <f t="shared" si="83"/>
        <v>2163950</v>
      </c>
      <c r="G428" s="2">
        <f t="shared" si="72"/>
        <v>8.0678851174934729E-2</v>
      </c>
      <c r="H428" s="8">
        <f t="shared" si="73"/>
        <v>30000</v>
      </c>
      <c r="I428" s="8">
        <f t="shared" si="74"/>
        <v>1575000</v>
      </c>
      <c r="L428" s="8">
        <f t="shared" si="75"/>
        <v>25394350</v>
      </c>
      <c r="M428" s="8">
        <f t="shared" si="76"/>
        <v>27015265.95744681</v>
      </c>
      <c r="N428" s="12">
        <f t="shared" si="77"/>
        <v>1575000</v>
      </c>
      <c r="O428" s="13">
        <f t="shared" si="78"/>
        <v>5.8300369964184945E-2</v>
      </c>
      <c r="P428" s="8">
        <f t="shared" si="79"/>
        <v>29188908.045977011</v>
      </c>
      <c r="Q428" s="12">
        <f t="shared" si="80"/>
        <v>1575000</v>
      </c>
      <c r="R428" s="13">
        <f t="shared" si="81"/>
        <v>5.3958853051958411E-2</v>
      </c>
    </row>
    <row r="429" spans="1:18" x14ac:dyDescent="0.3">
      <c r="A429" s="1">
        <v>19150001</v>
      </c>
      <c r="B429" s="1">
        <v>19200000</v>
      </c>
      <c r="C429" s="9">
        <v>15900</v>
      </c>
      <c r="E429" s="3">
        <f t="shared" si="82"/>
        <v>2496000</v>
      </c>
      <c r="F429" s="3">
        <f t="shared" si="83"/>
        <v>2169600</v>
      </c>
      <c r="G429" s="2">
        <f t="shared" si="72"/>
        <v>8.067708333333333E-2</v>
      </c>
      <c r="H429" s="8">
        <f t="shared" si="73"/>
        <v>30000</v>
      </c>
      <c r="I429" s="8">
        <f t="shared" si="74"/>
        <v>1579000</v>
      </c>
      <c r="L429" s="8">
        <f t="shared" si="75"/>
        <v>25460500</v>
      </c>
      <c r="M429" s="8">
        <f t="shared" si="76"/>
        <v>27085638.297872342</v>
      </c>
      <c r="N429" s="12">
        <f t="shared" si="77"/>
        <v>1579000</v>
      </c>
      <c r="O429" s="13">
        <f t="shared" si="78"/>
        <v>5.8296577050725627E-2</v>
      </c>
      <c r="P429" s="8">
        <f t="shared" si="79"/>
        <v>29264942.528735634</v>
      </c>
      <c r="Q429" s="12">
        <f t="shared" si="80"/>
        <v>1579000</v>
      </c>
      <c r="R429" s="13">
        <f t="shared" si="81"/>
        <v>5.3955342589501382E-2</v>
      </c>
    </row>
    <row r="430" spans="1:18" x14ac:dyDescent="0.3">
      <c r="A430" s="1">
        <v>19200001</v>
      </c>
      <c r="B430" s="1">
        <v>19250000</v>
      </c>
      <c r="C430" s="9">
        <v>15900</v>
      </c>
      <c r="E430" s="3">
        <f t="shared" si="82"/>
        <v>2502500</v>
      </c>
      <c r="F430" s="3">
        <f t="shared" si="83"/>
        <v>2175250</v>
      </c>
      <c r="G430" s="2">
        <f t="shared" si="72"/>
        <v>8.0675324675324678E-2</v>
      </c>
      <c r="H430" s="8">
        <f t="shared" si="73"/>
        <v>30000</v>
      </c>
      <c r="I430" s="8">
        <f t="shared" si="74"/>
        <v>1583000</v>
      </c>
      <c r="L430" s="8">
        <f t="shared" si="75"/>
        <v>25526650</v>
      </c>
      <c r="M430" s="8">
        <f t="shared" si="76"/>
        <v>27156010.638297874</v>
      </c>
      <c r="N430" s="12">
        <f t="shared" si="77"/>
        <v>1583000</v>
      </c>
      <c r="O430" s="13">
        <f t="shared" si="78"/>
        <v>5.8292803795249273E-2</v>
      </c>
      <c r="P430" s="8">
        <f t="shared" si="79"/>
        <v>29340977.011494253</v>
      </c>
      <c r="Q430" s="12">
        <f t="shared" si="80"/>
        <v>1583000</v>
      </c>
      <c r="R430" s="13">
        <f t="shared" si="81"/>
        <v>5.3951850321134968E-2</v>
      </c>
    </row>
    <row r="431" spans="1:18" x14ac:dyDescent="0.3">
      <c r="A431" s="1">
        <v>19250001</v>
      </c>
      <c r="B431" s="1">
        <v>19300000</v>
      </c>
      <c r="C431" s="9">
        <v>15900</v>
      </c>
      <c r="E431" s="3">
        <f t="shared" si="82"/>
        <v>2509000</v>
      </c>
      <c r="F431" s="3">
        <f t="shared" si="83"/>
        <v>2180900</v>
      </c>
      <c r="G431" s="2">
        <f t="shared" si="72"/>
        <v>8.0673575129533687E-2</v>
      </c>
      <c r="H431" s="8">
        <f t="shared" si="73"/>
        <v>30000</v>
      </c>
      <c r="I431" s="8">
        <f t="shared" si="74"/>
        <v>1587000.0000000002</v>
      </c>
      <c r="L431" s="8">
        <f t="shared" si="75"/>
        <v>25592800</v>
      </c>
      <c r="M431" s="8">
        <f t="shared" si="76"/>
        <v>27226382.978723407</v>
      </c>
      <c r="N431" s="12">
        <f t="shared" si="77"/>
        <v>1587000</v>
      </c>
      <c r="O431" s="13">
        <f t="shared" si="78"/>
        <v>5.8289050045325246E-2</v>
      </c>
      <c r="P431" s="8">
        <f t="shared" si="79"/>
        <v>29417011.494252875</v>
      </c>
      <c r="Q431" s="12">
        <f t="shared" si="80"/>
        <v>1587000</v>
      </c>
      <c r="R431" s="13">
        <f t="shared" si="81"/>
        <v>5.3948376105779745E-2</v>
      </c>
    </row>
    <row r="432" spans="1:18" x14ac:dyDescent="0.3">
      <c r="A432" s="1">
        <v>19300001</v>
      </c>
      <c r="B432" s="1">
        <v>19350000</v>
      </c>
      <c r="C432" s="9">
        <v>15900</v>
      </c>
      <c r="E432" s="3">
        <f t="shared" si="82"/>
        <v>2515500</v>
      </c>
      <c r="F432" s="3">
        <f t="shared" si="83"/>
        <v>2186550</v>
      </c>
      <c r="G432" s="2">
        <f t="shared" si="72"/>
        <v>8.0671834625323E-2</v>
      </c>
      <c r="H432" s="8">
        <f t="shared" si="73"/>
        <v>30000</v>
      </c>
      <c r="I432" s="8">
        <f t="shared" si="74"/>
        <v>1591000</v>
      </c>
      <c r="L432" s="8">
        <f t="shared" si="75"/>
        <v>25658950</v>
      </c>
      <c r="M432" s="8">
        <f t="shared" si="76"/>
        <v>27296755.319148939</v>
      </c>
      <c r="N432" s="12">
        <f t="shared" si="77"/>
        <v>1591000</v>
      </c>
      <c r="O432" s="13">
        <f t="shared" si="78"/>
        <v>5.8285315650094795E-2</v>
      </c>
      <c r="P432" s="8">
        <f t="shared" si="79"/>
        <v>29493045.977011494</v>
      </c>
      <c r="Q432" s="12">
        <f t="shared" si="80"/>
        <v>1591000</v>
      </c>
      <c r="R432" s="13">
        <f t="shared" si="81"/>
        <v>5.3944919803811144E-2</v>
      </c>
    </row>
    <row r="433" spans="1:18" x14ac:dyDescent="0.3">
      <c r="A433" s="1">
        <v>19350001</v>
      </c>
      <c r="B433" s="1">
        <v>19400000</v>
      </c>
      <c r="C433" s="9">
        <v>15900</v>
      </c>
      <c r="E433" s="3">
        <f t="shared" si="82"/>
        <v>2522000</v>
      </c>
      <c r="F433" s="3">
        <f t="shared" si="83"/>
        <v>2192200</v>
      </c>
      <c r="G433" s="2">
        <f t="shared" si="72"/>
        <v>8.067010309278351E-2</v>
      </c>
      <c r="H433" s="8">
        <f t="shared" si="73"/>
        <v>30000</v>
      </c>
      <c r="I433" s="8">
        <f t="shared" si="74"/>
        <v>1595000</v>
      </c>
      <c r="L433" s="8">
        <f t="shared" si="75"/>
        <v>25725100</v>
      </c>
      <c r="M433" s="8">
        <f t="shared" si="76"/>
        <v>27367127.659574471</v>
      </c>
      <c r="N433" s="12">
        <f t="shared" si="77"/>
        <v>1595000</v>
      </c>
      <c r="O433" s="13">
        <f t="shared" si="78"/>
        <v>5.8281600460250875E-2</v>
      </c>
      <c r="P433" s="8">
        <f t="shared" si="79"/>
        <v>29569080.459770117</v>
      </c>
      <c r="Q433" s="12">
        <f t="shared" si="80"/>
        <v>1595000</v>
      </c>
      <c r="R433" s="13">
        <f t="shared" si="81"/>
        <v>5.3941481277040709E-2</v>
      </c>
    </row>
    <row r="434" spans="1:18" x14ac:dyDescent="0.3">
      <c r="A434" s="1">
        <v>19400001</v>
      </c>
      <c r="B434" s="1">
        <v>19450000</v>
      </c>
      <c r="C434" s="9">
        <v>15900</v>
      </c>
      <c r="E434" s="3">
        <f t="shared" si="82"/>
        <v>2528500</v>
      </c>
      <c r="F434" s="3">
        <f t="shared" si="83"/>
        <v>2197850</v>
      </c>
      <c r="G434" s="2">
        <f t="shared" si="72"/>
        <v>8.066838046272494E-2</v>
      </c>
      <c r="H434" s="8">
        <f t="shared" si="73"/>
        <v>30000</v>
      </c>
      <c r="I434" s="8">
        <f t="shared" si="74"/>
        <v>1599000</v>
      </c>
      <c r="L434" s="8">
        <f t="shared" si="75"/>
        <v>25791250</v>
      </c>
      <c r="M434" s="8">
        <f t="shared" si="76"/>
        <v>27437500</v>
      </c>
      <c r="N434" s="12">
        <f t="shared" si="77"/>
        <v>1599000</v>
      </c>
      <c r="O434" s="13">
        <f t="shared" si="78"/>
        <v>5.8277904328018222E-2</v>
      </c>
      <c r="P434" s="8">
        <f t="shared" si="79"/>
        <v>29645114.942528736</v>
      </c>
      <c r="Q434" s="12">
        <f t="shared" si="80"/>
        <v>1599000</v>
      </c>
      <c r="R434" s="13">
        <f t="shared" si="81"/>
        <v>5.3938060388697716E-2</v>
      </c>
    </row>
    <row r="435" spans="1:18" x14ac:dyDescent="0.3">
      <c r="A435" s="1">
        <v>19450001</v>
      </c>
      <c r="B435" s="1">
        <v>19500000</v>
      </c>
      <c r="C435" s="9">
        <v>15900</v>
      </c>
      <c r="E435" s="3">
        <f t="shared" si="82"/>
        <v>2535000</v>
      </c>
      <c r="F435" s="3">
        <f t="shared" si="83"/>
        <v>2203500</v>
      </c>
      <c r="G435" s="2">
        <f t="shared" si="72"/>
        <v>8.0666666666666664E-2</v>
      </c>
      <c r="H435" s="8">
        <f t="shared" si="73"/>
        <v>30000</v>
      </c>
      <c r="I435" s="8">
        <f t="shared" si="74"/>
        <v>1603000</v>
      </c>
      <c r="L435" s="8">
        <f t="shared" si="75"/>
        <v>25857400</v>
      </c>
      <c r="M435" s="8">
        <f t="shared" si="76"/>
        <v>27507872.340425532</v>
      </c>
      <c r="N435" s="12">
        <f t="shared" si="77"/>
        <v>1603000</v>
      </c>
      <c r="O435" s="13">
        <f t="shared" si="78"/>
        <v>5.8274227107133737E-2</v>
      </c>
      <c r="P435" s="8">
        <f t="shared" si="79"/>
        <v>29721149.425287355</v>
      </c>
      <c r="Q435" s="12">
        <f t="shared" si="80"/>
        <v>1603000</v>
      </c>
      <c r="R435" s="13">
        <f t="shared" si="81"/>
        <v>5.3934657003411018E-2</v>
      </c>
    </row>
    <row r="436" spans="1:18" x14ac:dyDescent="0.3">
      <c r="A436" s="1">
        <v>19500001</v>
      </c>
      <c r="B436" s="1">
        <v>19550000</v>
      </c>
      <c r="C436" s="9">
        <v>15900</v>
      </c>
      <c r="E436" s="3">
        <f t="shared" si="82"/>
        <v>2541500</v>
      </c>
      <c r="F436" s="3">
        <f t="shared" si="83"/>
        <v>2209150</v>
      </c>
      <c r="G436" s="2">
        <f t="shared" si="72"/>
        <v>8.0664961636828653E-2</v>
      </c>
      <c r="H436" s="8">
        <f t="shared" si="73"/>
        <v>30000</v>
      </c>
      <c r="I436" s="8">
        <f t="shared" si="74"/>
        <v>1607000.0000000002</v>
      </c>
      <c r="L436" s="8">
        <f t="shared" si="75"/>
        <v>25923550</v>
      </c>
      <c r="M436" s="8">
        <f t="shared" si="76"/>
        <v>27578244.680851065</v>
      </c>
      <c r="N436" s="12">
        <f t="shared" si="77"/>
        <v>1607000</v>
      </c>
      <c r="O436" s="13">
        <f t="shared" si="78"/>
        <v>5.8270568652827252E-2</v>
      </c>
      <c r="P436" s="8">
        <f t="shared" si="79"/>
        <v>29797183.908045977</v>
      </c>
      <c r="Q436" s="12">
        <f t="shared" si="80"/>
        <v>1607000</v>
      </c>
      <c r="R436" s="13">
        <f t="shared" si="81"/>
        <v>5.3931270987191179E-2</v>
      </c>
    </row>
    <row r="437" spans="1:18" x14ac:dyDescent="0.3">
      <c r="A437" s="1">
        <v>19550001</v>
      </c>
      <c r="B437" s="1">
        <v>19600000</v>
      </c>
      <c r="C437" s="9">
        <v>15900</v>
      </c>
      <c r="E437" s="3">
        <f t="shared" si="82"/>
        <v>2548000</v>
      </c>
      <c r="F437" s="3">
        <f t="shared" si="83"/>
        <v>2214800</v>
      </c>
      <c r="G437" s="2">
        <f t="shared" si="72"/>
        <v>8.0663265306122445E-2</v>
      </c>
      <c r="H437" s="8">
        <f t="shared" si="73"/>
        <v>30000</v>
      </c>
      <c r="I437" s="8">
        <f t="shared" si="74"/>
        <v>1611000</v>
      </c>
      <c r="L437" s="8">
        <f t="shared" si="75"/>
        <v>25989700</v>
      </c>
      <c r="M437" s="8">
        <f t="shared" si="76"/>
        <v>27648617.021276597</v>
      </c>
      <c r="N437" s="12">
        <f t="shared" si="77"/>
        <v>1611000</v>
      </c>
      <c r="O437" s="13">
        <f t="shared" si="78"/>
        <v>5.8266928821802483E-2</v>
      </c>
      <c r="P437" s="8">
        <f t="shared" si="79"/>
        <v>29873218.390804596</v>
      </c>
      <c r="Q437" s="12">
        <f t="shared" si="80"/>
        <v>1611000</v>
      </c>
      <c r="R437" s="13">
        <f t="shared" si="81"/>
        <v>5.3927902207412941E-2</v>
      </c>
    </row>
    <row r="438" spans="1:18" x14ac:dyDescent="0.3">
      <c r="A438" s="1">
        <v>19600001</v>
      </c>
      <c r="B438" s="1">
        <v>19650000</v>
      </c>
      <c r="C438" s="9">
        <v>15900</v>
      </c>
      <c r="E438" s="3">
        <f t="shared" si="82"/>
        <v>2554500</v>
      </c>
      <c r="F438" s="3">
        <f t="shared" si="83"/>
        <v>2220450</v>
      </c>
      <c r="G438" s="2">
        <f t="shared" si="72"/>
        <v>8.0661577608142493E-2</v>
      </c>
      <c r="H438" s="8">
        <f t="shared" si="73"/>
        <v>30000</v>
      </c>
      <c r="I438" s="8">
        <f t="shared" si="74"/>
        <v>1615000</v>
      </c>
      <c r="L438" s="8">
        <f t="shared" si="75"/>
        <v>26055850</v>
      </c>
      <c r="M438" s="8">
        <f t="shared" si="76"/>
        <v>27718989.361702129</v>
      </c>
      <c r="N438" s="12">
        <f t="shared" si="77"/>
        <v>1615000</v>
      </c>
      <c r="O438" s="13">
        <f t="shared" si="78"/>
        <v>5.8263307472218327E-2</v>
      </c>
      <c r="P438" s="8">
        <f t="shared" si="79"/>
        <v>29949252.873563219</v>
      </c>
      <c r="Q438" s="12">
        <f t="shared" si="80"/>
        <v>1615000</v>
      </c>
      <c r="R438" s="13">
        <f t="shared" si="81"/>
        <v>5.3924550532797814E-2</v>
      </c>
    </row>
    <row r="439" spans="1:18" x14ac:dyDescent="0.3">
      <c r="A439" s="1">
        <v>19650001</v>
      </c>
      <c r="B439" s="1">
        <v>19700000</v>
      </c>
      <c r="C439" s="9">
        <v>15900</v>
      </c>
      <c r="E439" s="3">
        <f t="shared" si="82"/>
        <v>2561000</v>
      </c>
      <c r="F439" s="3">
        <f t="shared" si="83"/>
        <v>2226100</v>
      </c>
      <c r="G439" s="2">
        <f t="shared" si="72"/>
        <v>8.0659898477157363E-2</v>
      </c>
      <c r="H439" s="8">
        <f t="shared" si="73"/>
        <v>30000</v>
      </c>
      <c r="I439" s="8">
        <f t="shared" si="74"/>
        <v>1619000</v>
      </c>
      <c r="L439" s="8">
        <f t="shared" si="75"/>
        <v>26122000</v>
      </c>
      <c r="M439" s="8">
        <f t="shared" si="76"/>
        <v>27789361.702127662</v>
      </c>
      <c r="N439" s="12">
        <f t="shared" si="77"/>
        <v>1619000</v>
      </c>
      <c r="O439" s="13">
        <f t="shared" si="78"/>
        <v>5.8259704463670466E-2</v>
      </c>
      <c r="P439" s="8">
        <f t="shared" si="79"/>
        <v>30025287.356321838</v>
      </c>
      <c r="Q439" s="12">
        <f t="shared" si="80"/>
        <v>1619000</v>
      </c>
      <c r="R439" s="13">
        <f t="shared" si="81"/>
        <v>5.3921215833397138E-2</v>
      </c>
    </row>
    <row r="440" spans="1:18" x14ac:dyDescent="0.3">
      <c r="A440" s="1">
        <v>19700001</v>
      </c>
      <c r="B440" s="1">
        <v>19750000</v>
      </c>
      <c r="C440" s="9">
        <v>15900</v>
      </c>
      <c r="E440" s="3">
        <f t="shared" si="82"/>
        <v>2567500</v>
      </c>
      <c r="F440" s="3">
        <f t="shared" si="83"/>
        <v>2231750</v>
      </c>
      <c r="G440" s="2">
        <f t="shared" si="72"/>
        <v>8.0658227848101269E-2</v>
      </c>
      <c r="H440" s="8">
        <f t="shared" si="73"/>
        <v>30000</v>
      </c>
      <c r="I440" s="8">
        <f t="shared" si="74"/>
        <v>1623000</v>
      </c>
      <c r="L440" s="8">
        <f t="shared" si="75"/>
        <v>26188150</v>
      </c>
      <c r="M440" s="8">
        <f t="shared" si="76"/>
        <v>27859734.042553194</v>
      </c>
      <c r="N440" s="12">
        <f t="shared" si="77"/>
        <v>1623000</v>
      </c>
      <c r="O440" s="13">
        <f t="shared" si="78"/>
        <v>5.8256119657173179E-2</v>
      </c>
      <c r="P440" s="8">
        <f t="shared" si="79"/>
        <v>30101321.83908046</v>
      </c>
      <c r="Q440" s="12">
        <f t="shared" si="80"/>
        <v>1623000</v>
      </c>
      <c r="R440" s="13">
        <f t="shared" si="81"/>
        <v>5.3917897980575183E-2</v>
      </c>
    </row>
    <row r="441" spans="1:18" x14ac:dyDescent="0.3">
      <c r="A441" s="1">
        <v>19750001</v>
      </c>
      <c r="B441" s="1">
        <v>19800000</v>
      </c>
      <c r="C441" s="9">
        <v>15900</v>
      </c>
      <c r="E441" s="3">
        <f t="shared" si="82"/>
        <v>2574000</v>
      </c>
      <c r="F441" s="3">
        <f t="shared" si="83"/>
        <v>2237400</v>
      </c>
      <c r="G441" s="2">
        <f t="shared" si="72"/>
        <v>8.0656565656565662E-2</v>
      </c>
      <c r="H441" s="8">
        <f t="shared" si="73"/>
        <v>30000</v>
      </c>
      <c r="I441" s="8">
        <f t="shared" si="74"/>
        <v>1627000.0000000002</v>
      </c>
      <c r="L441" s="8">
        <f t="shared" si="75"/>
        <v>26254300</v>
      </c>
      <c r="M441" s="8">
        <f t="shared" si="76"/>
        <v>27930106.382978726</v>
      </c>
      <c r="N441" s="12">
        <f t="shared" si="77"/>
        <v>1627000</v>
      </c>
      <c r="O441" s="13">
        <f t="shared" si="78"/>
        <v>5.8252552915141517E-2</v>
      </c>
      <c r="P441" s="8">
        <f t="shared" si="79"/>
        <v>30177356.321839079</v>
      </c>
      <c r="Q441" s="12">
        <f t="shared" si="80"/>
        <v>1627000</v>
      </c>
      <c r="R441" s="13">
        <f t="shared" si="81"/>
        <v>5.3914596846992686E-2</v>
      </c>
    </row>
    <row r="442" spans="1:18" x14ac:dyDescent="0.3">
      <c r="A442" s="1">
        <v>19800001</v>
      </c>
      <c r="B442" s="1">
        <v>19850000</v>
      </c>
      <c r="C442" s="9">
        <v>15900</v>
      </c>
      <c r="E442" s="3">
        <f t="shared" si="82"/>
        <v>2580500</v>
      </c>
      <c r="F442" s="3">
        <f t="shared" si="83"/>
        <v>2243050</v>
      </c>
      <c r="G442" s="2">
        <f t="shared" si="72"/>
        <v>8.0654911838790935E-2</v>
      </c>
      <c r="H442" s="8">
        <f t="shared" si="73"/>
        <v>30000</v>
      </c>
      <c r="I442" s="8">
        <f t="shared" si="74"/>
        <v>1631000</v>
      </c>
      <c r="L442" s="8">
        <f t="shared" si="75"/>
        <v>26320450</v>
      </c>
      <c r="M442" s="8">
        <f t="shared" si="76"/>
        <v>28000478.723404258</v>
      </c>
      <c r="N442" s="12">
        <f t="shared" si="77"/>
        <v>1631000</v>
      </c>
      <c r="O442" s="13">
        <f t="shared" si="78"/>
        <v>5.8249004101373639E-2</v>
      </c>
      <c r="P442" s="8">
        <f t="shared" si="79"/>
        <v>30253390.804597702</v>
      </c>
      <c r="Q442" s="12">
        <f t="shared" si="80"/>
        <v>1631000</v>
      </c>
      <c r="R442" s="13">
        <f t="shared" si="81"/>
        <v>5.3911312306590499E-2</v>
      </c>
    </row>
    <row r="443" spans="1:18" x14ac:dyDescent="0.3">
      <c r="A443" s="1">
        <v>19850001</v>
      </c>
      <c r="B443" s="1">
        <v>19900000</v>
      </c>
      <c r="C443" s="9">
        <v>15900</v>
      </c>
      <c r="E443" s="3">
        <f t="shared" si="82"/>
        <v>2587000</v>
      </c>
      <c r="F443" s="3">
        <f t="shared" si="83"/>
        <v>2248700</v>
      </c>
      <c r="G443" s="2">
        <f t="shared" si="72"/>
        <v>8.0653266331658299E-2</v>
      </c>
      <c r="H443" s="8">
        <f t="shared" si="73"/>
        <v>30000</v>
      </c>
      <c r="I443" s="8">
        <f t="shared" si="74"/>
        <v>1635000.0000000002</v>
      </c>
      <c r="L443" s="8">
        <f t="shared" si="75"/>
        <v>26386600</v>
      </c>
      <c r="M443" s="8">
        <f t="shared" si="76"/>
        <v>28070851.063829787</v>
      </c>
      <c r="N443" s="12">
        <f t="shared" si="77"/>
        <v>1635000</v>
      </c>
      <c r="O443" s="13">
        <f t="shared" si="78"/>
        <v>5.8245473081033554E-2</v>
      </c>
      <c r="P443" s="8">
        <f t="shared" si="79"/>
        <v>30329425.287356321</v>
      </c>
      <c r="Q443" s="12">
        <f t="shared" si="80"/>
        <v>1635000</v>
      </c>
      <c r="R443" s="13">
        <f t="shared" si="81"/>
        <v>5.3908044234573613E-2</v>
      </c>
    </row>
    <row r="444" spans="1:18" x14ac:dyDescent="0.3">
      <c r="A444" s="1">
        <v>19900001</v>
      </c>
      <c r="B444" s="1">
        <v>19950000</v>
      </c>
      <c r="C444" s="9">
        <v>15900</v>
      </c>
      <c r="E444" s="3">
        <f t="shared" si="82"/>
        <v>2593500</v>
      </c>
      <c r="F444" s="3">
        <f t="shared" si="83"/>
        <v>2254350</v>
      </c>
      <c r="G444" s="2">
        <f t="shared" si="72"/>
        <v>8.065162907268171E-2</v>
      </c>
      <c r="H444" s="8">
        <f t="shared" si="73"/>
        <v>30000</v>
      </c>
      <c r="I444" s="8">
        <f t="shared" si="74"/>
        <v>1639000.0000000002</v>
      </c>
      <c r="L444" s="8">
        <f t="shared" si="75"/>
        <v>26452750</v>
      </c>
      <c r="M444" s="8">
        <f t="shared" si="76"/>
        <v>28141223.404255319</v>
      </c>
      <c r="N444" s="12">
        <f t="shared" si="77"/>
        <v>1639000</v>
      </c>
      <c r="O444" s="13">
        <f t="shared" si="78"/>
        <v>5.8241959720633958E-2</v>
      </c>
      <c r="P444" s="8">
        <f t="shared" si="79"/>
        <v>30405459.770114943</v>
      </c>
      <c r="Q444" s="12">
        <f t="shared" si="80"/>
        <v>1639000</v>
      </c>
      <c r="R444" s="13">
        <f t="shared" si="81"/>
        <v>5.3904792507395258E-2</v>
      </c>
    </row>
    <row r="445" spans="1:18" x14ac:dyDescent="0.3">
      <c r="A445" s="1">
        <v>19950001</v>
      </c>
      <c r="B445" s="1">
        <v>20000000</v>
      </c>
      <c r="C445" s="9">
        <v>15900</v>
      </c>
      <c r="E445" s="3">
        <f t="shared" si="82"/>
        <v>2600000</v>
      </c>
      <c r="F445" s="3">
        <f t="shared" si="83"/>
        <v>2260000</v>
      </c>
      <c r="G445" s="2">
        <f t="shared" si="72"/>
        <v>8.0649999999999999E-2</v>
      </c>
      <c r="H445" s="8">
        <f t="shared" si="73"/>
        <v>30000</v>
      </c>
      <c r="I445" s="8">
        <f t="shared" si="74"/>
        <v>1643000</v>
      </c>
      <c r="L445" s="8">
        <f t="shared" si="75"/>
        <v>26518900</v>
      </c>
      <c r="M445" s="8">
        <f t="shared" si="76"/>
        <v>28211595.744680852</v>
      </c>
      <c r="N445" s="12">
        <f t="shared" si="77"/>
        <v>1643000</v>
      </c>
      <c r="O445" s="13">
        <f t="shared" si="78"/>
        <v>5.8238463888019489E-2</v>
      </c>
      <c r="P445" s="8">
        <f t="shared" si="79"/>
        <v>30481494.252873562</v>
      </c>
      <c r="Q445" s="12">
        <f t="shared" si="80"/>
        <v>1643000</v>
      </c>
      <c r="R445" s="13">
        <f t="shared" si="81"/>
        <v>5.3901557002741442E-2</v>
      </c>
    </row>
    <row r="446" spans="1:18" x14ac:dyDescent="0.3">
      <c r="A446" s="1">
        <v>20000001</v>
      </c>
      <c r="B446" s="1">
        <v>20050000</v>
      </c>
      <c r="C446" s="9">
        <v>15900</v>
      </c>
      <c r="E446" s="3">
        <f t="shared" si="82"/>
        <v>2606500</v>
      </c>
      <c r="F446" s="3">
        <f t="shared" si="83"/>
        <v>2265650</v>
      </c>
      <c r="G446" s="2">
        <f t="shared" si="72"/>
        <v>8.0648379052369074E-2</v>
      </c>
      <c r="H446" s="8">
        <f t="shared" si="73"/>
        <v>30000</v>
      </c>
      <c r="I446" s="8">
        <f t="shared" si="74"/>
        <v>1647000</v>
      </c>
      <c r="L446" s="8">
        <f t="shared" si="75"/>
        <v>26585050</v>
      </c>
      <c r="M446" s="8">
        <f t="shared" si="76"/>
        <v>28281968.085106384</v>
      </c>
      <c r="N446" s="12">
        <f t="shared" si="77"/>
        <v>1647000</v>
      </c>
      <c r="O446" s="13">
        <f t="shared" si="78"/>
        <v>5.8234985452350098E-2</v>
      </c>
      <c r="P446" s="8">
        <f t="shared" si="79"/>
        <v>30557528.735632185</v>
      </c>
      <c r="Q446" s="12">
        <f t="shared" si="80"/>
        <v>1647000</v>
      </c>
      <c r="R446" s="13">
        <f t="shared" si="81"/>
        <v>5.3898337599515518E-2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구간별 계산식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이광성</dc:creator>
  <cp:lastModifiedBy>광성 이</cp:lastModifiedBy>
  <dcterms:created xsi:type="dcterms:W3CDTF">2026-07-03T08:40:46Z</dcterms:created>
  <dcterms:modified xsi:type="dcterms:W3CDTF">2026-07-29T09:14:36Z</dcterms:modified>
</cp:coreProperties>
</file>