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codeName="ThisWorkbook"/>
  <mc:AlternateContent xmlns:mc="http://schemas.openxmlformats.org/markup-compatibility/2006">
    <mc:Choice Requires="x15">
      <x15ac:absPath xmlns:x15ac="http://schemas.microsoft.com/office/spreadsheetml/2010/11/ac" url="E:\ALL8\구간별 마진식\"/>
    </mc:Choice>
  </mc:AlternateContent>
  <xr:revisionPtr revIDLastSave="0" documentId="13_ncr:1_{9DF8A3E7-FCD3-43F8-B39D-4F823FADB64F}" xr6:coauthVersionLast="47" xr6:coauthVersionMax="47" xr10:uidLastSave="{00000000-0000-0000-0000-000000000000}"/>
  <bookViews>
    <workbookView xWindow="28680" yWindow="555" windowWidth="29040" windowHeight="15720" xr2:uid="{00000000-000D-0000-FFFF-FFFF00000000}"/>
  </bookViews>
  <sheets>
    <sheet name="구간별 계산식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P446" i="1" l="1"/>
  <c r="Q446" i="1" s="1"/>
  <c r="R446" i="1" s="1"/>
  <c r="M446" i="1"/>
  <c r="N446" i="1" s="1"/>
  <c r="O446" i="1" s="1"/>
  <c r="Q445" i="1"/>
  <c r="R445" i="1" s="1"/>
  <c r="P445" i="1"/>
  <c r="M445" i="1"/>
  <c r="N445" i="1" s="1"/>
  <c r="O445" i="1" s="1"/>
  <c r="P444" i="1"/>
  <c r="Q444" i="1" s="1"/>
  <c r="R444" i="1" s="1"/>
  <c r="M444" i="1"/>
  <c r="N444" i="1" s="1"/>
  <c r="O444" i="1" s="1"/>
  <c r="Q443" i="1"/>
  <c r="R443" i="1" s="1"/>
  <c r="P443" i="1"/>
  <c r="M443" i="1"/>
  <c r="N443" i="1" s="1"/>
  <c r="O443" i="1" s="1"/>
  <c r="P442" i="1"/>
  <c r="Q442" i="1" s="1"/>
  <c r="R442" i="1" s="1"/>
  <c r="M442" i="1"/>
  <c r="N442" i="1" s="1"/>
  <c r="O442" i="1" s="1"/>
  <c r="Q441" i="1"/>
  <c r="R441" i="1" s="1"/>
  <c r="P441" i="1"/>
  <c r="M441" i="1"/>
  <c r="N441" i="1" s="1"/>
  <c r="O441" i="1" s="1"/>
  <c r="P440" i="1"/>
  <c r="Q440" i="1" s="1"/>
  <c r="R440" i="1" s="1"/>
  <c r="M440" i="1"/>
  <c r="N440" i="1" s="1"/>
  <c r="O440" i="1" s="1"/>
  <c r="Q439" i="1"/>
  <c r="R439" i="1" s="1"/>
  <c r="P439" i="1"/>
  <c r="M439" i="1"/>
  <c r="N439" i="1" s="1"/>
  <c r="O439" i="1" s="1"/>
  <c r="P438" i="1"/>
  <c r="Q438" i="1" s="1"/>
  <c r="R438" i="1" s="1"/>
  <c r="M438" i="1"/>
  <c r="N438" i="1" s="1"/>
  <c r="O438" i="1" s="1"/>
  <c r="Q437" i="1"/>
  <c r="R437" i="1" s="1"/>
  <c r="P437" i="1"/>
  <c r="M437" i="1"/>
  <c r="N437" i="1" s="1"/>
  <c r="O437" i="1" s="1"/>
  <c r="P436" i="1"/>
  <c r="Q436" i="1" s="1"/>
  <c r="R436" i="1" s="1"/>
  <c r="M436" i="1"/>
  <c r="N436" i="1" s="1"/>
  <c r="O436" i="1" s="1"/>
  <c r="Q435" i="1"/>
  <c r="R435" i="1" s="1"/>
  <c r="P435" i="1"/>
  <c r="O435" i="1"/>
  <c r="M435" i="1"/>
  <c r="N435" i="1" s="1"/>
  <c r="P434" i="1"/>
  <c r="Q434" i="1" s="1"/>
  <c r="R434" i="1" s="1"/>
  <c r="M434" i="1"/>
  <c r="N434" i="1" s="1"/>
  <c r="O434" i="1" s="1"/>
  <c r="Q433" i="1"/>
  <c r="R433" i="1" s="1"/>
  <c r="P433" i="1"/>
  <c r="M433" i="1"/>
  <c r="N433" i="1" s="1"/>
  <c r="O433" i="1" s="1"/>
  <c r="P432" i="1"/>
  <c r="Q432" i="1" s="1"/>
  <c r="R432" i="1" s="1"/>
  <c r="M432" i="1"/>
  <c r="N432" i="1" s="1"/>
  <c r="O432" i="1" s="1"/>
  <c r="Q431" i="1"/>
  <c r="R431" i="1" s="1"/>
  <c r="P431" i="1"/>
  <c r="O431" i="1"/>
  <c r="M431" i="1"/>
  <c r="N431" i="1" s="1"/>
  <c r="P430" i="1"/>
  <c r="Q430" i="1" s="1"/>
  <c r="R430" i="1" s="1"/>
  <c r="M430" i="1"/>
  <c r="N430" i="1" s="1"/>
  <c r="O430" i="1" s="1"/>
  <c r="Q429" i="1"/>
  <c r="R429" i="1" s="1"/>
  <c r="P429" i="1"/>
  <c r="M429" i="1"/>
  <c r="N429" i="1" s="1"/>
  <c r="O429" i="1" s="1"/>
  <c r="P428" i="1"/>
  <c r="Q428" i="1" s="1"/>
  <c r="R428" i="1" s="1"/>
  <c r="M428" i="1"/>
  <c r="N428" i="1" s="1"/>
  <c r="O428" i="1" s="1"/>
  <c r="Q427" i="1"/>
  <c r="R427" i="1" s="1"/>
  <c r="P427" i="1"/>
  <c r="M427" i="1"/>
  <c r="N427" i="1" s="1"/>
  <c r="O427" i="1" s="1"/>
  <c r="P426" i="1"/>
  <c r="Q426" i="1" s="1"/>
  <c r="R426" i="1" s="1"/>
  <c r="M426" i="1"/>
  <c r="N426" i="1" s="1"/>
  <c r="O426" i="1" s="1"/>
  <c r="Q425" i="1"/>
  <c r="R425" i="1" s="1"/>
  <c r="P425" i="1"/>
  <c r="M425" i="1"/>
  <c r="N425" i="1" s="1"/>
  <c r="O425" i="1" s="1"/>
  <c r="P424" i="1"/>
  <c r="Q424" i="1" s="1"/>
  <c r="R424" i="1" s="1"/>
  <c r="M424" i="1"/>
  <c r="N424" i="1" s="1"/>
  <c r="O424" i="1" s="1"/>
  <c r="Q423" i="1"/>
  <c r="R423" i="1" s="1"/>
  <c r="P423" i="1"/>
  <c r="M423" i="1"/>
  <c r="N423" i="1" s="1"/>
  <c r="O423" i="1" s="1"/>
  <c r="P422" i="1"/>
  <c r="Q422" i="1" s="1"/>
  <c r="R422" i="1" s="1"/>
  <c r="M422" i="1"/>
  <c r="N422" i="1" s="1"/>
  <c r="O422" i="1" s="1"/>
  <c r="Q421" i="1"/>
  <c r="R421" i="1" s="1"/>
  <c r="P421" i="1"/>
  <c r="M421" i="1"/>
  <c r="N421" i="1" s="1"/>
  <c r="O421" i="1" s="1"/>
  <c r="P420" i="1"/>
  <c r="Q420" i="1" s="1"/>
  <c r="R420" i="1" s="1"/>
  <c r="M420" i="1"/>
  <c r="N420" i="1" s="1"/>
  <c r="O420" i="1" s="1"/>
  <c r="Q419" i="1"/>
  <c r="R419" i="1" s="1"/>
  <c r="P419" i="1"/>
  <c r="M419" i="1"/>
  <c r="N419" i="1" s="1"/>
  <c r="O419" i="1" s="1"/>
  <c r="P418" i="1"/>
  <c r="Q418" i="1" s="1"/>
  <c r="R418" i="1" s="1"/>
  <c r="M418" i="1"/>
  <c r="N418" i="1" s="1"/>
  <c r="O418" i="1" s="1"/>
  <c r="Q417" i="1"/>
  <c r="R417" i="1" s="1"/>
  <c r="P417" i="1"/>
  <c r="M417" i="1"/>
  <c r="N417" i="1" s="1"/>
  <c r="O417" i="1" s="1"/>
  <c r="P416" i="1"/>
  <c r="Q416" i="1" s="1"/>
  <c r="R416" i="1" s="1"/>
  <c r="M416" i="1"/>
  <c r="N416" i="1" s="1"/>
  <c r="O416" i="1" s="1"/>
  <c r="Q415" i="1"/>
  <c r="R415" i="1" s="1"/>
  <c r="P415" i="1"/>
  <c r="O415" i="1"/>
  <c r="M415" i="1"/>
  <c r="N415" i="1" s="1"/>
  <c r="P414" i="1"/>
  <c r="Q414" i="1" s="1"/>
  <c r="R414" i="1" s="1"/>
  <c r="M414" i="1"/>
  <c r="N414" i="1" s="1"/>
  <c r="O414" i="1" s="1"/>
  <c r="Q413" i="1"/>
  <c r="R413" i="1" s="1"/>
  <c r="P413" i="1"/>
  <c r="M413" i="1"/>
  <c r="N413" i="1" s="1"/>
  <c r="O413" i="1" s="1"/>
  <c r="P412" i="1"/>
  <c r="Q412" i="1" s="1"/>
  <c r="R412" i="1" s="1"/>
  <c r="M412" i="1"/>
  <c r="N412" i="1" s="1"/>
  <c r="O412" i="1" s="1"/>
  <c r="Q411" i="1"/>
  <c r="R411" i="1" s="1"/>
  <c r="P411" i="1"/>
  <c r="M411" i="1"/>
  <c r="N411" i="1" s="1"/>
  <c r="O411" i="1" s="1"/>
  <c r="P410" i="1"/>
  <c r="Q410" i="1" s="1"/>
  <c r="R410" i="1" s="1"/>
  <c r="M410" i="1"/>
  <c r="N410" i="1" s="1"/>
  <c r="O410" i="1" s="1"/>
  <c r="Q409" i="1"/>
  <c r="R409" i="1" s="1"/>
  <c r="P409" i="1"/>
  <c r="M409" i="1"/>
  <c r="N409" i="1" s="1"/>
  <c r="O409" i="1" s="1"/>
  <c r="P408" i="1"/>
  <c r="Q408" i="1" s="1"/>
  <c r="R408" i="1" s="1"/>
  <c r="M408" i="1"/>
  <c r="N408" i="1" s="1"/>
  <c r="O408" i="1" s="1"/>
  <c r="Q407" i="1"/>
  <c r="R407" i="1" s="1"/>
  <c r="P407" i="1"/>
  <c r="M407" i="1"/>
  <c r="N407" i="1" s="1"/>
  <c r="O407" i="1" s="1"/>
  <c r="P406" i="1"/>
  <c r="Q406" i="1" s="1"/>
  <c r="R406" i="1" s="1"/>
  <c r="M406" i="1"/>
  <c r="N406" i="1" s="1"/>
  <c r="O406" i="1" s="1"/>
  <c r="Q405" i="1"/>
  <c r="R405" i="1" s="1"/>
  <c r="P405" i="1"/>
  <c r="M405" i="1"/>
  <c r="N405" i="1" s="1"/>
  <c r="O405" i="1" s="1"/>
  <c r="P404" i="1"/>
  <c r="Q404" i="1" s="1"/>
  <c r="R404" i="1" s="1"/>
  <c r="M404" i="1"/>
  <c r="N404" i="1" s="1"/>
  <c r="O404" i="1" s="1"/>
  <c r="Q403" i="1"/>
  <c r="R403" i="1" s="1"/>
  <c r="P403" i="1"/>
  <c r="O403" i="1"/>
  <c r="M403" i="1"/>
  <c r="N403" i="1" s="1"/>
  <c r="P402" i="1"/>
  <c r="Q402" i="1" s="1"/>
  <c r="R402" i="1" s="1"/>
  <c r="M402" i="1"/>
  <c r="N402" i="1" s="1"/>
  <c r="O402" i="1" s="1"/>
  <c r="Q401" i="1"/>
  <c r="R401" i="1" s="1"/>
  <c r="P401" i="1"/>
  <c r="M401" i="1"/>
  <c r="N401" i="1" s="1"/>
  <c r="O401" i="1" s="1"/>
  <c r="P400" i="1"/>
  <c r="Q400" i="1" s="1"/>
  <c r="R400" i="1" s="1"/>
  <c r="M400" i="1"/>
  <c r="N400" i="1" s="1"/>
  <c r="O400" i="1" s="1"/>
  <c r="Q399" i="1"/>
  <c r="R399" i="1" s="1"/>
  <c r="P399" i="1"/>
  <c r="M399" i="1"/>
  <c r="N399" i="1" s="1"/>
  <c r="O399" i="1" s="1"/>
  <c r="P398" i="1"/>
  <c r="Q398" i="1" s="1"/>
  <c r="R398" i="1" s="1"/>
  <c r="M398" i="1"/>
  <c r="N398" i="1" s="1"/>
  <c r="O398" i="1" s="1"/>
  <c r="Q397" i="1"/>
  <c r="R397" i="1" s="1"/>
  <c r="P397" i="1"/>
  <c r="M397" i="1"/>
  <c r="N397" i="1" s="1"/>
  <c r="O397" i="1" s="1"/>
  <c r="P396" i="1"/>
  <c r="Q396" i="1" s="1"/>
  <c r="R396" i="1" s="1"/>
  <c r="M396" i="1"/>
  <c r="N396" i="1" s="1"/>
  <c r="O396" i="1" s="1"/>
  <c r="Q395" i="1"/>
  <c r="R395" i="1" s="1"/>
  <c r="P395" i="1"/>
  <c r="M395" i="1"/>
  <c r="N395" i="1" s="1"/>
  <c r="O395" i="1" s="1"/>
  <c r="P394" i="1"/>
  <c r="Q394" i="1" s="1"/>
  <c r="R394" i="1" s="1"/>
  <c r="M394" i="1"/>
  <c r="N394" i="1" s="1"/>
  <c r="O394" i="1" s="1"/>
  <c r="Q393" i="1"/>
  <c r="R393" i="1" s="1"/>
  <c r="P393" i="1"/>
  <c r="M393" i="1"/>
  <c r="N393" i="1" s="1"/>
  <c r="O393" i="1" s="1"/>
  <c r="P392" i="1"/>
  <c r="Q392" i="1" s="1"/>
  <c r="R392" i="1" s="1"/>
  <c r="M392" i="1"/>
  <c r="N392" i="1" s="1"/>
  <c r="O392" i="1" s="1"/>
  <c r="Q391" i="1"/>
  <c r="R391" i="1" s="1"/>
  <c r="P391" i="1"/>
  <c r="M391" i="1"/>
  <c r="N391" i="1" s="1"/>
  <c r="O391" i="1" s="1"/>
  <c r="P390" i="1"/>
  <c r="Q390" i="1" s="1"/>
  <c r="R390" i="1" s="1"/>
  <c r="M390" i="1"/>
  <c r="N390" i="1" s="1"/>
  <c r="O390" i="1" s="1"/>
  <c r="Q389" i="1"/>
  <c r="R389" i="1" s="1"/>
  <c r="P389" i="1"/>
  <c r="M389" i="1"/>
  <c r="N389" i="1" s="1"/>
  <c r="O389" i="1" s="1"/>
  <c r="P388" i="1"/>
  <c r="Q388" i="1" s="1"/>
  <c r="R388" i="1" s="1"/>
  <c r="M388" i="1"/>
  <c r="N388" i="1" s="1"/>
  <c r="O388" i="1" s="1"/>
  <c r="Q387" i="1"/>
  <c r="R387" i="1" s="1"/>
  <c r="P387" i="1"/>
  <c r="O387" i="1"/>
  <c r="M387" i="1"/>
  <c r="N387" i="1" s="1"/>
  <c r="P386" i="1"/>
  <c r="Q386" i="1" s="1"/>
  <c r="R386" i="1" s="1"/>
  <c r="M386" i="1"/>
  <c r="N386" i="1" s="1"/>
  <c r="O386" i="1" s="1"/>
  <c r="Q385" i="1"/>
  <c r="R385" i="1" s="1"/>
  <c r="P385" i="1"/>
  <c r="M385" i="1"/>
  <c r="N385" i="1" s="1"/>
  <c r="O385" i="1" s="1"/>
  <c r="P384" i="1"/>
  <c r="Q384" i="1" s="1"/>
  <c r="R384" i="1" s="1"/>
  <c r="M384" i="1"/>
  <c r="N384" i="1" s="1"/>
  <c r="O384" i="1" s="1"/>
  <c r="P383" i="1"/>
  <c r="Q383" i="1" s="1"/>
  <c r="R383" i="1" s="1"/>
  <c r="O383" i="1"/>
  <c r="M383" i="1"/>
  <c r="N383" i="1" s="1"/>
  <c r="P382" i="1"/>
  <c r="Q382" i="1" s="1"/>
  <c r="R382" i="1" s="1"/>
  <c r="M382" i="1"/>
  <c r="N382" i="1" s="1"/>
  <c r="O382" i="1" s="1"/>
  <c r="Q381" i="1"/>
  <c r="R381" i="1" s="1"/>
  <c r="P381" i="1"/>
  <c r="M381" i="1"/>
  <c r="N381" i="1" s="1"/>
  <c r="O381" i="1" s="1"/>
  <c r="P380" i="1"/>
  <c r="Q380" i="1" s="1"/>
  <c r="R380" i="1" s="1"/>
  <c r="M380" i="1"/>
  <c r="N380" i="1" s="1"/>
  <c r="O380" i="1" s="1"/>
  <c r="P379" i="1"/>
  <c r="Q379" i="1" s="1"/>
  <c r="R379" i="1" s="1"/>
  <c r="M379" i="1"/>
  <c r="N379" i="1" s="1"/>
  <c r="O379" i="1" s="1"/>
  <c r="P378" i="1"/>
  <c r="Q378" i="1" s="1"/>
  <c r="R378" i="1" s="1"/>
  <c r="M378" i="1"/>
  <c r="N378" i="1" s="1"/>
  <c r="O378" i="1" s="1"/>
  <c r="Q377" i="1"/>
  <c r="R377" i="1" s="1"/>
  <c r="P377" i="1"/>
  <c r="M377" i="1"/>
  <c r="N377" i="1" s="1"/>
  <c r="O377" i="1" s="1"/>
  <c r="P376" i="1"/>
  <c r="Q376" i="1" s="1"/>
  <c r="R376" i="1" s="1"/>
  <c r="M376" i="1"/>
  <c r="N376" i="1" s="1"/>
  <c r="O376" i="1" s="1"/>
  <c r="Q375" i="1"/>
  <c r="R375" i="1" s="1"/>
  <c r="P375" i="1"/>
  <c r="M375" i="1"/>
  <c r="N375" i="1" s="1"/>
  <c r="O375" i="1" s="1"/>
  <c r="P374" i="1"/>
  <c r="Q374" i="1" s="1"/>
  <c r="R374" i="1" s="1"/>
  <c r="M374" i="1"/>
  <c r="N374" i="1" s="1"/>
  <c r="O374" i="1" s="1"/>
  <c r="Q373" i="1"/>
  <c r="R373" i="1" s="1"/>
  <c r="P373" i="1"/>
  <c r="M373" i="1"/>
  <c r="N373" i="1" s="1"/>
  <c r="O373" i="1" s="1"/>
  <c r="P372" i="1"/>
  <c r="Q372" i="1" s="1"/>
  <c r="R372" i="1" s="1"/>
  <c r="M372" i="1"/>
  <c r="N372" i="1" s="1"/>
  <c r="O372" i="1" s="1"/>
  <c r="P371" i="1"/>
  <c r="Q371" i="1" s="1"/>
  <c r="R371" i="1" s="1"/>
  <c r="M371" i="1"/>
  <c r="N371" i="1" s="1"/>
  <c r="O371" i="1" s="1"/>
  <c r="P370" i="1"/>
  <c r="Q370" i="1" s="1"/>
  <c r="R370" i="1" s="1"/>
  <c r="M370" i="1"/>
  <c r="N370" i="1" s="1"/>
  <c r="O370" i="1" s="1"/>
  <c r="Q369" i="1"/>
  <c r="R369" i="1" s="1"/>
  <c r="P369" i="1"/>
  <c r="M369" i="1"/>
  <c r="N369" i="1" s="1"/>
  <c r="O369" i="1" s="1"/>
  <c r="P368" i="1"/>
  <c r="Q368" i="1" s="1"/>
  <c r="R368" i="1" s="1"/>
  <c r="M368" i="1"/>
  <c r="N368" i="1" s="1"/>
  <c r="O368" i="1" s="1"/>
  <c r="P367" i="1"/>
  <c r="Q367" i="1" s="1"/>
  <c r="R367" i="1" s="1"/>
  <c r="O367" i="1"/>
  <c r="M367" i="1"/>
  <c r="N367" i="1" s="1"/>
  <c r="P366" i="1"/>
  <c r="Q366" i="1" s="1"/>
  <c r="R366" i="1" s="1"/>
  <c r="M366" i="1"/>
  <c r="N366" i="1" s="1"/>
  <c r="O366" i="1" s="1"/>
  <c r="Q365" i="1"/>
  <c r="R365" i="1" s="1"/>
  <c r="P365" i="1"/>
  <c r="M365" i="1"/>
  <c r="N365" i="1" s="1"/>
  <c r="O365" i="1" s="1"/>
  <c r="P364" i="1"/>
  <c r="Q364" i="1" s="1"/>
  <c r="R364" i="1" s="1"/>
  <c r="M364" i="1"/>
  <c r="N364" i="1" s="1"/>
  <c r="O364" i="1" s="1"/>
  <c r="Q363" i="1"/>
  <c r="R363" i="1" s="1"/>
  <c r="P363" i="1"/>
  <c r="M363" i="1"/>
  <c r="N363" i="1" s="1"/>
  <c r="O363" i="1" s="1"/>
  <c r="P362" i="1"/>
  <c r="Q362" i="1" s="1"/>
  <c r="R362" i="1" s="1"/>
  <c r="M362" i="1"/>
  <c r="N362" i="1" s="1"/>
  <c r="O362" i="1" s="1"/>
  <c r="Q361" i="1"/>
  <c r="R361" i="1" s="1"/>
  <c r="P361" i="1"/>
  <c r="M361" i="1"/>
  <c r="N361" i="1" s="1"/>
  <c r="O361" i="1" s="1"/>
  <c r="P360" i="1"/>
  <c r="Q360" i="1" s="1"/>
  <c r="R360" i="1" s="1"/>
  <c r="M360" i="1"/>
  <c r="N360" i="1" s="1"/>
  <c r="O360" i="1" s="1"/>
  <c r="P359" i="1"/>
  <c r="Q359" i="1" s="1"/>
  <c r="R359" i="1" s="1"/>
  <c r="M359" i="1"/>
  <c r="N359" i="1" s="1"/>
  <c r="O359" i="1" s="1"/>
  <c r="P358" i="1"/>
  <c r="Q358" i="1" s="1"/>
  <c r="R358" i="1" s="1"/>
  <c r="M358" i="1"/>
  <c r="N358" i="1" s="1"/>
  <c r="O358" i="1" s="1"/>
  <c r="Q357" i="1"/>
  <c r="R357" i="1" s="1"/>
  <c r="P357" i="1"/>
  <c r="M357" i="1"/>
  <c r="N357" i="1" s="1"/>
  <c r="O357" i="1" s="1"/>
  <c r="P356" i="1"/>
  <c r="Q356" i="1" s="1"/>
  <c r="R356" i="1" s="1"/>
  <c r="M356" i="1"/>
  <c r="N356" i="1" s="1"/>
  <c r="O356" i="1" s="1"/>
  <c r="P355" i="1"/>
  <c r="Q355" i="1" s="1"/>
  <c r="R355" i="1" s="1"/>
  <c r="O355" i="1"/>
  <c r="M355" i="1"/>
  <c r="N355" i="1" s="1"/>
  <c r="P354" i="1"/>
  <c r="Q354" i="1" s="1"/>
  <c r="R354" i="1" s="1"/>
  <c r="M354" i="1"/>
  <c r="N354" i="1" s="1"/>
  <c r="O354" i="1" s="1"/>
  <c r="Q353" i="1"/>
  <c r="R353" i="1" s="1"/>
  <c r="P353" i="1"/>
  <c r="M353" i="1"/>
  <c r="N353" i="1" s="1"/>
  <c r="O353" i="1" s="1"/>
  <c r="P352" i="1"/>
  <c r="Q352" i="1" s="1"/>
  <c r="R352" i="1" s="1"/>
  <c r="M352" i="1"/>
  <c r="N352" i="1" s="1"/>
  <c r="O352" i="1" s="1"/>
  <c r="P351" i="1"/>
  <c r="Q351" i="1" s="1"/>
  <c r="R351" i="1" s="1"/>
  <c r="O351" i="1"/>
  <c r="M351" i="1"/>
  <c r="N351" i="1" s="1"/>
  <c r="P350" i="1"/>
  <c r="Q350" i="1" s="1"/>
  <c r="R350" i="1" s="1"/>
  <c r="M350" i="1"/>
  <c r="N350" i="1" s="1"/>
  <c r="O350" i="1" s="1"/>
  <c r="P349" i="1"/>
  <c r="Q349" i="1" s="1"/>
  <c r="R349" i="1" s="1"/>
  <c r="M349" i="1"/>
  <c r="N349" i="1" s="1"/>
  <c r="O349" i="1" s="1"/>
  <c r="P348" i="1"/>
  <c r="Q348" i="1" s="1"/>
  <c r="R348" i="1" s="1"/>
  <c r="M348" i="1"/>
  <c r="N348" i="1" s="1"/>
  <c r="O348" i="1" s="1"/>
  <c r="Q347" i="1"/>
  <c r="R347" i="1" s="1"/>
  <c r="P347" i="1"/>
  <c r="N347" i="1"/>
  <c r="O347" i="1" s="1"/>
  <c r="M347" i="1"/>
  <c r="P346" i="1"/>
  <c r="Q346" i="1" s="1"/>
  <c r="R346" i="1" s="1"/>
  <c r="M346" i="1"/>
  <c r="N346" i="1" s="1"/>
  <c r="O346" i="1" s="1"/>
  <c r="P345" i="1"/>
  <c r="Q345" i="1" s="1"/>
  <c r="R345" i="1" s="1"/>
  <c r="O345" i="1"/>
  <c r="N345" i="1"/>
  <c r="M345" i="1"/>
  <c r="P344" i="1"/>
  <c r="Q344" i="1" s="1"/>
  <c r="R344" i="1" s="1"/>
  <c r="M344" i="1"/>
  <c r="N344" i="1" s="1"/>
  <c r="O344" i="1" s="1"/>
  <c r="P343" i="1"/>
  <c r="Q343" i="1" s="1"/>
  <c r="R343" i="1" s="1"/>
  <c r="M343" i="1"/>
  <c r="N343" i="1" s="1"/>
  <c r="O343" i="1" s="1"/>
  <c r="P342" i="1"/>
  <c r="Q342" i="1" s="1"/>
  <c r="R342" i="1" s="1"/>
  <c r="M342" i="1"/>
  <c r="N342" i="1" s="1"/>
  <c r="O342" i="1" s="1"/>
  <c r="Q341" i="1"/>
  <c r="R341" i="1" s="1"/>
  <c r="P341" i="1"/>
  <c r="N341" i="1"/>
  <c r="O341" i="1" s="1"/>
  <c r="M341" i="1"/>
  <c r="P340" i="1"/>
  <c r="Q340" i="1" s="1"/>
  <c r="R340" i="1" s="1"/>
  <c r="M340" i="1"/>
  <c r="N340" i="1" s="1"/>
  <c r="O340" i="1" s="1"/>
  <c r="Q339" i="1"/>
  <c r="R339" i="1" s="1"/>
  <c r="P339" i="1"/>
  <c r="O339" i="1"/>
  <c r="N339" i="1"/>
  <c r="M339" i="1"/>
  <c r="P338" i="1"/>
  <c r="Q338" i="1" s="1"/>
  <c r="R338" i="1" s="1"/>
  <c r="M338" i="1"/>
  <c r="N338" i="1" s="1"/>
  <c r="O338" i="1" s="1"/>
  <c r="P337" i="1"/>
  <c r="Q337" i="1" s="1"/>
  <c r="R337" i="1" s="1"/>
  <c r="M337" i="1"/>
  <c r="N337" i="1" s="1"/>
  <c r="O337" i="1" s="1"/>
  <c r="P336" i="1"/>
  <c r="Q336" i="1" s="1"/>
  <c r="R336" i="1" s="1"/>
  <c r="M336" i="1"/>
  <c r="N336" i="1" s="1"/>
  <c r="O336" i="1" s="1"/>
  <c r="P335" i="1"/>
  <c r="Q335" i="1" s="1"/>
  <c r="R335" i="1" s="1"/>
  <c r="O335" i="1"/>
  <c r="N335" i="1"/>
  <c r="M335" i="1"/>
  <c r="P334" i="1"/>
  <c r="Q334" i="1" s="1"/>
  <c r="R334" i="1" s="1"/>
  <c r="M334" i="1"/>
  <c r="N334" i="1" s="1"/>
  <c r="O334" i="1" s="1"/>
  <c r="P333" i="1"/>
  <c r="Q333" i="1" s="1"/>
  <c r="R333" i="1" s="1"/>
  <c r="O333" i="1"/>
  <c r="N333" i="1"/>
  <c r="M333" i="1"/>
  <c r="P332" i="1"/>
  <c r="Q332" i="1" s="1"/>
  <c r="R332" i="1" s="1"/>
  <c r="M332" i="1"/>
  <c r="N332" i="1" s="1"/>
  <c r="O332" i="1" s="1"/>
  <c r="Q331" i="1"/>
  <c r="R331" i="1" s="1"/>
  <c r="P331" i="1"/>
  <c r="M331" i="1"/>
  <c r="N331" i="1" s="1"/>
  <c r="O331" i="1" s="1"/>
  <c r="P330" i="1"/>
  <c r="Q330" i="1" s="1"/>
  <c r="R330" i="1" s="1"/>
  <c r="M330" i="1"/>
  <c r="N330" i="1" s="1"/>
  <c r="O330" i="1" s="1"/>
  <c r="Q329" i="1"/>
  <c r="R329" i="1" s="1"/>
  <c r="P329" i="1"/>
  <c r="M329" i="1"/>
  <c r="N329" i="1" s="1"/>
  <c r="O329" i="1" s="1"/>
  <c r="P328" i="1"/>
  <c r="Q328" i="1" s="1"/>
  <c r="R328" i="1" s="1"/>
  <c r="M328" i="1"/>
  <c r="N328" i="1" s="1"/>
  <c r="O328" i="1" s="1"/>
  <c r="Q327" i="1"/>
  <c r="R327" i="1" s="1"/>
  <c r="P327" i="1"/>
  <c r="M327" i="1"/>
  <c r="N327" i="1" s="1"/>
  <c r="O327" i="1" s="1"/>
  <c r="P326" i="1"/>
  <c r="Q326" i="1" s="1"/>
  <c r="R326" i="1" s="1"/>
  <c r="M326" i="1"/>
  <c r="N326" i="1" s="1"/>
  <c r="O326" i="1" s="1"/>
  <c r="P325" i="1"/>
  <c r="Q325" i="1" s="1"/>
  <c r="R325" i="1" s="1"/>
  <c r="M325" i="1"/>
  <c r="N325" i="1" s="1"/>
  <c r="O325" i="1" s="1"/>
  <c r="P324" i="1"/>
  <c r="Q324" i="1" s="1"/>
  <c r="R324" i="1" s="1"/>
  <c r="M324" i="1"/>
  <c r="N324" i="1" s="1"/>
  <c r="O324" i="1" s="1"/>
  <c r="Q323" i="1"/>
  <c r="R323" i="1" s="1"/>
  <c r="P323" i="1"/>
  <c r="N323" i="1"/>
  <c r="O323" i="1" s="1"/>
  <c r="M323" i="1"/>
  <c r="P322" i="1"/>
  <c r="Q322" i="1" s="1"/>
  <c r="R322" i="1" s="1"/>
  <c r="M322" i="1"/>
  <c r="N322" i="1" s="1"/>
  <c r="O322" i="1" s="1"/>
  <c r="P321" i="1"/>
  <c r="Q321" i="1" s="1"/>
  <c r="R321" i="1" s="1"/>
  <c r="M321" i="1"/>
  <c r="N321" i="1" s="1"/>
  <c r="O321" i="1" s="1"/>
  <c r="P320" i="1"/>
  <c r="Q320" i="1" s="1"/>
  <c r="R320" i="1" s="1"/>
  <c r="M320" i="1"/>
  <c r="N320" i="1" s="1"/>
  <c r="O320" i="1" s="1"/>
  <c r="P319" i="1"/>
  <c r="Q319" i="1" s="1"/>
  <c r="R319" i="1" s="1"/>
  <c r="M319" i="1"/>
  <c r="N319" i="1" s="1"/>
  <c r="O319" i="1" s="1"/>
  <c r="P318" i="1"/>
  <c r="Q318" i="1" s="1"/>
  <c r="R318" i="1" s="1"/>
  <c r="M318" i="1"/>
  <c r="N318" i="1" s="1"/>
  <c r="O318" i="1" s="1"/>
  <c r="P317" i="1"/>
  <c r="Q317" i="1" s="1"/>
  <c r="R317" i="1" s="1"/>
  <c r="O317" i="1"/>
  <c r="N317" i="1"/>
  <c r="M317" i="1"/>
  <c r="P316" i="1"/>
  <c r="Q316" i="1" s="1"/>
  <c r="R316" i="1" s="1"/>
  <c r="M316" i="1"/>
  <c r="N316" i="1" s="1"/>
  <c r="O316" i="1" s="1"/>
  <c r="P315" i="1"/>
  <c r="Q315" i="1" s="1"/>
  <c r="R315" i="1" s="1"/>
  <c r="M315" i="1"/>
  <c r="N315" i="1" s="1"/>
  <c r="O315" i="1" s="1"/>
  <c r="P314" i="1"/>
  <c r="Q314" i="1" s="1"/>
  <c r="R314" i="1" s="1"/>
  <c r="M314" i="1"/>
  <c r="N314" i="1" s="1"/>
  <c r="O314" i="1" s="1"/>
  <c r="R313" i="1"/>
  <c r="P313" i="1"/>
  <c r="Q313" i="1" s="1"/>
  <c r="O313" i="1"/>
  <c r="N313" i="1"/>
  <c r="M313" i="1"/>
  <c r="P312" i="1"/>
  <c r="Q312" i="1" s="1"/>
  <c r="R312" i="1" s="1"/>
  <c r="M312" i="1"/>
  <c r="N312" i="1" s="1"/>
  <c r="O312" i="1" s="1"/>
  <c r="P311" i="1"/>
  <c r="Q311" i="1" s="1"/>
  <c r="R311" i="1" s="1"/>
  <c r="N311" i="1"/>
  <c r="O311" i="1" s="1"/>
  <c r="M311" i="1"/>
  <c r="P310" i="1"/>
  <c r="Q310" i="1" s="1"/>
  <c r="R310" i="1" s="1"/>
  <c r="M310" i="1"/>
  <c r="N310" i="1" s="1"/>
  <c r="O310" i="1" s="1"/>
  <c r="P309" i="1"/>
  <c r="Q309" i="1" s="1"/>
  <c r="R309" i="1" s="1"/>
  <c r="N309" i="1"/>
  <c r="O309" i="1" s="1"/>
  <c r="M309" i="1"/>
  <c r="P308" i="1"/>
  <c r="Q308" i="1" s="1"/>
  <c r="R308" i="1" s="1"/>
  <c r="M308" i="1"/>
  <c r="N308" i="1" s="1"/>
  <c r="O308" i="1" s="1"/>
  <c r="R307" i="1"/>
  <c r="P307" i="1"/>
  <c r="Q307" i="1" s="1"/>
  <c r="O307" i="1"/>
  <c r="N307" i="1"/>
  <c r="M307" i="1"/>
  <c r="P306" i="1"/>
  <c r="Q306" i="1" s="1"/>
  <c r="R306" i="1" s="1"/>
  <c r="M306" i="1"/>
  <c r="N306" i="1" s="1"/>
  <c r="O306" i="1" s="1"/>
  <c r="Q305" i="1"/>
  <c r="R305" i="1" s="1"/>
  <c r="P305" i="1"/>
  <c r="N305" i="1"/>
  <c r="O305" i="1" s="1"/>
  <c r="M305" i="1"/>
  <c r="P304" i="1"/>
  <c r="Q304" i="1" s="1"/>
  <c r="R304" i="1" s="1"/>
  <c r="M304" i="1"/>
  <c r="N304" i="1" s="1"/>
  <c r="O304" i="1" s="1"/>
  <c r="P303" i="1"/>
  <c r="Q303" i="1" s="1"/>
  <c r="R303" i="1" s="1"/>
  <c r="M303" i="1"/>
  <c r="N303" i="1" s="1"/>
  <c r="O303" i="1" s="1"/>
  <c r="P302" i="1"/>
  <c r="Q302" i="1" s="1"/>
  <c r="R302" i="1" s="1"/>
  <c r="M302" i="1"/>
  <c r="N302" i="1" s="1"/>
  <c r="O302" i="1" s="1"/>
  <c r="R301" i="1"/>
  <c r="P301" i="1"/>
  <c r="Q301" i="1" s="1"/>
  <c r="O301" i="1"/>
  <c r="N301" i="1"/>
  <c r="M301" i="1"/>
  <c r="P300" i="1"/>
  <c r="Q300" i="1" s="1"/>
  <c r="R300" i="1" s="1"/>
  <c r="M300" i="1"/>
  <c r="N300" i="1" s="1"/>
  <c r="O300" i="1" s="1"/>
  <c r="R299" i="1"/>
  <c r="P299" i="1"/>
  <c r="Q299" i="1" s="1"/>
  <c r="N299" i="1"/>
  <c r="O299" i="1" s="1"/>
  <c r="M299" i="1"/>
  <c r="P298" i="1"/>
  <c r="Q298" i="1" s="1"/>
  <c r="R298" i="1" s="1"/>
  <c r="M298" i="1"/>
  <c r="N298" i="1" s="1"/>
  <c r="O298" i="1" s="1"/>
  <c r="P297" i="1"/>
  <c r="Q297" i="1" s="1"/>
  <c r="R297" i="1" s="1"/>
  <c r="M297" i="1"/>
  <c r="N297" i="1" s="1"/>
  <c r="O297" i="1" s="1"/>
  <c r="P296" i="1"/>
  <c r="Q296" i="1" s="1"/>
  <c r="R296" i="1" s="1"/>
  <c r="M296" i="1"/>
  <c r="N296" i="1" s="1"/>
  <c r="O296" i="1" s="1"/>
  <c r="P295" i="1"/>
  <c r="Q295" i="1" s="1"/>
  <c r="R295" i="1" s="1"/>
  <c r="O295" i="1"/>
  <c r="N295" i="1"/>
  <c r="M295" i="1"/>
  <c r="P294" i="1"/>
  <c r="Q294" i="1" s="1"/>
  <c r="R294" i="1" s="1"/>
  <c r="M294" i="1"/>
  <c r="N294" i="1" s="1"/>
  <c r="O294" i="1" s="1"/>
  <c r="P293" i="1"/>
  <c r="Q293" i="1" s="1"/>
  <c r="R293" i="1" s="1"/>
  <c r="O293" i="1"/>
  <c r="N293" i="1"/>
  <c r="M293" i="1"/>
  <c r="P292" i="1"/>
  <c r="Q292" i="1" s="1"/>
  <c r="R292" i="1" s="1"/>
  <c r="M292" i="1"/>
  <c r="N292" i="1" s="1"/>
  <c r="O292" i="1" s="1"/>
  <c r="P291" i="1"/>
  <c r="Q291" i="1" s="1"/>
  <c r="R291" i="1" s="1"/>
  <c r="M291" i="1"/>
  <c r="N291" i="1" s="1"/>
  <c r="O291" i="1" s="1"/>
  <c r="P290" i="1"/>
  <c r="Q290" i="1" s="1"/>
  <c r="R290" i="1" s="1"/>
  <c r="M290" i="1"/>
  <c r="N290" i="1" s="1"/>
  <c r="O290" i="1" s="1"/>
  <c r="R289" i="1"/>
  <c r="P289" i="1"/>
  <c r="Q289" i="1" s="1"/>
  <c r="O289" i="1"/>
  <c r="N289" i="1"/>
  <c r="M289" i="1"/>
  <c r="P288" i="1"/>
  <c r="Q288" i="1" s="1"/>
  <c r="R288" i="1" s="1"/>
  <c r="M288" i="1"/>
  <c r="N288" i="1" s="1"/>
  <c r="O288" i="1" s="1"/>
  <c r="P287" i="1"/>
  <c r="Q287" i="1" s="1"/>
  <c r="R287" i="1" s="1"/>
  <c r="N287" i="1"/>
  <c r="O287" i="1" s="1"/>
  <c r="M287" i="1"/>
  <c r="P286" i="1"/>
  <c r="Q286" i="1" s="1"/>
  <c r="R286" i="1" s="1"/>
  <c r="N286" i="1"/>
  <c r="O286" i="1" s="1"/>
  <c r="M286" i="1"/>
  <c r="P285" i="1"/>
  <c r="Q285" i="1" s="1"/>
  <c r="R285" i="1" s="1"/>
  <c r="O285" i="1"/>
  <c r="M285" i="1"/>
  <c r="N285" i="1" s="1"/>
  <c r="P284" i="1"/>
  <c r="Q284" i="1" s="1"/>
  <c r="R284" i="1" s="1"/>
  <c r="N284" i="1"/>
  <c r="O284" i="1" s="1"/>
  <c r="M284" i="1"/>
  <c r="R283" i="1"/>
  <c r="Q283" i="1"/>
  <c r="P283" i="1"/>
  <c r="M283" i="1"/>
  <c r="N283" i="1" s="1"/>
  <c r="O283" i="1" s="1"/>
  <c r="P282" i="1"/>
  <c r="Q282" i="1" s="1"/>
  <c r="R282" i="1" s="1"/>
  <c r="N282" i="1"/>
  <c r="O282" i="1" s="1"/>
  <c r="M282" i="1"/>
  <c r="Q281" i="1"/>
  <c r="R281" i="1" s="1"/>
  <c r="P281" i="1"/>
  <c r="N281" i="1"/>
  <c r="O281" i="1" s="1"/>
  <c r="M281" i="1"/>
  <c r="P280" i="1"/>
  <c r="Q280" i="1" s="1"/>
  <c r="R280" i="1" s="1"/>
  <c r="M280" i="1"/>
  <c r="N280" i="1" s="1"/>
  <c r="O280" i="1" s="1"/>
  <c r="R279" i="1"/>
  <c r="P279" i="1"/>
  <c r="Q279" i="1" s="1"/>
  <c r="O279" i="1"/>
  <c r="M279" i="1"/>
  <c r="N279" i="1" s="1"/>
  <c r="R278" i="1"/>
  <c r="P278" i="1"/>
  <c r="Q278" i="1" s="1"/>
  <c r="M278" i="1"/>
  <c r="N278" i="1" s="1"/>
  <c r="O278" i="1" s="1"/>
  <c r="P277" i="1"/>
  <c r="Q277" i="1" s="1"/>
  <c r="R277" i="1" s="1"/>
  <c r="O277" i="1"/>
  <c r="N277" i="1"/>
  <c r="M277" i="1"/>
  <c r="R276" i="1"/>
  <c r="Q276" i="1"/>
  <c r="P276" i="1"/>
  <c r="N276" i="1"/>
  <c r="O276" i="1" s="1"/>
  <c r="M276" i="1"/>
  <c r="Q275" i="1"/>
  <c r="R275" i="1" s="1"/>
  <c r="P275" i="1"/>
  <c r="N275" i="1"/>
  <c r="O275" i="1" s="1"/>
  <c r="M275" i="1"/>
  <c r="Q274" i="1"/>
  <c r="R274" i="1" s="1"/>
  <c r="P274" i="1"/>
  <c r="M274" i="1"/>
  <c r="N274" i="1" s="1"/>
  <c r="O274" i="1" s="1"/>
  <c r="Q273" i="1"/>
  <c r="R273" i="1" s="1"/>
  <c r="P273" i="1"/>
  <c r="N273" i="1"/>
  <c r="O273" i="1" s="1"/>
  <c r="M273" i="1"/>
  <c r="Q272" i="1"/>
  <c r="R272" i="1" s="1"/>
  <c r="P272" i="1"/>
  <c r="M272" i="1"/>
  <c r="N272" i="1" s="1"/>
  <c r="O272" i="1" s="1"/>
  <c r="Q271" i="1"/>
  <c r="R271" i="1" s="1"/>
  <c r="P271" i="1"/>
  <c r="N271" i="1"/>
  <c r="O271" i="1" s="1"/>
  <c r="M271" i="1"/>
  <c r="R270" i="1"/>
  <c r="Q270" i="1"/>
  <c r="P270" i="1"/>
  <c r="N270" i="1"/>
  <c r="O270" i="1" s="1"/>
  <c r="M270" i="1"/>
  <c r="Q269" i="1"/>
  <c r="R269" i="1" s="1"/>
  <c r="P269" i="1"/>
  <c r="O269" i="1"/>
  <c r="N269" i="1"/>
  <c r="M269" i="1"/>
  <c r="R268" i="1"/>
  <c r="Q268" i="1"/>
  <c r="P268" i="1"/>
  <c r="M268" i="1"/>
  <c r="N268" i="1" s="1"/>
  <c r="O268" i="1" s="1"/>
  <c r="P267" i="1"/>
  <c r="Q267" i="1" s="1"/>
  <c r="R267" i="1" s="1"/>
  <c r="N267" i="1"/>
  <c r="O267" i="1" s="1"/>
  <c r="M267" i="1"/>
  <c r="Q266" i="1"/>
  <c r="R266" i="1" s="1"/>
  <c r="P266" i="1"/>
  <c r="M266" i="1"/>
  <c r="N266" i="1" s="1"/>
  <c r="O266" i="1" s="1"/>
  <c r="R265" i="1"/>
  <c r="P265" i="1"/>
  <c r="Q265" i="1" s="1"/>
  <c r="N265" i="1"/>
  <c r="O265" i="1" s="1"/>
  <c r="M265" i="1"/>
  <c r="Q264" i="1"/>
  <c r="R264" i="1" s="1"/>
  <c r="P264" i="1"/>
  <c r="N264" i="1"/>
  <c r="O264" i="1" s="1"/>
  <c r="M264" i="1"/>
  <c r="Q263" i="1"/>
  <c r="R263" i="1" s="1"/>
  <c r="P263" i="1"/>
  <c r="N263" i="1"/>
  <c r="O263" i="1" s="1"/>
  <c r="M263" i="1"/>
  <c r="Q262" i="1"/>
  <c r="R262" i="1" s="1"/>
  <c r="P262" i="1"/>
  <c r="M262" i="1"/>
  <c r="N262" i="1" s="1"/>
  <c r="O262" i="1" s="1"/>
  <c r="P261" i="1"/>
  <c r="Q261" i="1" s="1"/>
  <c r="R261" i="1" s="1"/>
  <c r="N261" i="1"/>
  <c r="O261" i="1" s="1"/>
  <c r="M261" i="1"/>
  <c r="R260" i="1"/>
  <c r="Q260" i="1"/>
  <c r="P260" i="1"/>
  <c r="M260" i="1"/>
  <c r="N260" i="1" s="1"/>
  <c r="O260" i="1" s="1"/>
  <c r="R259" i="1"/>
  <c r="P259" i="1"/>
  <c r="Q259" i="1" s="1"/>
  <c r="O259" i="1"/>
  <c r="N259" i="1"/>
  <c r="M259" i="1"/>
  <c r="Q258" i="1"/>
  <c r="R258" i="1" s="1"/>
  <c r="P258" i="1"/>
  <c r="M258" i="1"/>
  <c r="N258" i="1" s="1"/>
  <c r="O258" i="1" s="1"/>
  <c r="Q257" i="1"/>
  <c r="R257" i="1" s="1"/>
  <c r="P257" i="1"/>
  <c r="N257" i="1"/>
  <c r="O257" i="1" s="1"/>
  <c r="M257" i="1"/>
  <c r="P256" i="1"/>
  <c r="Q256" i="1" s="1"/>
  <c r="R256" i="1" s="1"/>
  <c r="M256" i="1"/>
  <c r="N256" i="1" s="1"/>
  <c r="O256" i="1" s="1"/>
  <c r="P255" i="1"/>
  <c r="Q255" i="1" s="1"/>
  <c r="R255" i="1" s="1"/>
  <c r="N255" i="1"/>
  <c r="O255" i="1" s="1"/>
  <c r="M255" i="1"/>
  <c r="P254" i="1"/>
  <c r="Q254" i="1" s="1"/>
  <c r="R254" i="1" s="1"/>
  <c r="M254" i="1"/>
  <c r="N254" i="1" s="1"/>
  <c r="O254" i="1" s="1"/>
  <c r="Q253" i="1"/>
  <c r="R253" i="1" s="1"/>
  <c r="P253" i="1"/>
  <c r="O253" i="1"/>
  <c r="N253" i="1"/>
  <c r="M253" i="1"/>
  <c r="R252" i="1"/>
  <c r="P252" i="1"/>
  <c r="Q252" i="1" s="1"/>
  <c r="M252" i="1"/>
  <c r="N252" i="1" s="1"/>
  <c r="O252" i="1" s="1"/>
  <c r="P251" i="1"/>
  <c r="Q251" i="1" s="1"/>
  <c r="R251" i="1" s="1"/>
  <c r="O251" i="1"/>
  <c r="N251" i="1"/>
  <c r="M251" i="1"/>
  <c r="Q250" i="1"/>
  <c r="R250" i="1" s="1"/>
  <c r="P250" i="1"/>
  <c r="M250" i="1"/>
  <c r="N250" i="1" s="1"/>
  <c r="O250" i="1" s="1"/>
  <c r="P249" i="1"/>
  <c r="Q249" i="1" s="1"/>
  <c r="R249" i="1" s="1"/>
  <c r="N249" i="1"/>
  <c r="O249" i="1" s="1"/>
  <c r="M249" i="1"/>
  <c r="P248" i="1"/>
  <c r="Q248" i="1" s="1"/>
  <c r="R248" i="1" s="1"/>
  <c r="M248" i="1"/>
  <c r="N248" i="1" s="1"/>
  <c r="O248" i="1" s="1"/>
  <c r="R247" i="1"/>
  <c r="Q247" i="1"/>
  <c r="P247" i="1"/>
  <c r="O247" i="1"/>
  <c r="N247" i="1"/>
  <c r="M247" i="1"/>
  <c r="R246" i="1"/>
  <c r="P246" i="1"/>
  <c r="Q246" i="1" s="1"/>
  <c r="N246" i="1"/>
  <c r="O246" i="1" s="1"/>
  <c r="M246" i="1"/>
  <c r="Q245" i="1"/>
  <c r="R245" i="1" s="1"/>
  <c r="P245" i="1"/>
  <c r="O245" i="1"/>
  <c r="N245" i="1"/>
  <c r="M245" i="1"/>
  <c r="R244" i="1"/>
  <c r="Q244" i="1"/>
  <c r="P244" i="1"/>
  <c r="M244" i="1"/>
  <c r="N244" i="1" s="1"/>
  <c r="O244" i="1" s="1"/>
  <c r="P243" i="1"/>
  <c r="Q243" i="1" s="1"/>
  <c r="R243" i="1" s="1"/>
  <c r="N243" i="1"/>
  <c r="O243" i="1" s="1"/>
  <c r="M243" i="1"/>
  <c r="Q242" i="1"/>
  <c r="R242" i="1" s="1"/>
  <c r="P242" i="1"/>
  <c r="M242" i="1"/>
  <c r="N242" i="1" s="1"/>
  <c r="O242" i="1" s="1"/>
  <c r="R241" i="1"/>
  <c r="P241" i="1"/>
  <c r="Q241" i="1" s="1"/>
  <c r="N241" i="1"/>
  <c r="O241" i="1" s="1"/>
  <c r="M241" i="1"/>
  <c r="P240" i="1"/>
  <c r="Q240" i="1" s="1"/>
  <c r="R240" i="1" s="1"/>
  <c r="N240" i="1"/>
  <c r="O240" i="1" s="1"/>
  <c r="M240" i="1"/>
  <c r="Q239" i="1"/>
  <c r="R239" i="1" s="1"/>
  <c r="P239" i="1"/>
  <c r="N239" i="1"/>
  <c r="O239" i="1" s="1"/>
  <c r="M239" i="1"/>
  <c r="Q238" i="1"/>
  <c r="R238" i="1" s="1"/>
  <c r="P238" i="1"/>
  <c r="M238" i="1"/>
  <c r="N238" i="1" s="1"/>
  <c r="O238" i="1" s="1"/>
  <c r="P237" i="1"/>
  <c r="Q237" i="1" s="1"/>
  <c r="R237" i="1" s="1"/>
  <c r="N237" i="1"/>
  <c r="O237" i="1" s="1"/>
  <c r="M237" i="1"/>
  <c r="P236" i="1"/>
  <c r="Q236" i="1" s="1"/>
  <c r="R236" i="1" s="1"/>
  <c r="M236" i="1"/>
  <c r="N236" i="1" s="1"/>
  <c r="O236" i="1" s="1"/>
  <c r="R235" i="1"/>
  <c r="P235" i="1"/>
  <c r="Q235" i="1" s="1"/>
  <c r="O235" i="1"/>
  <c r="N235" i="1"/>
  <c r="M235" i="1"/>
  <c r="Q234" i="1"/>
  <c r="R234" i="1" s="1"/>
  <c r="P234" i="1"/>
  <c r="M234" i="1"/>
  <c r="N234" i="1" s="1"/>
  <c r="O234" i="1" s="1"/>
  <c r="Q233" i="1"/>
  <c r="R233" i="1" s="1"/>
  <c r="P233" i="1"/>
  <c r="N233" i="1"/>
  <c r="O233" i="1" s="1"/>
  <c r="M233" i="1"/>
  <c r="P232" i="1"/>
  <c r="Q232" i="1" s="1"/>
  <c r="R232" i="1" s="1"/>
  <c r="M232" i="1"/>
  <c r="N232" i="1" s="1"/>
  <c r="O232" i="1" s="1"/>
  <c r="P231" i="1"/>
  <c r="Q231" i="1" s="1"/>
  <c r="R231" i="1" s="1"/>
  <c r="N231" i="1"/>
  <c r="O231" i="1" s="1"/>
  <c r="M231" i="1"/>
  <c r="P230" i="1"/>
  <c r="Q230" i="1" s="1"/>
  <c r="R230" i="1" s="1"/>
  <c r="M230" i="1"/>
  <c r="N230" i="1" s="1"/>
  <c r="O230" i="1" s="1"/>
  <c r="Q229" i="1"/>
  <c r="R229" i="1" s="1"/>
  <c r="P229" i="1"/>
  <c r="O229" i="1"/>
  <c r="N229" i="1"/>
  <c r="M229" i="1"/>
  <c r="R228" i="1"/>
  <c r="P228" i="1"/>
  <c r="Q228" i="1" s="1"/>
  <c r="M228" i="1"/>
  <c r="N228" i="1" s="1"/>
  <c r="O228" i="1" s="1"/>
  <c r="P227" i="1"/>
  <c r="Q227" i="1" s="1"/>
  <c r="R227" i="1" s="1"/>
  <c r="O227" i="1"/>
  <c r="N227" i="1"/>
  <c r="M227" i="1"/>
  <c r="Q226" i="1"/>
  <c r="R226" i="1" s="1"/>
  <c r="P226" i="1"/>
  <c r="M226" i="1"/>
  <c r="N226" i="1" s="1"/>
  <c r="O226" i="1" s="1"/>
  <c r="P225" i="1"/>
  <c r="Q225" i="1" s="1"/>
  <c r="R225" i="1" s="1"/>
  <c r="N225" i="1"/>
  <c r="O225" i="1" s="1"/>
  <c r="M225" i="1"/>
  <c r="P224" i="1"/>
  <c r="Q224" i="1" s="1"/>
  <c r="R224" i="1" s="1"/>
  <c r="M224" i="1"/>
  <c r="N224" i="1" s="1"/>
  <c r="O224" i="1" s="1"/>
  <c r="R223" i="1"/>
  <c r="Q223" i="1"/>
  <c r="P223" i="1"/>
  <c r="O223" i="1"/>
  <c r="N223" i="1"/>
  <c r="M223" i="1"/>
  <c r="R222" i="1"/>
  <c r="P222" i="1"/>
  <c r="Q222" i="1" s="1"/>
  <c r="N222" i="1"/>
  <c r="O222" i="1" s="1"/>
  <c r="M222" i="1"/>
  <c r="Q221" i="1"/>
  <c r="R221" i="1" s="1"/>
  <c r="P221" i="1"/>
  <c r="O221" i="1"/>
  <c r="N221" i="1"/>
  <c r="M221" i="1"/>
  <c r="R220" i="1"/>
  <c r="Q220" i="1"/>
  <c r="P220" i="1"/>
  <c r="M220" i="1"/>
  <c r="N220" i="1" s="1"/>
  <c r="O220" i="1" s="1"/>
  <c r="P219" i="1"/>
  <c r="Q219" i="1" s="1"/>
  <c r="R219" i="1" s="1"/>
  <c r="N219" i="1"/>
  <c r="O219" i="1" s="1"/>
  <c r="M219" i="1"/>
  <c r="Q218" i="1"/>
  <c r="R218" i="1" s="1"/>
  <c r="P218" i="1"/>
  <c r="M218" i="1"/>
  <c r="N218" i="1" s="1"/>
  <c r="O218" i="1" s="1"/>
  <c r="R217" i="1"/>
  <c r="P217" i="1"/>
  <c r="Q217" i="1" s="1"/>
  <c r="N217" i="1"/>
  <c r="O217" i="1" s="1"/>
  <c r="M217" i="1"/>
  <c r="P216" i="1"/>
  <c r="Q216" i="1" s="1"/>
  <c r="R216" i="1" s="1"/>
  <c r="N216" i="1"/>
  <c r="O216" i="1" s="1"/>
  <c r="M216" i="1"/>
  <c r="Q215" i="1"/>
  <c r="R215" i="1" s="1"/>
  <c r="P215" i="1"/>
  <c r="N215" i="1"/>
  <c r="O215" i="1" s="1"/>
  <c r="M215" i="1"/>
  <c r="Q214" i="1"/>
  <c r="R214" i="1" s="1"/>
  <c r="P214" i="1"/>
  <c r="M214" i="1"/>
  <c r="N214" i="1" s="1"/>
  <c r="O214" i="1" s="1"/>
  <c r="P213" i="1"/>
  <c r="Q213" i="1" s="1"/>
  <c r="R213" i="1" s="1"/>
  <c r="N213" i="1"/>
  <c r="O213" i="1" s="1"/>
  <c r="M213" i="1"/>
  <c r="P212" i="1"/>
  <c r="Q212" i="1" s="1"/>
  <c r="R212" i="1" s="1"/>
  <c r="M212" i="1"/>
  <c r="N212" i="1" s="1"/>
  <c r="O212" i="1" s="1"/>
  <c r="R211" i="1"/>
  <c r="P211" i="1"/>
  <c r="Q211" i="1" s="1"/>
  <c r="O211" i="1"/>
  <c r="N211" i="1"/>
  <c r="M211" i="1"/>
  <c r="Q210" i="1"/>
  <c r="R210" i="1" s="1"/>
  <c r="P210" i="1"/>
  <c r="M210" i="1"/>
  <c r="N210" i="1" s="1"/>
  <c r="O210" i="1" s="1"/>
  <c r="Q209" i="1"/>
  <c r="R209" i="1" s="1"/>
  <c r="P209" i="1"/>
  <c r="N209" i="1"/>
  <c r="O209" i="1" s="1"/>
  <c r="M209" i="1"/>
  <c r="P208" i="1"/>
  <c r="Q208" i="1" s="1"/>
  <c r="R208" i="1" s="1"/>
  <c r="M208" i="1"/>
  <c r="N208" i="1" s="1"/>
  <c r="O208" i="1" s="1"/>
  <c r="P207" i="1"/>
  <c r="Q207" i="1" s="1"/>
  <c r="R207" i="1" s="1"/>
  <c r="N207" i="1"/>
  <c r="O207" i="1" s="1"/>
  <c r="M207" i="1"/>
  <c r="P206" i="1"/>
  <c r="Q206" i="1" s="1"/>
  <c r="R206" i="1" s="1"/>
  <c r="M206" i="1"/>
  <c r="N206" i="1" s="1"/>
  <c r="O206" i="1" s="1"/>
  <c r="Q205" i="1"/>
  <c r="R205" i="1" s="1"/>
  <c r="P205" i="1"/>
  <c r="O205" i="1"/>
  <c r="N205" i="1"/>
  <c r="M205" i="1"/>
  <c r="R204" i="1"/>
  <c r="P204" i="1"/>
  <c r="Q204" i="1" s="1"/>
  <c r="M204" i="1"/>
  <c r="N204" i="1" s="1"/>
  <c r="O204" i="1" s="1"/>
  <c r="P203" i="1"/>
  <c r="Q203" i="1" s="1"/>
  <c r="R203" i="1" s="1"/>
  <c r="O203" i="1"/>
  <c r="N203" i="1"/>
  <c r="M203" i="1"/>
  <c r="Q202" i="1"/>
  <c r="R202" i="1" s="1"/>
  <c r="P202" i="1"/>
  <c r="M202" i="1"/>
  <c r="N202" i="1" s="1"/>
  <c r="O202" i="1" s="1"/>
  <c r="P201" i="1"/>
  <c r="Q201" i="1" s="1"/>
  <c r="R201" i="1" s="1"/>
  <c r="N201" i="1"/>
  <c r="O201" i="1" s="1"/>
  <c r="M201" i="1"/>
  <c r="P200" i="1"/>
  <c r="Q200" i="1" s="1"/>
  <c r="R200" i="1" s="1"/>
  <c r="M200" i="1"/>
  <c r="N200" i="1" s="1"/>
  <c r="O200" i="1" s="1"/>
  <c r="R199" i="1"/>
  <c r="Q199" i="1"/>
  <c r="P199" i="1"/>
  <c r="M199" i="1"/>
  <c r="N199" i="1" s="1"/>
  <c r="O199" i="1" s="1"/>
  <c r="R198" i="1"/>
  <c r="P198" i="1"/>
  <c r="Q198" i="1" s="1"/>
  <c r="N198" i="1"/>
  <c r="O198" i="1" s="1"/>
  <c r="M198" i="1"/>
  <c r="Q197" i="1"/>
  <c r="R197" i="1" s="1"/>
  <c r="P197" i="1"/>
  <c r="O197" i="1"/>
  <c r="N197" i="1"/>
  <c r="M197" i="1"/>
  <c r="R196" i="1"/>
  <c r="Q196" i="1"/>
  <c r="P196" i="1"/>
  <c r="M196" i="1"/>
  <c r="N196" i="1" s="1"/>
  <c r="O196" i="1" s="1"/>
  <c r="P195" i="1"/>
  <c r="Q195" i="1" s="1"/>
  <c r="R195" i="1" s="1"/>
  <c r="M195" i="1"/>
  <c r="N195" i="1" s="1"/>
  <c r="O195" i="1" s="1"/>
  <c r="Q194" i="1"/>
  <c r="R194" i="1" s="1"/>
  <c r="P194" i="1"/>
  <c r="M194" i="1"/>
  <c r="N194" i="1" s="1"/>
  <c r="O194" i="1" s="1"/>
  <c r="R193" i="1"/>
  <c r="P193" i="1"/>
  <c r="Q193" i="1" s="1"/>
  <c r="N193" i="1"/>
  <c r="O193" i="1" s="1"/>
  <c r="M193" i="1"/>
  <c r="P192" i="1"/>
  <c r="Q192" i="1" s="1"/>
  <c r="R192" i="1" s="1"/>
  <c r="N192" i="1"/>
  <c r="O192" i="1" s="1"/>
  <c r="M192" i="1"/>
  <c r="Q191" i="1"/>
  <c r="R191" i="1" s="1"/>
  <c r="P191" i="1"/>
  <c r="N191" i="1"/>
  <c r="O191" i="1" s="1"/>
  <c r="M191" i="1"/>
  <c r="Q190" i="1"/>
  <c r="R190" i="1" s="1"/>
  <c r="P190" i="1"/>
  <c r="M190" i="1"/>
  <c r="N190" i="1" s="1"/>
  <c r="O190" i="1" s="1"/>
  <c r="P189" i="1"/>
  <c r="Q189" i="1" s="1"/>
  <c r="R189" i="1" s="1"/>
  <c r="M189" i="1"/>
  <c r="N189" i="1" s="1"/>
  <c r="O189" i="1" s="1"/>
  <c r="R188" i="1"/>
  <c r="Q188" i="1"/>
  <c r="P188" i="1"/>
  <c r="N188" i="1"/>
  <c r="O188" i="1" s="1"/>
  <c r="M188" i="1"/>
  <c r="P187" i="1"/>
  <c r="Q187" i="1" s="1"/>
  <c r="R187" i="1" s="1"/>
  <c r="M187" i="1"/>
  <c r="N187" i="1" s="1"/>
  <c r="O187" i="1" s="1"/>
  <c r="Q186" i="1"/>
  <c r="R186" i="1" s="1"/>
  <c r="P186" i="1"/>
  <c r="N186" i="1"/>
  <c r="O186" i="1" s="1"/>
  <c r="M186" i="1"/>
  <c r="Q185" i="1"/>
  <c r="R185" i="1" s="1"/>
  <c r="P185" i="1"/>
  <c r="N185" i="1"/>
  <c r="O185" i="1" s="1"/>
  <c r="M185" i="1"/>
  <c r="P184" i="1"/>
  <c r="Q184" i="1" s="1"/>
  <c r="R184" i="1" s="1"/>
  <c r="N184" i="1"/>
  <c r="O184" i="1" s="1"/>
  <c r="M184" i="1"/>
  <c r="R183" i="1"/>
  <c r="Q183" i="1"/>
  <c r="P183" i="1"/>
  <c r="M183" i="1"/>
  <c r="N183" i="1" s="1"/>
  <c r="O183" i="1" s="1"/>
  <c r="P182" i="1"/>
  <c r="Q182" i="1" s="1"/>
  <c r="R182" i="1" s="1"/>
  <c r="N182" i="1"/>
  <c r="O182" i="1" s="1"/>
  <c r="M182" i="1"/>
  <c r="P181" i="1"/>
  <c r="Q181" i="1" s="1"/>
  <c r="R181" i="1" s="1"/>
  <c r="M181" i="1"/>
  <c r="N181" i="1" s="1"/>
  <c r="O181" i="1" s="1"/>
  <c r="R180" i="1"/>
  <c r="P180" i="1"/>
  <c r="Q180" i="1" s="1"/>
  <c r="M180" i="1"/>
  <c r="N180" i="1" s="1"/>
  <c r="O180" i="1" s="1"/>
  <c r="P179" i="1"/>
  <c r="Q179" i="1" s="1"/>
  <c r="R179" i="1" s="1"/>
  <c r="M179" i="1"/>
  <c r="N179" i="1" s="1"/>
  <c r="O179" i="1" s="1"/>
  <c r="P178" i="1"/>
  <c r="Q178" i="1" s="1"/>
  <c r="R178" i="1" s="1"/>
  <c r="M178" i="1"/>
  <c r="N178" i="1" s="1"/>
  <c r="O178" i="1" s="1"/>
  <c r="P177" i="1"/>
  <c r="Q177" i="1" s="1"/>
  <c r="R177" i="1" s="1"/>
  <c r="M177" i="1"/>
  <c r="N177" i="1" s="1"/>
  <c r="O177" i="1" s="1"/>
  <c r="P176" i="1"/>
  <c r="Q176" i="1" s="1"/>
  <c r="R176" i="1" s="1"/>
  <c r="N176" i="1"/>
  <c r="O176" i="1" s="1"/>
  <c r="M176" i="1"/>
  <c r="Q175" i="1"/>
  <c r="R175" i="1" s="1"/>
  <c r="P175" i="1"/>
  <c r="M175" i="1"/>
  <c r="N175" i="1" s="1"/>
  <c r="O175" i="1" s="1"/>
  <c r="P174" i="1"/>
  <c r="Q174" i="1" s="1"/>
  <c r="R174" i="1" s="1"/>
  <c r="N174" i="1"/>
  <c r="O174" i="1" s="1"/>
  <c r="M174" i="1"/>
  <c r="R173" i="1"/>
  <c r="Q173" i="1"/>
  <c r="P173" i="1"/>
  <c r="O173" i="1"/>
  <c r="M173" i="1"/>
  <c r="N173" i="1" s="1"/>
  <c r="P172" i="1"/>
  <c r="Q172" i="1" s="1"/>
  <c r="R172" i="1" s="1"/>
  <c r="M172" i="1"/>
  <c r="N172" i="1" s="1"/>
  <c r="O172" i="1" s="1"/>
  <c r="P171" i="1"/>
  <c r="Q171" i="1" s="1"/>
  <c r="R171" i="1" s="1"/>
  <c r="O171" i="1"/>
  <c r="M171" i="1"/>
  <c r="N171" i="1" s="1"/>
  <c r="R170" i="1"/>
  <c r="P170" i="1"/>
  <c r="Q170" i="1" s="1"/>
  <c r="N170" i="1"/>
  <c r="O170" i="1" s="1"/>
  <c r="M170" i="1"/>
  <c r="P169" i="1"/>
  <c r="Q169" i="1" s="1"/>
  <c r="R169" i="1" s="1"/>
  <c r="M169" i="1"/>
  <c r="N169" i="1" s="1"/>
  <c r="O169" i="1" s="1"/>
  <c r="R168" i="1"/>
  <c r="P168" i="1"/>
  <c r="Q168" i="1" s="1"/>
  <c r="M168" i="1"/>
  <c r="N168" i="1" s="1"/>
  <c r="O168" i="1" s="1"/>
  <c r="R167" i="1"/>
  <c r="P167" i="1"/>
  <c r="Q167" i="1" s="1"/>
  <c r="M167" i="1"/>
  <c r="N167" i="1" s="1"/>
  <c r="O167" i="1" s="1"/>
  <c r="P166" i="1"/>
  <c r="Q166" i="1" s="1"/>
  <c r="R166" i="1" s="1"/>
  <c r="M166" i="1"/>
  <c r="N166" i="1" s="1"/>
  <c r="O166" i="1" s="1"/>
  <c r="P165" i="1"/>
  <c r="Q165" i="1" s="1"/>
  <c r="R165" i="1" s="1"/>
  <c r="M165" i="1"/>
  <c r="N165" i="1" s="1"/>
  <c r="O165" i="1" s="1"/>
  <c r="P164" i="1"/>
  <c r="Q164" i="1" s="1"/>
  <c r="R164" i="1" s="1"/>
  <c r="N164" i="1"/>
  <c r="O164" i="1" s="1"/>
  <c r="M164" i="1"/>
  <c r="Q163" i="1"/>
  <c r="R163" i="1" s="1"/>
  <c r="P163" i="1"/>
  <c r="M163" i="1"/>
  <c r="N163" i="1" s="1"/>
  <c r="O163" i="1" s="1"/>
  <c r="P162" i="1"/>
  <c r="Q162" i="1" s="1"/>
  <c r="R162" i="1" s="1"/>
  <c r="M162" i="1"/>
  <c r="N162" i="1" s="1"/>
  <c r="O162" i="1" s="1"/>
  <c r="P161" i="1"/>
  <c r="Q161" i="1" s="1"/>
  <c r="R161" i="1" s="1"/>
  <c r="M161" i="1"/>
  <c r="N161" i="1" s="1"/>
  <c r="O161" i="1" s="1"/>
  <c r="R160" i="1"/>
  <c r="P160" i="1"/>
  <c r="Q160" i="1" s="1"/>
  <c r="N160" i="1"/>
  <c r="O160" i="1" s="1"/>
  <c r="M160" i="1"/>
  <c r="R159" i="1"/>
  <c r="Q159" i="1"/>
  <c r="P159" i="1"/>
  <c r="O159" i="1"/>
  <c r="M159" i="1"/>
  <c r="N159" i="1" s="1"/>
  <c r="Q158" i="1"/>
  <c r="R158" i="1" s="1"/>
  <c r="P158" i="1"/>
  <c r="M158" i="1"/>
  <c r="N158" i="1" s="1"/>
  <c r="O158" i="1" s="1"/>
  <c r="Q157" i="1"/>
  <c r="R157" i="1" s="1"/>
  <c r="P157" i="1"/>
  <c r="M157" i="1"/>
  <c r="N157" i="1" s="1"/>
  <c r="O157" i="1" s="1"/>
  <c r="P156" i="1"/>
  <c r="Q156" i="1" s="1"/>
  <c r="R156" i="1" s="1"/>
  <c r="M156" i="1"/>
  <c r="N156" i="1" s="1"/>
  <c r="O156" i="1" s="1"/>
  <c r="P155" i="1"/>
  <c r="Q155" i="1" s="1"/>
  <c r="R155" i="1" s="1"/>
  <c r="O155" i="1"/>
  <c r="M155" i="1"/>
  <c r="N155" i="1" s="1"/>
  <c r="P154" i="1"/>
  <c r="Q154" i="1" s="1"/>
  <c r="R154" i="1" s="1"/>
  <c r="M154" i="1"/>
  <c r="N154" i="1" s="1"/>
  <c r="O154" i="1" s="1"/>
  <c r="Q153" i="1"/>
  <c r="R153" i="1" s="1"/>
  <c r="P153" i="1"/>
  <c r="O153" i="1"/>
  <c r="M153" i="1"/>
  <c r="N153" i="1" s="1"/>
  <c r="Q152" i="1"/>
  <c r="R152" i="1" s="1"/>
  <c r="P152" i="1"/>
  <c r="N152" i="1"/>
  <c r="O152" i="1" s="1"/>
  <c r="M152" i="1"/>
  <c r="P151" i="1"/>
  <c r="Q151" i="1" s="1"/>
  <c r="R151" i="1" s="1"/>
  <c r="M151" i="1"/>
  <c r="N151" i="1" s="1"/>
  <c r="O151" i="1" s="1"/>
  <c r="P150" i="1"/>
  <c r="Q150" i="1" s="1"/>
  <c r="R150" i="1" s="1"/>
  <c r="M150" i="1"/>
  <c r="N150" i="1" s="1"/>
  <c r="O150" i="1" s="1"/>
  <c r="P149" i="1"/>
  <c r="Q149" i="1" s="1"/>
  <c r="R149" i="1" s="1"/>
  <c r="O149" i="1"/>
  <c r="M149" i="1"/>
  <c r="N149" i="1" s="1"/>
  <c r="R148" i="1"/>
  <c r="Q148" i="1"/>
  <c r="P148" i="1"/>
  <c r="M148" i="1"/>
  <c r="N148" i="1" s="1"/>
  <c r="O148" i="1" s="1"/>
  <c r="P147" i="1"/>
  <c r="Q147" i="1" s="1"/>
  <c r="R147" i="1" s="1"/>
  <c r="M147" i="1"/>
  <c r="N147" i="1" s="1"/>
  <c r="O147" i="1" s="1"/>
  <c r="Q146" i="1"/>
  <c r="R146" i="1" s="1"/>
  <c r="P146" i="1"/>
  <c r="N146" i="1"/>
  <c r="O146" i="1" s="1"/>
  <c r="M146" i="1"/>
  <c r="Q145" i="1"/>
  <c r="R145" i="1" s="1"/>
  <c r="P145" i="1"/>
  <c r="M145" i="1"/>
  <c r="N145" i="1" s="1"/>
  <c r="O145" i="1" s="1"/>
  <c r="P144" i="1"/>
  <c r="Q144" i="1" s="1"/>
  <c r="R144" i="1" s="1"/>
  <c r="M144" i="1"/>
  <c r="N144" i="1" s="1"/>
  <c r="O144" i="1" s="1"/>
  <c r="P143" i="1"/>
  <c r="Q143" i="1" s="1"/>
  <c r="R143" i="1" s="1"/>
  <c r="M143" i="1"/>
  <c r="N143" i="1" s="1"/>
  <c r="O143" i="1" s="1"/>
  <c r="Q142" i="1"/>
  <c r="R142" i="1" s="1"/>
  <c r="P142" i="1"/>
  <c r="O142" i="1"/>
  <c r="N142" i="1"/>
  <c r="M142" i="1"/>
  <c r="P141" i="1"/>
  <c r="Q141" i="1" s="1"/>
  <c r="R141" i="1" s="1"/>
  <c r="O141" i="1"/>
  <c r="M141" i="1"/>
  <c r="N141" i="1" s="1"/>
  <c r="P140" i="1"/>
  <c r="Q140" i="1" s="1"/>
  <c r="R140" i="1" s="1"/>
  <c r="N140" i="1"/>
  <c r="O140" i="1" s="1"/>
  <c r="M140" i="1"/>
  <c r="Q139" i="1"/>
  <c r="R139" i="1" s="1"/>
  <c r="P139" i="1"/>
  <c r="M139" i="1"/>
  <c r="N139" i="1" s="1"/>
  <c r="O139" i="1" s="1"/>
  <c r="P138" i="1"/>
  <c r="Q138" i="1" s="1"/>
  <c r="R138" i="1" s="1"/>
  <c r="M138" i="1"/>
  <c r="N138" i="1" s="1"/>
  <c r="O138" i="1" s="1"/>
  <c r="P137" i="1"/>
  <c r="Q137" i="1" s="1"/>
  <c r="R137" i="1" s="1"/>
  <c r="M137" i="1"/>
  <c r="N137" i="1" s="1"/>
  <c r="O137" i="1" s="1"/>
  <c r="R136" i="1"/>
  <c r="P136" i="1"/>
  <c r="Q136" i="1" s="1"/>
  <c r="N136" i="1"/>
  <c r="O136" i="1" s="1"/>
  <c r="M136" i="1"/>
  <c r="R135" i="1"/>
  <c r="Q135" i="1"/>
  <c r="P135" i="1"/>
  <c r="O135" i="1"/>
  <c r="M135" i="1"/>
  <c r="N135" i="1" s="1"/>
  <c r="Q134" i="1"/>
  <c r="R134" i="1" s="1"/>
  <c r="P134" i="1"/>
  <c r="M134" i="1"/>
  <c r="N134" i="1" s="1"/>
  <c r="O134" i="1" s="1"/>
  <c r="Q133" i="1"/>
  <c r="R133" i="1" s="1"/>
  <c r="P133" i="1"/>
  <c r="M133" i="1"/>
  <c r="N133" i="1" s="1"/>
  <c r="O133" i="1" s="1"/>
  <c r="P132" i="1"/>
  <c r="Q132" i="1" s="1"/>
  <c r="R132" i="1" s="1"/>
  <c r="M132" i="1"/>
  <c r="N132" i="1" s="1"/>
  <c r="O132" i="1" s="1"/>
  <c r="P131" i="1"/>
  <c r="Q131" i="1" s="1"/>
  <c r="R131" i="1" s="1"/>
  <c r="O131" i="1"/>
  <c r="M131" i="1"/>
  <c r="N131" i="1" s="1"/>
  <c r="P130" i="1"/>
  <c r="Q130" i="1" s="1"/>
  <c r="R130" i="1" s="1"/>
  <c r="M130" i="1"/>
  <c r="N130" i="1" s="1"/>
  <c r="O130" i="1" s="1"/>
  <c r="Q129" i="1"/>
  <c r="R129" i="1" s="1"/>
  <c r="P129" i="1"/>
  <c r="O129" i="1"/>
  <c r="M129" i="1"/>
  <c r="N129" i="1" s="1"/>
  <c r="Q128" i="1"/>
  <c r="R128" i="1" s="1"/>
  <c r="P128" i="1"/>
  <c r="N128" i="1"/>
  <c r="O128" i="1" s="1"/>
  <c r="M128" i="1"/>
  <c r="P127" i="1"/>
  <c r="Q127" i="1" s="1"/>
  <c r="R127" i="1" s="1"/>
  <c r="M127" i="1"/>
  <c r="N127" i="1" s="1"/>
  <c r="O127" i="1" s="1"/>
  <c r="P126" i="1"/>
  <c r="Q126" i="1" s="1"/>
  <c r="R126" i="1" s="1"/>
  <c r="M126" i="1"/>
  <c r="N126" i="1" s="1"/>
  <c r="O126" i="1" s="1"/>
  <c r="P125" i="1"/>
  <c r="Q125" i="1" s="1"/>
  <c r="R125" i="1" s="1"/>
  <c r="O125" i="1"/>
  <c r="M125" i="1"/>
  <c r="N125" i="1" s="1"/>
  <c r="R124" i="1"/>
  <c r="Q124" i="1"/>
  <c r="P124" i="1"/>
  <c r="M124" i="1"/>
  <c r="N124" i="1" s="1"/>
  <c r="O124" i="1" s="1"/>
  <c r="P123" i="1"/>
  <c r="Q123" i="1" s="1"/>
  <c r="R123" i="1" s="1"/>
  <c r="M123" i="1"/>
  <c r="N123" i="1" s="1"/>
  <c r="O123" i="1" s="1"/>
  <c r="Q122" i="1"/>
  <c r="R122" i="1" s="1"/>
  <c r="P122" i="1"/>
  <c r="N122" i="1"/>
  <c r="O122" i="1" s="1"/>
  <c r="M122" i="1"/>
  <c r="Q121" i="1"/>
  <c r="R121" i="1" s="1"/>
  <c r="P121" i="1"/>
  <c r="M121" i="1"/>
  <c r="N121" i="1" s="1"/>
  <c r="O121" i="1" s="1"/>
  <c r="P120" i="1"/>
  <c r="Q120" i="1" s="1"/>
  <c r="R120" i="1" s="1"/>
  <c r="M120" i="1"/>
  <c r="N120" i="1" s="1"/>
  <c r="O120" i="1" s="1"/>
  <c r="P119" i="1"/>
  <c r="Q119" i="1" s="1"/>
  <c r="R119" i="1" s="1"/>
  <c r="M119" i="1"/>
  <c r="N119" i="1" s="1"/>
  <c r="O119" i="1" s="1"/>
  <c r="Q118" i="1"/>
  <c r="R118" i="1" s="1"/>
  <c r="P118" i="1"/>
  <c r="O118" i="1"/>
  <c r="N118" i="1"/>
  <c r="M118" i="1"/>
  <c r="P117" i="1"/>
  <c r="Q117" i="1" s="1"/>
  <c r="R117" i="1" s="1"/>
  <c r="O117" i="1"/>
  <c r="M117" i="1"/>
  <c r="N117" i="1" s="1"/>
  <c r="P116" i="1"/>
  <c r="Q116" i="1" s="1"/>
  <c r="R116" i="1" s="1"/>
  <c r="N116" i="1"/>
  <c r="O116" i="1" s="1"/>
  <c r="M116" i="1"/>
  <c r="Q115" i="1"/>
  <c r="R115" i="1" s="1"/>
  <c r="P115" i="1"/>
  <c r="M115" i="1"/>
  <c r="N115" i="1" s="1"/>
  <c r="O115" i="1" s="1"/>
  <c r="P114" i="1"/>
  <c r="Q114" i="1" s="1"/>
  <c r="R114" i="1" s="1"/>
  <c r="M114" i="1"/>
  <c r="N114" i="1" s="1"/>
  <c r="O114" i="1" s="1"/>
  <c r="P113" i="1"/>
  <c r="Q113" i="1" s="1"/>
  <c r="R113" i="1" s="1"/>
  <c r="M113" i="1"/>
  <c r="N113" i="1" s="1"/>
  <c r="O113" i="1" s="1"/>
  <c r="P112" i="1"/>
  <c r="Q112" i="1" s="1"/>
  <c r="R112" i="1" s="1"/>
  <c r="N112" i="1"/>
  <c r="O112" i="1" s="1"/>
  <c r="M112" i="1"/>
  <c r="R111" i="1"/>
  <c r="Q111" i="1"/>
  <c r="P111" i="1"/>
  <c r="O111" i="1"/>
  <c r="M111" i="1"/>
  <c r="N111" i="1" s="1"/>
  <c r="Q110" i="1"/>
  <c r="R110" i="1" s="1"/>
  <c r="P110" i="1"/>
  <c r="M110" i="1"/>
  <c r="N110" i="1" s="1"/>
  <c r="O110" i="1" s="1"/>
  <c r="Q109" i="1"/>
  <c r="R109" i="1" s="1"/>
  <c r="P109" i="1"/>
  <c r="M109" i="1"/>
  <c r="N109" i="1" s="1"/>
  <c r="O109" i="1" s="1"/>
  <c r="P108" i="1"/>
  <c r="Q108" i="1" s="1"/>
  <c r="R108" i="1" s="1"/>
  <c r="M108" i="1"/>
  <c r="N108" i="1" s="1"/>
  <c r="O108" i="1" s="1"/>
  <c r="P107" i="1"/>
  <c r="Q107" i="1" s="1"/>
  <c r="R107" i="1" s="1"/>
  <c r="O107" i="1"/>
  <c r="M107" i="1"/>
  <c r="N107" i="1" s="1"/>
  <c r="P106" i="1"/>
  <c r="Q106" i="1" s="1"/>
  <c r="R106" i="1" s="1"/>
  <c r="O106" i="1"/>
  <c r="M106" i="1"/>
  <c r="N106" i="1" s="1"/>
  <c r="Q105" i="1"/>
  <c r="R105" i="1" s="1"/>
  <c r="P105" i="1"/>
  <c r="O105" i="1"/>
  <c r="M105" i="1"/>
  <c r="N105" i="1" s="1"/>
  <c r="Q104" i="1"/>
  <c r="R104" i="1" s="1"/>
  <c r="P104" i="1"/>
  <c r="N104" i="1"/>
  <c r="O104" i="1" s="1"/>
  <c r="M104" i="1"/>
  <c r="P103" i="1"/>
  <c r="Q103" i="1" s="1"/>
  <c r="R103" i="1" s="1"/>
  <c r="M103" i="1"/>
  <c r="N103" i="1" s="1"/>
  <c r="O103" i="1" s="1"/>
  <c r="P102" i="1"/>
  <c r="Q102" i="1" s="1"/>
  <c r="R102" i="1" s="1"/>
  <c r="M102" i="1"/>
  <c r="N102" i="1" s="1"/>
  <c r="O102" i="1" s="1"/>
  <c r="P101" i="1"/>
  <c r="Q101" i="1" s="1"/>
  <c r="R101" i="1" s="1"/>
  <c r="O101" i="1"/>
  <c r="M101" i="1"/>
  <c r="N101" i="1" s="1"/>
  <c r="R100" i="1"/>
  <c r="Q100" i="1"/>
  <c r="P100" i="1"/>
  <c r="M100" i="1"/>
  <c r="N100" i="1" s="1"/>
  <c r="O100" i="1" s="1"/>
  <c r="P99" i="1"/>
  <c r="Q99" i="1" s="1"/>
  <c r="R99" i="1" s="1"/>
  <c r="M99" i="1"/>
  <c r="N99" i="1" s="1"/>
  <c r="O99" i="1" s="1"/>
  <c r="Q98" i="1"/>
  <c r="R98" i="1" s="1"/>
  <c r="P98" i="1"/>
  <c r="N98" i="1"/>
  <c r="O98" i="1" s="1"/>
  <c r="M98" i="1"/>
  <c r="Q97" i="1"/>
  <c r="R97" i="1" s="1"/>
  <c r="P97" i="1"/>
  <c r="M97" i="1"/>
  <c r="N97" i="1" s="1"/>
  <c r="O97" i="1" s="1"/>
  <c r="P96" i="1"/>
  <c r="Q96" i="1" s="1"/>
  <c r="R96" i="1" s="1"/>
  <c r="M96" i="1"/>
  <c r="N96" i="1" s="1"/>
  <c r="O96" i="1" s="1"/>
  <c r="P95" i="1"/>
  <c r="Q95" i="1" s="1"/>
  <c r="R95" i="1" s="1"/>
  <c r="M95" i="1"/>
  <c r="N95" i="1" s="1"/>
  <c r="O95" i="1" s="1"/>
  <c r="Q94" i="1"/>
  <c r="R94" i="1" s="1"/>
  <c r="P94" i="1"/>
  <c r="O94" i="1"/>
  <c r="N94" i="1"/>
  <c r="M94" i="1"/>
  <c r="P93" i="1"/>
  <c r="Q93" i="1" s="1"/>
  <c r="R93" i="1" s="1"/>
  <c r="O93" i="1"/>
  <c r="M93" i="1"/>
  <c r="N93" i="1" s="1"/>
  <c r="P92" i="1"/>
  <c r="Q92" i="1" s="1"/>
  <c r="R92" i="1" s="1"/>
  <c r="N92" i="1"/>
  <c r="O92" i="1" s="1"/>
  <c r="M92" i="1"/>
  <c r="Q91" i="1"/>
  <c r="R91" i="1" s="1"/>
  <c r="P91" i="1"/>
  <c r="M91" i="1"/>
  <c r="N91" i="1" s="1"/>
  <c r="O91" i="1" s="1"/>
  <c r="P90" i="1"/>
  <c r="Q90" i="1" s="1"/>
  <c r="R90" i="1" s="1"/>
  <c r="M90" i="1"/>
  <c r="N90" i="1" s="1"/>
  <c r="O90" i="1" s="1"/>
  <c r="P89" i="1"/>
  <c r="Q89" i="1" s="1"/>
  <c r="R89" i="1" s="1"/>
  <c r="M89" i="1"/>
  <c r="N89" i="1" s="1"/>
  <c r="O89" i="1" s="1"/>
  <c r="P88" i="1"/>
  <c r="Q88" i="1" s="1"/>
  <c r="R88" i="1" s="1"/>
  <c r="N88" i="1"/>
  <c r="O88" i="1" s="1"/>
  <c r="M88" i="1"/>
  <c r="R87" i="1"/>
  <c r="Q87" i="1"/>
  <c r="P87" i="1"/>
  <c r="O87" i="1"/>
  <c r="M87" i="1"/>
  <c r="N87" i="1" s="1"/>
  <c r="Q86" i="1"/>
  <c r="R86" i="1" s="1"/>
  <c r="P86" i="1"/>
  <c r="M86" i="1"/>
  <c r="N86" i="1" s="1"/>
  <c r="O86" i="1" s="1"/>
  <c r="Q85" i="1"/>
  <c r="R85" i="1" s="1"/>
  <c r="P85" i="1"/>
  <c r="M85" i="1"/>
  <c r="N85" i="1" s="1"/>
  <c r="O85" i="1" s="1"/>
  <c r="P84" i="1"/>
  <c r="Q84" i="1" s="1"/>
  <c r="R84" i="1" s="1"/>
  <c r="M84" i="1"/>
  <c r="N84" i="1" s="1"/>
  <c r="O84" i="1" s="1"/>
  <c r="P83" i="1"/>
  <c r="Q83" i="1" s="1"/>
  <c r="R83" i="1" s="1"/>
  <c r="O83" i="1"/>
  <c r="M83" i="1"/>
  <c r="N83" i="1" s="1"/>
  <c r="P82" i="1"/>
  <c r="Q82" i="1" s="1"/>
  <c r="R82" i="1" s="1"/>
  <c r="M82" i="1"/>
  <c r="N82" i="1" s="1"/>
  <c r="O82" i="1" s="1"/>
  <c r="Q81" i="1"/>
  <c r="R81" i="1" s="1"/>
  <c r="P81" i="1"/>
  <c r="O81" i="1"/>
  <c r="M81" i="1"/>
  <c r="N81" i="1" s="1"/>
  <c r="Q80" i="1"/>
  <c r="R80" i="1" s="1"/>
  <c r="P80" i="1"/>
  <c r="N80" i="1"/>
  <c r="O80" i="1" s="1"/>
  <c r="M80" i="1"/>
  <c r="P79" i="1"/>
  <c r="Q79" i="1" s="1"/>
  <c r="R79" i="1" s="1"/>
  <c r="N79" i="1"/>
  <c r="O79" i="1" s="1"/>
  <c r="M79" i="1"/>
  <c r="Q78" i="1"/>
  <c r="R78" i="1" s="1"/>
  <c r="P78" i="1"/>
  <c r="N78" i="1"/>
  <c r="O78" i="1" s="1"/>
  <c r="M78" i="1"/>
  <c r="P77" i="1"/>
  <c r="Q77" i="1" s="1"/>
  <c r="R77" i="1" s="1"/>
  <c r="N77" i="1"/>
  <c r="O77" i="1" s="1"/>
  <c r="M77" i="1"/>
  <c r="Q76" i="1"/>
  <c r="R76" i="1" s="1"/>
  <c r="P76" i="1"/>
  <c r="N76" i="1"/>
  <c r="O76" i="1" s="1"/>
  <c r="M76" i="1"/>
  <c r="P75" i="1"/>
  <c r="Q75" i="1" s="1"/>
  <c r="R75" i="1" s="1"/>
  <c r="N75" i="1"/>
  <c r="O75" i="1" s="1"/>
  <c r="M75" i="1"/>
  <c r="Q74" i="1"/>
  <c r="R74" i="1" s="1"/>
  <c r="P74" i="1"/>
  <c r="N74" i="1"/>
  <c r="O74" i="1" s="1"/>
  <c r="M74" i="1"/>
  <c r="P73" i="1"/>
  <c r="Q73" i="1" s="1"/>
  <c r="R73" i="1" s="1"/>
  <c r="N73" i="1"/>
  <c r="O73" i="1" s="1"/>
  <c r="M73" i="1"/>
  <c r="Q72" i="1"/>
  <c r="R72" i="1" s="1"/>
  <c r="P72" i="1"/>
  <c r="N72" i="1"/>
  <c r="O72" i="1" s="1"/>
  <c r="M72" i="1"/>
  <c r="P71" i="1"/>
  <c r="Q71" i="1" s="1"/>
  <c r="R71" i="1" s="1"/>
  <c r="N71" i="1"/>
  <c r="O71" i="1" s="1"/>
  <c r="M71" i="1"/>
  <c r="Q70" i="1"/>
  <c r="R70" i="1" s="1"/>
  <c r="P70" i="1"/>
  <c r="N70" i="1"/>
  <c r="O70" i="1" s="1"/>
  <c r="M70" i="1"/>
  <c r="P69" i="1"/>
  <c r="Q69" i="1" s="1"/>
  <c r="R69" i="1" s="1"/>
  <c r="N69" i="1"/>
  <c r="O69" i="1" s="1"/>
  <c r="M69" i="1"/>
  <c r="Q68" i="1"/>
  <c r="R68" i="1" s="1"/>
  <c r="P68" i="1"/>
  <c r="N68" i="1"/>
  <c r="O68" i="1" s="1"/>
  <c r="M68" i="1"/>
  <c r="P67" i="1"/>
  <c r="Q67" i="1" s="1"/>
  <c r="R67" i="1" s="1"/>
  <c r="N67" i="1"/>
  <c r="O67" i="1" s="1"/>
  <c r="M67" i="1"/>
  <c r="Q66" i="1"/>
  <c r="R66" i="1" s="1"/>
  <c r="P66" i="1"/>
  <c r="N66" i="1"/>
  <c r="O66" i="1" s="1"/>
  <c r="M66" i="1"/>
  <c r="P65" i="1"/>
  <c r="Q65" i="1" s="1"/>
  <c r="R65" i="1" s="1"/>
  <c r="N65" i="1"/>
  <c r="O65" i="1" s="1"/>
  <c r="M65" i="1"/>
  <c r="Q64" i="1"/>
  <c r="R64" i="1" s="1"/>
  <c r="P64" i="1"/>
  <c r="N64" i="1"/>
  <c r="O64" i="1" s="1"/>
  <c r="M64" i="1"/>
  <c r="P63" i="1"/>
  <c r="Q63" i="1" s="1"/>
  <c r="R63" i="1" s="1"/>
  <c r="N63" i="1"/>
  <c r="O63" i="1" s="1"/>
  <c r="M63" i="1"/>
  <c r="Q62" i="1"/>
  <c r="R62" i="1" s="1"/>
  <c r="P62" i="1"/>
  <c r="N62" i="1"/>
  <c r="O62" i="1" s="1"/>
  <c r="M62" i="1"/>
  <c r="P61" i="1"/>
  <c r="Q61" i="1" s="1"/>
  <c r="R61" i="1" s="1"/>
  <c r="N61" i="1"/>
  <c r="O61" i="1" s="1"/>
  <c r="M61" i="1"/>
  <c r="Q60" i="1"/>
  <c r="R60" i="1" s="1"/>
  <c r="P60" i="1"/>
  <c r="N60" i="1"/>
  <c r="O60" i="1" s="1"/>
  <c r="M60" i="1"/>
  <c r="P59" i="1"/>
  <c r="Q59" i="1" s="1"/>
  <c r="R59" i="1" s="1"/>
  <c r="N59" i="1"/>
  <c r="O59" i="1" s="1"/>
  <c r="M59" i="1"/>
  <c r="Q58" i="1"/>
  <c r="R58" i="1" s="1"/>
  <c r="P58" i="1"/>
  <c r="N58" i="1"/>
  <c r="O58" i="1" s="1"/>
  <c r="M58" i="1"/>
  <c r="P57" i="1"/>
  <c r="Q57" i="1" s="1"/>
  <c r="R57" i="1" s="1"/>
  <c r="N57" i="1"/>
  <c r="O57" i="1" s="1"/>
  <c r="M57" i="1"/>
  <c r="Q56" i="1"/>
  <c r="R56" i="1" s="1"/>
  <c r="P56" i="1"/>
  <c r="N56" i="1"/>
  <c r="O56" i="1" s="1"/>
  <c r="M56" i="1"/>
  <c r="P55" i="1"/>
  <c r="Q55" i="1" s="1"/>
  <c r="R55" i="1" s="1"/>
  <c r="N55" i="1"/>
  <c r="O55" i="1" s="1"/>
  <c r="M55" i="1"/>
  <c r="Q54" i="1"/>
  <c r="R54" i="1" s="1"/>
  <c r="P54" i="1"/>
  <c r="N54" i="1"/>
  <c r="O54" i="1" s="1"/>
  <c r="M54" i="1"/>
  <c r="P53" i="1"/>
  <c r="Q53" i="1" s="1"/>
  <c r="R53" i="1" s="1"/>
  <c r="N53" i="1"/>
  <c r="O53" i="1" s="1"/>
  <c r="M53" i="1"/>
  <c r="Q52" i="1"/>
  <c r="R52" i="1" s="1"/>
  <c r="P52" i="1"/>
  <c r="N52" i="1"/>
  <c r="O52" i="1" s="1"/>
  <c r="M52" i="1"/>
  <c r="P51" i="1"/>
  <c r="Q51" i="1" s="1"/>
  <c r="R51" i="1" s="1"/>
  <c r="N51" i="1"/>
  <c r="O51" i="1" s="1"/>
  <c r="M51" i="1"/>
  <c r="Q50" i="1"/>
  <c r="R50" i="1" s="1"/>
  <c r="P50" i="1"/>
  <c r="N50" i="1"/>
  <c r="O50" i="1" s="1"/>
  <c r="M50" i="1"/>
  <c r="P49" i="1"/>
  <c r="Q49" i="1" s="1"/>
  <c r="R49" i="1" s="1"/>
  <c r="N49" i="1"/>
  <c r="O49" i="1" s="1"/>
  <c r="M49" i="1"/>
  <c r="Q48" i="1"/>
  <c r="R48" i="1" s="1"/>
  <c r="P48" i="1"/>
  <c r="N48" i="1"/>
  <c r="O48" i="1" s="1"/>
  <c r="M48" i="1"/>
  <c r="P47" i="1"/>
  <c r="Q47" i="1" s="1"/>
  <c r="R47" i="1" s="1"/>
  <c r="N47" i="1"/>
  <c r="O47" i="1" s="1"/>
  <c r="M47" i="1"/>
  <c r="Q46" i="1"/>
  <c r="R46" i="1" s="1"/>
  <c r="P46" i="1"/>
  <c r="N46" i="1"/>
  <c r="O46" i="1" s="1"/>
  <c r="M46" i="1"/>
  <c r="P45" i="1"/>
  <c r="Q45" i="1" s="1"/>
  <c r="R45" i="1" s="1"/>
  <c r="N45" i="1"/>
  <c r="O45" i="1" s="1"/>
  <c r="M45" i="1"/>
  <c r="Q44" i="1"/>
  <c r="R44" i="1" s="1"/>
  <c r="P44" i="1"/>
  <c r="N44" i="1"/>
  <c r="O44" i="1" s="1"/>
  <c r="M44" i="1"/>
  <c r="P43" i="1"/>
  <c r="Q43" i="1" s="1"/>
  <c r="R43" i="1" s="1"/>
  <c r="N43" i="1"/>
  <c r="O43" i="1" s="1"/>
  <c r="M43" i="1"/>
  <c r="Q42" i="1"/>
  <c r="R42" i="1" s="1"/>
  <c r="P42" i="1"/>
  <c r="N42" i="1"/>
  <c r="O42" i="1" s="1"/>
  <c r="M42" i="1"/>
  <c r="P41" i="1"/>
  <c r="Q41" i="1" s="1"/>
  <c r="R41" i="1" s="1"/>
  <c r="N41" i="1"/>
  <c r="O41" i="1" s="1"/>
  <c r="M41" i="1"/>
  <c r="Q40" i="1"/>
  <c r="R40" i="1" s="1"/>
  <c r="P40" i="1"/>
  <c r="N40" i="1"/>
  <c r="O40" i="1" s="1"/>
  <c r="M40" i="1"/>
  <c r="P39" i="1"/>
  <c r="Q39" i="1" s="1"/>
  <c r="R39" i="1" s="1"/>
  <c r="N39" i="1"/>
  <c r="O39" i="1" s="1"/>
  <c r="M39" i="1"/>
  <c r="Q38" i="1"/>
  <c r="R38" i="1" s="1"/>
  <c r="P38" i="1"/>
  <c r="N38" i="1"/>
  <c r="O38" i="1" s="1"/>
  <c r="M38" i="1"/>
  <c r="P37" i="1"/>
  <c r="Q37" i="1" s="1"/>
  <c r="R37" i="1" s="1"/>
  <c r="N37" i="1"/>
  <c r="O37" i="1" s="1"/>
  <c r="M37" i="1"/>
  <c r="Q36" i="1"/>
  <c r="R36" i="1" s="1"/>
  <c r="P36" i="1"/>
  <c r="N36" i="1"/>
  <c r="O36" i="1" s="1"/>
  <c r="M36" i="1"/>
  <c r="P35" i="1"/>
  <c r="Q35" i="1" s="1"/>
  <c r="R35" i="1" s="1"/>
  <c r="N35" i="1"/>
  <c r="O35" i="1" s="1"/>
  <c r="M35" i="1"/>
  <c r="Q34" i="1"/>
  <c r="R34" i="1" s="1"/>
  <c r="P34" i="1"/>
  <c r="N34" i="1"/>
  <c r="O34" i="1" s="1"/>
  <c r="M34" i="1"/>
  <c r="P33" i="1"/>
  <c r="Q33" i="1" s="1"/>
  <c r="R33" i="1" s="1"/>
  <c r="N33" i="1"/>
  <c r="O33" i="1" s="1"/>
  <c r="M33" i="1"/>
  <c r="Q32" i="1"/>
  <c r="R32" i="1" s="1"/>
  <c r="P32" i="1"/>
  <c r="N32" i="1"/>
  <c r="O32" i="1" s="1"/>
  <c r="M32" i="1"/>
  <c r="P31" i="1"/>
  <c r="Q31" i="1" s="1"/>
  <c r="R31" i="1" s="1"/>
  <c r="N31" i="1"/>
  <c r="O31" i="1" s="1"/>
  <c r="M31" i="1"/>
  <c r="Q30" i="1"/>
  <c r="R30" i="1" s="1"/>
  <c r="P30" i="1"/>
  <c r="N30" i="1"/>
  <c r="O30" i="1" s="1"/>
  <c r="M30" i="1"/>
  <c r="P29" i="1"/>
  <c r="Q29" i="1" s="1"/>
  <c r="R29" i="1" s="1"/>
  <c r="N29" i="1"/>
  <c r="O29" i="1" s="1"/>
  <c r="M29" i="1"/>
  <c r="Q28" i="1"/>
  <c r="R28" i="1" s="1"/>
  <c r="P28" i="1"/>
  <c r="N28" i="1"/>
  <c r="O28" i="1" s="1"/>
  <c r="M28" i="1"/>
  <c r="P27" i="1"/>
  <c r="Q27" i="1" s="1"/>
  <c r="R27" i="1" s="1"/>
  <c r="N27" i="1"/>
  <c r="O27" i="1" s="1"/>
  <c r="M27" i="1"/>
  <c r="Q26" i="1"/>
  <c r="R26" i="1" s="1"/>
  <c r="P26" i="1"/>
  <c r="O26" i="1"/>
  <c r="N26" i="1"/>
  <c r="M26" i="1"/>
  <c r="P25" i="1"/>
  <c r="Q25" i="1" s="1"/>
  <c r="R25" i="1" s="1"/>
  <c r="N25" i="1"/>
  <c r="O25" i="1" s="1"/>
  <c r="M25" i="1"/>
  <c r="Q24" i="1"/>
  <c r="R24" i="1" s="1"/>
  <c r="P24" i="1"/>
  <c r="N24" i="1"/>
  <c r="O24" i="1" s="1"/>
  <c r="M24" i="1"/>
  <c r="P23" i="1"/>
  <c r="Q23" i="1" s="1"/>
  <c r="R23" i="1" s="1"/>
  <c r="N23" i="1"/>
  <c r="O23" i="1" s="1"/>
  <c r="M23" i="1"/>
  <c r="Q22" i="1"/>
  <c r="R22" i="1" s="1"/>
  <c r="P22" i="1"/>
  <c r="N22" i="1"/>
  <c r="O22" i="1" s="1"/>
  <c r="M22" i="1"/>
  <c r="P21" i="1"/>
  <c r="Q21" i="1" s="1"/>
  <c r="R21" i="1" s="1"/>
  <c r="N21" i="1"/>
  <c r="O21" i="1" s="1"/>
  <c r="M21" i="1"/>
  <c r="Q20" i="1"/>
  <c r="R20" i="1" s="1"/>
  <c r="P20" i="1"/>
  <c r="O20" i="1"/>
  <c r="N20" i="1"/>
  <c r="M20" i="1"/>
  <c r="P19" i="1"/>
  <c r="Q19" i="1" s="1"/>
  <c r="R19" i="1" s="1"/>
  <c r="N19" i="1"/>
  <c r="O19" i="1" s="1"/>
  <c r="M19" i="1"/>
  <c r="Q18" i="1"/>
  <c r="R18" i="1" s="1"/>
  <c r="P18" i="1"/>
  <c r="N18" i="1"/>
  <c r="O18" i="1" s="1"/>
  <c r="M18" i="1"/>
  <c r="P17" i="1"/>
  <c r="Q17" i="1" s="1"/>
  <c r="R17" i="1" s="1"/>
  <c r="N17" i="1"/>
  <c r="O17" i="1" s="1"/>
  <c r="M17" i="1"/>
  <c r="Q16" i="1"/>
  <c r="R16" i="1" s="1"/>
  <c r="P16" i="1"/>
  <c r="N16" i="1"/>
  <c r="O16" i="1" s="1"/>
  <c r="M16" i="1"/>
  <c r="P15" i="1"/>
  <c r="Q15" i="1" s="1"/>
  <c r="R15" i="1" s="1"/>
  <c r="N15" i="1"/>
  <c r="O15" i="1" s="1"/>
  <c r="M15" i="1"/>
  <c r="Q14" i="1"/>
  <c r="R14" i="1" s="1"/>
  <c r="P14" i="1"/>
  <c r="O14" i="1"/>
  <c r="N14" i="1"/>
  <c r="M14" i="1"/>
  <c r="P13" i="1"/>
  <c r="Q13" i="1" s="1"/>
  <c r="R13" i="1" s="1"/>
  <c r="N13" i="1"/>
  <c r="O13" i="1" s="1"/>
  <c r="M13" i="1"/>
  <c r="Q12" i="1"/>
  <c r="R12" i="1" s="1"/>
  <c r="P12" i="1"/>
  <c r="N12" i="1"/>
  <c r="O12" i="1" s="1"/>
  <c r="M12" i="1"/>
  <c r="P11" i="1"/>
  <c r="Q11" i="1" s="1"/>
  <c r="R11" i="1" s="1"/>
  <c r="N11" i="1"/>
  <c r="O11" i="1" s="1"/>
  <c r="M11" i="1"/>
  <c r="Q10" i="1"/>
  <c r="R10" i="1" s="1"/>
  <c r="P10" i="1"/>
  <c r="N10" i="1"/>
  <c r="O10" i="1" s="1"/>
  <c r="M10" i="1"/>
  <c r="P9" i="1"/>
  <c r="Q9" i="1" s="1"/>
  <c r="R9" i="1" s="1"/>
  <c r="N9" i="1"/>
  <c r="O9" i="1" s="1"/>
  <c r="M9" i="1"/>
  <c r="Q8" i="1"/>
  <c r="R8" i="1" s="1"/>
  <c r="P8" i="1"/>
  <c r="O8" i="1"/>
  <c r="N8" i="1"/>
  <c r="M8" i="1"/>
  <c r="P7" i="1"/>
  <c r="Q7" i="1" s="1"/>
  <c r="R7" i="1" s="1"/>
  <c r="N7" i="1"/>
  <c r="O7" i="1" s="1"/>
  <c r="M7" i="1"/>
  <c r="Q6" i="1"/>
  <c r="R6" i="1" s="1"/>
  <c r="P6" i="1"/>
  <c r="N6" i="1"/>
  <c r="O6" i="1" s="1"/>
  <c r="M6" i="1"/>
  <c r="P5" i="1"/>
  <c r="Q5" i="1" s="1"/>
  <c r="R5" i="1" s="1"/>
  <c r="N5" i="1"/>
  <c r="O5" i="1" s="1"/>
  <c r="M5" i="1"/>
  <c r="Q4" i="1"/>
  <c r="R4" i="1" s="1"/>
  <c r="P4" i="1"/>
  <c r="N4" i="1"/>
  <c r="O4" i="1" s="1"/>
  <c r="M4" i="1"/>
  <c r="P3" i="1"/>
  <c r="Q3" i="1" s="1"/>
  <c r="R3" i="1" s="1"/>
  <c r="N3" i="1"/>
  <c r="O3" i="1" s="1"/>
  <c r="M3" i="1"/>
  <c r="Q2" i="1"/>
  <c r="P2" i="1"/>
  <c r="N2" i="1"/>
  <c r="M2" i="1"/>
  <c r="E24" i="1" l="1"/>
  <c r="F24" i="1" s="1"/>
  <c r="E25" i="1"/>
  <c r="F25" i="1" s="1"/>
  <c r="E26" i="1"/>
  <c r="E27" i="1"/>
  <c r="F27" i="1" s="1"/>
  <c r="E28" i="1"/>
  <c r="F28" i="1"/>
  <c r="E29" i="1"/>
  <c r="E30" i="1"/>
  <c r="F30" i="1" s="1"/>
  <c r="E31" i="1"/>
  <c r="F31" i="1"/>
  <c r="H446" i="1"/>
  <c r="H445" i="1"/>
  <c r="H444" i="1"/>
  <c r="H443" i="1"/>
  <c r="H442" i="1"/>
  <c r="H441" i="1"/>
  <c r="H440" i="1"/>
  <c r="H439" i="1"/>
  <c r="H438" i="1"/>
  <c r="H437" i="1"/>
  <c r="H436" i="1"/>
  <c r="H435" i="1"/>
  <c r="H434" i="1"/>
  <c r="H433" i="1"/>
  <c r="H432" i="1"/>
  <c r="H431" i="1"/>
  <c r="H430" i="1"/>
  <c r="H429" i="1"/>
  <c r="H428" i="1"/>
  <c r="H427" i="1"/>
  <c r="H426" i="1"/>
  <c r="H425" i="1"/>
  <c r="H424" i="1"/>
  <c r="H423" i="1"/>
  <c r="H422" i="1"/>
  <c r="H421" i="1"/>
  <c r="H420" i="1"/>
  <c r="H419" i="1"/>
  <c r="H418" i="1"/>
  <c r="H417" i="1"/>
  <c r="H416" i="1"/>
  <c r="H415" i="1"/>
  <c r="H414" i="1"/>
  <c r="H413" i="1"/>
  <c r="H412" i="1"/>
  <c r="H411" i="1"/>
  <c r="H410" i="1"/>
  <c r="H409" i="1"/>
  <c r="H408" i="1"/>
  <c r="H407" i="1"/>
  <c r="H406" i="1"/>
  <c r="H405" i="1"/>
  <c r="H404" i="1"/>
  <c r="H403" i="1"/>
  <c r="H402" i="1"/>
  <c r="H401" i="1"/>
  <c r="H400" i="1"/>
  <c r="H399" i="1"/>
  <c r="H398" i="1"/>
  <c r="H397" i="1"/>
  <c r="H396" i="1"/>
  <c r="H395" i="1"/>
  <c r="H394" i="1"/>
  <c r="H393" i="1"/>
  <c r="H392" i="1"/>
  <c r="H391" i="1"/>
  <c r="H390" i="1"/>
  <c r="H389" i="1"/>
  <c r="H388" i="1"/>
  <c r="H387" i="1"/>
  <c r="H386" i="1"/>
  <c r="H385" i="1"/>
  <c r="H384" i="1"/>
  <c r="H383" i="1"/>
  <c r="H382" i="1"/>
  <c r="H381" i="1"/>
  <c r="H380" i="1"/>
  <c r="H379" i="1"/>
  <c r="H378" i="1"/>
  <c r="H377" i="1"/>
  <c r="H376" i="1"/>
  <c r="H375" i="1"/>
  <c r="H374" i="1"/>
  <c r="H373" i="1"/>
  <c r="H372" i="1"/>
  <c r="H371" i="1"/>
  <c r="H370" i="1"/>
  <c r="H369" i="1"/>
  <c r="H368" i="1"/>
  <c r="H367" i="1"/>
  <c r="H366" i="1"/>
  <c r="H365" i="1"/>
  <c r="H364" i="1"/>
  <c r="H363" i="1"/>
  <c r="H362" i="1"/>
  <c r="H361" i="1"/>
  <c r="H360" i="1"/>
  <c r="H359" i="1"/>
  <c r="H358" i="1"/>
  <c r="H357" i="1"/>
  <c r="H356" i="1"/>
  <c r="H355" i="1"/>
  <c r="H354" i="1"/>
  <c r="H353" i="1"/>
  <c r="H352" i="1"/>
  <c r="H351" i="1"/>
  <c r="H350" i="1"/>
  <c r="H349" i="1"/>
  <c r="H348" i="1"/>
  <c r="H347" i="1"/>
  <c r="H346" i="1"/>
  <c r="H345" i="1"/>
  <c r="H344" i="1"/>
  <c r="H343" i="1"/>
  <c r="H342" i="1"/>
  <c r="H341" i="1"/>
  <c r="H340" i="1"/>
  <c r="H339" i="1"/>
  <c r="H338" i="1"/>
  <c r="H337" i="1"/>
  <c r="H336" i="1"/>
  <c r="H335" i="1"/>
  <c r="H334" i="1"/>
  <c r="H333" i="1"/>
  <c r="H332" i="1"/>
  <c r="H331" i="1"/>
  <c r="H330" i="1"/>
  <c r="H329" i="1"/>
  <c r="H328" i="1"/>
  <c r="H327" i="1"/>
  <c r="H326" i="1"/>
  <c r="H325" i="1"/>
  <c r="H324" i="1"/>
  <c r="H323" i="1"/>
  <c r="H322" i="1"/>
  <c r="H321" i="1"/>
  <c r="H320" i="1"/>
  <c r="H319" i="1"/>
  <c r="H318" i="1"/>
  <c r="H317" i="1"/>
  <c r="H316" i="1"/>
  <c r="H315" i="1"/>
  <c r="H314" i="1"/>
  <c r="I314" i="1" s="1"/>
  <c r="H313" i="1"/>
  <c r="H312" i="1"/>
  <c r="H311" i="1"/>
  <c r="H310" i="1"/>
  <c r="H309" i="1"/>
  <c r="H308" i="1"/>
  <c r="H307" i="1"/>
  <c r="H306" i="1"/>
  <c r="H305" i="1"/>
  <c r="H304" i="1"/>
  <c r="H303" i="1"/>
  <c r="H302" i="1"/>
  <c r="H301" i="1"/>
  <c r="H300" i="1"/>
  <c r="H299" i="1"/>
  <c r="H298" i="1"/>
  <c r="H297" i="1"/>
  <c r="H296" i="1"/>
  <c r="H295" i="1"/>
  <c r="H294" i="1"/>
  <c r="H293" i="1"/>
  <c r="H292" i="1"/>
  <c r="H291" i="1"/>
  <c r="H290" i="1"/>
  <c r="H289" i="1"/>
  <c r="H288" i="1"/>
  <c r="H287" i="1"/>
  <c r="H286" i="1"/>
  <c r="H285" i="1"/>
  <c r="H284" i="1"/>
  <c r="H283" i="1"/>
  <c r="H282" i="1"/>
  <c r="H281" i="1"/>
  <c r="H280" i="1"/>
  <c r="H279" i="1"/>
  <c r="I279" i="1" s="1"/>
  <c r="H278" i="1"/>
  <c r="H277" i="1"/>
  <c r="H276" i="1"/>
  <c r="H275" i="1"/>
  <c r="H274" i="1"/>
  <c r="H273" i="1"/>
  <c r="H272" i="1"/>
  <c r="H271" i="1"/>
  <c r="H270" i="1"/>
  <c r="H269" i="1"/>
  <c r="H268" i="1"/>
  <c r="H267" i="1"/>
  <c r="H266" i="1"/>
  <c r="H265" i="1"/>
  <c r="H264" i="1"/>
  <c r="H263" i="1"/>
  <c r="H262" i="1"/>
  <c r="H261" i="1"/>
  <c r="H260" i="1"/>
  <c r="H259" i="1"/>
  <c r="H258" i="1"/>
  <c r="H257" i="1"/>
  <c r="H256" i="1"/>
  <c r="H255" i="1"/>
  <c r="H254" i="1"/>
  <c r="H253" i="1"/>
  <c r="H252" i="1"/>
  <c r="H251" i="1"/>
  <c r="H250" i="1"/>
  <c r="H249" i="1"/>
  <c r="H248" i="1"/>
  <c r="H247" i="1"/>
  <c r="H246" i="1"/>
  <c r="H245" i="1"/>
  <c r="H244" i="1"/>
  <c r="H243" i="1"/>
  <c r="H242" i="1"/>
  <c r="H241" i="1"/>
  <c r="H240" i="1"/>
  <c r="H239" i="1"/>
  <c r="H238" i="1"/>
  <c r="H237" i="1"/>
  <c r="H236" i="1"/>
  <c r="H235" i="1"/>
  <c r="H234" i="1"/>
  <c r="H233" i="1"/>
  <c r="H232" i="1"/>
  <c r="H231" i="1"/>
  <c r="H230" i="1"/>
  <c r="H229" i="1"/>
  <c r="H228" i="1"/>
  <c r="H227" i="1"/>
  <c r="H226" i="1"/>
  <c r="H225" i="1"/>
  <c r="H224" i="1"/>
  <c r="H223" i="1"/>
  <c r="H222" i="1"/>
  <c r="I222" i="1" s="1"/>
  <c r="H221" i="1"/>
  <c r="H220" i="1"/>
  <c r="H219" i="1"/>
  <c r="H218" i="1"/>
  <c r="H217" i="1"/>
  <c r="H216" i="1"/>
  <c r="H215" i="1"/>
  <c r="H214" i="1"/>
  <c r="H213" i="1"/>
  <c r="H212" i="1"/>
  <c r="H211" i="1"/>
  <c r="H210" i="1"/>
  <c r="H209" i="1"/>
  <c r="H208" i="1"/>
  <c r="H207" i="1"/>
  <c r="H206" i="1"/>
  <c r="H205" i="1"/>
  <c r="H204" i="1"/>
  <c r="H203" i="1"/>
  <c r="H202" i="1"/>
  <c r="H201" i="1"/>
  <c r="H200" i="1"/>
  <c r="H199" i="1"/>
  <c r="H198" i="1"/>
  <c r="H197" i="1"/>
  <c r="H196" i="1"/>
  <c r="H195" i="1"/>
  <c r="H194" i="1"/>
  <c r="H193" i="1"/>
  <c r="H192" i="1"/>
  <c r="H191" i="1"/>
  <c r="H190" i="1"/>
  <c r="H189" i="1"/>
  <c r="H188" i="1"/>
  <c r="H187" i="1"/>
  <c r="H186" i="1"/>
  <c r="H185" i="1"/>
  <c r="H184" i="1"/>
  <c r="H183" i="1"/>
  <c r="H182" i="1"/>
  <c r="H181" i="1"/>
  <c r="H180" i="1"/>
  <c r="H179" i="1"/>
  <c r="H178" i="1"/>
  <c r="H177" i="1"/>
  <c r="H176" i="1"/>
  <c r="H175" i="1"/>
  <c r="H174" i="1"/>
  <c r="H173" i="1"/>
  <c r="H172" i="1"/>
  <c r="H171" i="1"/>
  <c r="H170" i="1"/>
  <c r="H169" i="1"/>
  <c r="H168" i="1"/>
  <c r="H167" i="1"/>
  <c r="H166" i="1"/>
  <c r="H165" i="1"/>
  <c r="H164" i="1"/>
  <c r="H163" i="1"/>
  <c r="H162" i="1"/>
  <c r="H161" i="1"/>
  <c r="H160" i="1"/>
  <c r="H159" i="1"/>
  <c r="H158" i="1"/>
  <c r="H157" i="1"/>
  <c r="H156" i="1"/>
  <c r="H155" i="1"/>
  <c r="H154" i="1"/>
  <c r="H153" i="1"/>
  <c r="H152" i="1"/>
  <c r="H151" i="1"/>
  <c r="H150" i="1"/>
  <c r="H149" i="1"/>
  <c r="H148" i="1"/>
  <c r="H147" i="1"/>
  <c r="H146" i="1"/>
  <c r="H145" i="1"/>
  <c r="H144" i="1"/>
  <c r="H143" i="1"/>
  <c r="H142" i="1"/>
  <c r="H141" i="1"/>
  <c r="H140" i="1"/>
  <c r="H139" i="1"/>
  <c r="H138" i="1"/>
  <c r="H137" i="1"/>
  <c r="H136" i="1"/>
  <c r="H135" i="1"/>
  <c r="H134" i="1"/>
  <c r="H133" i="1"/>
  <c r="H132" i="1"/>
  <c r="H131" i="1"/>
  <c r="H130" i="1"/>
  <c r="H129" i="1"/>
  <c r="H128" i="1"/>
  <c r="H127" i="1"/>
  <c r="H126" i="1"/>
  <c r="H125" i="1"/>
  <c r="H124" i="1"/>
  <c r="H123" i="1"/>
  <c r="H122" i="1"/>
  <c r="H121" i="1"/>
  <c r="H120" i="1"/>
  <c r="H119" i="1"/>
  <c r="H118" i="1"/>
  <c r="H117" i="1"/>
  <c r="H116" i="1"/>
  <c r="H115" i="1"/>
  <c r="H114" i="1"/>
  <c r="H113" i="1"/>
  <c r="H112" i="1"/>
  <c r="H111" i="1"/>
  <c r="H110" i="1"/>
  <c r="H109" i="1"/>
  <c r="H108" i="1"/>
  <c r="H107" i="1"/>
  <c r="H106" i="1"/>
  <c r="H105" i="1"/>
  <c r="H104" i="1"/>
  <c r="H103" i="1"/>
  <c r="H102" i="1"/>
  <c r="H101" i="1"/>
  <c r="H100" i="1"/>
  <c r="H99" i="1"/>
  <c r="H98" i="1"/>
  <c r="H97" i="1"/>
  <c r="H96" i="1"/>
  <c r="H95" i="1"/>
  <c r="H94" i="1"/>
  <c r="H93" i="1"/>
  <c r="H92" i="1"/>
  <c r="H91" i="1"/>
  <c r="H90" i="1"/>
  <c r="H89" i="1"/>
  <c r="H88" i="1"/>
  <c r="H87" i="1"/>
  <c r="H86" i="1"/>
  <c r="H85" i="1"/>
  <c r="H84" i="1"/>
  <c r="H83" i="1"/>
  <c r="H82" i="1"/>
  <c r="H81" i="1"/>
  <c r="H80" i="1"/>
  <c r="H79" i="1"/>
  <c r="H78" i="1"/>
  <c r="H77" i="1"/>
  <c r="H76" i="1"/>
  <c r="H75" i="1"/>
  <c r="H74" i="1"/>
  <c r="H73" i="1"/>
  <c r="H72" i="1"/>
  <c r="H71" i="1"/>
  <c r="H70" i="1"/>
  <c r="H69" i="1"/>
  <c r="H68" i="1"/>
  <c r="H67" i="1"/>
  <c r="H66" i="1"/>
  <c r="H65" i="1"/>
  <c r="H64" i="1"/>
  <c r="I63" i="1"/>
  <c r="H63" i="1"/>
  <c r="H62" i="1"/>
  <c r="H61" i="1"/>
  <c r="H60" i="1"/>
  <c r="H59" i="1"/>
  <c r="H58" i="1"/>
  <c r="H57" i="1"/>
  <c r="H56" i="1"/>
  <c r="H55" i="1"/>
  <c r="H54" i="1"/>
  <c r="H53" i="1"/>
  <c r="H52" i="1"/>
  <c r="H51" i="1"/>
  <c r="H50" i="1"/>
  <c r="H49" i="1"/>
  <c r="H48" i="1"/>
  <c r="H47" i="1"/>
  <c r="H46" i="1"/>
  <c r="H45" i="1"/>
  <c r="H44" i="1"/>
  <c r="H43" i="1"/>
  <c r="H42" i="1"/>
  <c r="H41" i="1"/>
  <c r="H40" i="1"/>
  <c r="H39" i="1"/>
  <c r="H38" i="1"/>
  <c r="H37" i="1"/>
  <c r="H36" i="1"/>
  <c r="H35" i="1"/>
  <c r="H34" i="1"/>
  <c r="H33" i="1"/>
  <c r="H32" i="1"/>
  <c r="H31" i="1"/>
  <c r="H30" i="1"/>
  <c r="H29" i="1"/>
  <c r="H28" i="1"/>
  <c r="H27" i="1"/>
  <c r="H26" i="1"/>
  <c r="H25" i="1"/>
  <c r="H24" i="1"/>
  <c r="H23" i="1"/>
  <c r="H22" i="1"/>
  <c r="H21" i="1"/>
  <c r="H20" i="1"/>
  <c r="H19" i="1"/>
  <c r="H18" i="1"/>
  <c r="H17" i="1"/>
  <c r="H16" i="1"/>
  <c r="H15" i="1"/>
  <c r="H14" i="1"/>
  <c r="H13" i="1"/>
  <c r="H12" i="1"/>
  <c r="H11" i="1"/>
  <c r="H10" i="1"/>
  <c r="H9" i="1"/>
  <c r="H8" i="1"/>
  <c r="H7" i="1"/>
  <c r="H6" i="1"/>
  <c r="H5" i="1"/>
  <c r="H4" i="1"/>
  <c r="H3" i="1"/>
  <c r="H2" i="1"/>
  <c r="G446" i="1"/>
  <c r="G445" i="1"/>
  <c r="G444" i="1"/>
  <c r="G443" i="1"/>
  <c r="G442" i="1"/>
  <c r="I442" i="1" s="1"/>
  <c r="G441" i="1"/>
  <c r="G440" i="1"/>
  <c r="G439" i="1"/>
  <c r="G438" i="1"/>
  <c r="G437" i="1"/>
  <c r="G436" i="1"/>
  <c r="I436" i="1" s="1"/>
  <c r="G435" i="1"/>
  <c r="G434" i="1"/>
  <c r="G433" i="1"/>
  <c r="G432" i="1"/>
  <c r="G431" i="1"/>
  <c r="G430" i="1"/>
  <c r="I430" i="1" s="1"/>
  <c r="G429" i="1"/>
  <c r="G428" i="1"/>
  <c r="G427" i="1"/>
  <c r="G426" i="1"/>
  <c r="G425" i="1"/>
  <c r="G424" i="1"/>
  <c r="I424" i="1" s="1"/>
  <c r="G423" i="1"/>
  <c r="G422" i="1"/>
  <c r="G421" i="1"/>
  <c r="G420" i="1"/>
  <c r="G419" i="1"/>
  <c r="G418" i="1"/>
  <c r="I418" i="1" s="1"/>
  <c r="G417" i="1"/>
  <c r="G416" i="1"/>
  <c r="G415" i="1"/>
  <c r="G414" i="1"/>
  <c r="G413" i="1"/>
  <c r="G412" i="1"/>
  <c r="I412" i="1" s="1"/>
  <c r="G411" i="1"/>
  <c r="G410" i="1"/>
  <c r="G409" i="1"/>
  <c r="G408" i="1"/>
  <c r="G407" i="1"/>
  <c r="G406" i="1"/>
  <c r="I406" i="1" s="1"/>
  <c r="G405" i="1"/>
  <c r="G404" i="1"/>
  <c r="G403" i="1"/>
  <c r="G402" i="1"/>
  <c r="G401" i="1"/>
  <c r="G400" i="1"/>
  <c r="I400" i="1" s="1"/>
  <c r="G399" i="1"/>
  <c r="G398" i="1"/>
  <c r="G397" i="1"/>
  <c r="G396" i="1"/>
  <c r="G395" i="1"/>
  <c r="G394" i="1"/>
  <c r="I394" i="1" s="1"/>
  <c r="G393" i="1"/>
  <c r="G392" i="1"/>
  <c r="G391" i="1"/>
  <c r="G390" i="1"/>
  <c r="G389" i="1"/>
  <c r="G388" i="1"/>
  <c r="I388" i="1" s="1"/>
  <c r="G387" i="1"/>
  <c r="G386" i="1"/>
  <c r="G385" i="1"/>
  <c r="G384" i="1"/>
  <c r="G383" i="1"/>
  <c r="G382" i="1"/>
  <c r="I382" i="1" s="1"/>
  <c r="G381" i="1"/>
  <c r="G380" i="1"/>
  <c r="G379" i="1"/>
  <c r="G378" i="1"/>
  <c r="G377" i="1"/>
  <c r="G376" i="1"/>
  <c r="I376" i="1" s="1"/>
  <c r="G375" i="1"/>
  <c r="G374" i="1"/>
  <c r="G373" i="1"/>
  <c r="G372" i="1"/>
  <c r="G371" i="1"/>
  <c r="G370" i="1"/>
  <c r="I370" i="1" s="1"/>
  <c r="G369" i="1"/>
  <c r="G368" i="1"/>
  <c r="G367" i="1"/>
  <c r="G366" i="1"/>
  <c r="G365" i="1"/>
  <c r="G364" i="1"/>
  <c r="I364" i="1" s="1"/>
  <c r="G363" i="1"/>
  <c r="G362" i="1"/>
  <c r="G361" i="1"/>
  <c r="G360" i="1"/>
  <c r="G359" i="1"/>
  <c r="G358" i="1"/>
  <c r="I358" i="1" s="1"/>
  <c r="G357" i="1"/>
  <c r="G356" i="1"/>
  <c r="G355" i="1"/>
  <c r="G354" i="1"/>
  <c r="G353" i="1"/>
  <c r="G352" i="1"/>
  <c r="I352" i="1" s="1"/>
  <c r="G351" i="1"/>
  <c r="G350" i="1"/>
  <c r="G349" i="1"/>
  <c r="G348" i="1"/>
  <c r="G347" i="1"/>
  <c r="G346" i="1"/>
  <c r="I346" i="1" s="1"/>
  <c r="G345" i="1"/>
  <c r="G344" i="1"/>
  <c r="G343" i="1"/>
  <c r="G342" i="1"/>
  <c r="G341" i="1"/>
  <c r="G340" i="1"/>
  <c r="I340" i="1" s="1"/>
  <c r="G339" i="1"/>
  <c r="G338" i="1"/>
  <c r="G337" i="1"/>
  <c r="G336" i="1"/>
  <c r="G335" i="1"/>
  <c r="G334" i="1"/>
  <c r="I334" i="1" s="1"/>
  <c r="G333" i="1"/>
  <c r="G332" i="1"/>
  <c r="G331" i="1"/>
  <c r="G330" i="1"/>
  <c r="G329" i="1"/>
  <c r="G328" i="1"/>
  <c r="I328" i="1" s="1"/>
  <c r="G327" i="1"/>
  <c r="G326" i="1"/>
  <c r="G325" i="1"/>
  <c r="G324" i="1"/>
  <c r="G323" i="1"/>
  <c r="G322" i="1"/>
  <c r="I322" i="1" s="1"/>
  <c r="G321" i="1"/>
  <c r="G320" i="1"/>
  <c r="G319" i="1"/>
  <c r="G318" i="1"/>
  <c r="G317" i="1"/>
  <c r="G316" i="1"/>
  <c r="I316" i="1" s="1"/>
  <c r="G315" i="1"/>
  <c r="G314" i="1"/>
  <c r="G313" i="1"/>
  <c r="G312" i="1"/>
  <c r="G311" i="1"/>
  <c r="G310" i="1"/>
  <c r="I310" i="1" s="1"/>
  <c r="G309" i="1"/>
  <c r="G308" i="1"/>
  <c r="G307" i="1"/>
  <c r="G306" i="1"/>
  <c r="G305" i="1"/>
  <c r="G304" i="1"/>
  <c r="I304" i="1" s="1"/>
  <c r="G303" i="1"/>
  <c r="G302" i="1"/>
  <c r="G301" i="1"/>
  <c r="G300" i="1"/>
  <c r="G299" i="1"/>
  <c r="G298" i="1"/>
  <c r="I298" i="1" s="1"/>
  <c r="G297" i="1"/>
  <c r="G296" i="1"/>
  <c r="G295" i="1"/>
  <c r="G294" i="1"/>
  <c r="G293" i="1"/>
  <c r="G292" i="1"/>
  <c r="I292" i="1" s="1"/>
  <c r="G291" i="1"/>
  <c r="G290" i="1"/>
  <c r="G289" i="1"/>
  <c r="G288" i="1"/>
  <c r="G287" i="1"/>
  <c r="G286" i="1"/>
  <c r="I286" i="1" s="1"/>
  <c r="G285" i="1"/>
  <c r="G284" i="1"/>
  <c r="G283" i="1"/>
  <c r="G282" i="1"/>
  <c r="G281" i="1"/>
  <c r="G280" i="1"/>
  <c r="I280" i="1" s="1"/>
  <c r="G279" i="1"/>
  <c r="G278" i="1"/>
  <c r="G277" i="1"/>
  <c r="G276" i="1"/>
  <c r="G275" i="1"/>
  <c r="G274" i="1"/>
  <c r="I274" i="1" s="1"/>
  <c r="G273" i="1"/>
  <c r="G272" i="1"/>
  <c r="G271" i="1"/>
  <c r="G270" i="1"/>
  <c r="G269" i="1"/>
  <c r="G268" i="1"/>
  <c r="I268" i="1" s="1"/>
  <c r="G267" i="1"/>
  <c r="G266" i="1"/>
  <c r="G265" i="1"/>
  <c r="G264" i="1"/>
  <c r="G263" i="1"/>
  <c r="G262" i="1"/>
  <c r="I262" i="1" s="1"/>
  <c r="G261" i="1"/>
  <c r="G260" i="1"/>
  <c r="G259" i="1"/>
  <c r="G258" i="1"/>
  <c r="G257" i="1"/>
  <c r="G256" i="1"/>
  <c r="I256" i="1" s="1"/>
  <c r="G255" i="1"/>
  <c r="G254" i="1"/>
  <c r="G253" i="1"/>
  <c r="G252" i="1"/>
  <c r="G251" i="1"/>
  <c r="G250" i="1"/>
  <c r="I250" i="1" s="1"/>
  <c r="G249" i="1"/>
  <c r="G248" i="1"/>
  <c r="G247" i="1"/>
  <c r="G246" i="1"/>
  <c r="G245" i="1"/>
  <c r="G244" i="1"/>
  <c r="I244" i="1" s="1"/>
  <c r="G243" i="1"/>
  <c r="G242" i="1"/>
  <c r="G241" i="1"/>
  <c r="G240" i="1"/>
  <c r="G239" i="1"/>
  <c r="G238" i="1"/>
  <c r="I238" i="1" s="1"/>
  <c r="G237" i="1"/>
  <c r="G236" i="1"/>
  <c r="G235" i="1"/>
  <c r="G234" i="1"/>
  <c r="G233" i="1"/>
  <c r="G232" i="1"/>
  <c r="I232" i="1" s="1"/>
  <c r="G231" i="1"/>
  <c r="G230" i="1"/>
  <c r="G229" i="1"/>
  <c r="G228" i="1"/>
  <c r="G227" i="1"/>
  <c r="G226" i="1"/>
  <c r="I226" i="1" s="1"/>
  <c r="G225" i="1"/>
  <c r="G224" i="1"/>
  <c r="G223" i="1"/>
  <c r="G222" i="1"/>
  <c r="G221" i="1"/>
  <c r="G220" i="1"/>
  <c r="I220" i="1" s="1"/>
  <c r="G219" i="1"/>
  <c r="G218" i="1"/>
  <c r="G217" i="1"/>
  <c r="G216" i="1"/>
  <c r="G215" i="1"/>
  <c r="G214" i="1"/>
  <c r="I214" i="1" s="1"/>
  <c r="G213" i="1"/>
  <c r="G212" i="1"/>
  <c r="G211" i="1"/>
  <c r="G210" i="1"/>
  <c r="G209" i="1"/>
  <c r="G208" i="1"/>
  <c r="I208" i="1" s="1"/>
  <c r="G207" i="1"/>
  <c r="G206" i="1"/>
  <c r="G205" i="1"/>
  <c r="G204" i="1"/>
  <c r="G203" i="1"/>
  <c r="G202" i="1"/>
  <c r="I202" i="1" s="1"/>
  <c r="G201" i="1"/>
  <c r="G200" i="1"/>
  <c r="G199" i="1"/>
  <c r="G198" i="1"/>
  <c r="G197" i="1"/>
  <c r="G196" i="1"/>
  <c r="I196" i="1" s="1"/>
  <c r="G195" i="1"/>
  <c r="G194" i="1"/>
  <c r="G193" i="1"/>
  <c r="G192" i="1"/>
  <c r="G191" i="1"/>
  <c r="G190" i="1"/>
  <c r="I190" i="1" s="1"/>
  <c r="G189" i="1"/>
  <c r="G188" i="1"/>
  <c r="G187" i="1"/>
  <c r="G186" i="1"/>
  <c r="G185" i="1"/>
  <c r="G184" i="1"/>
  <c r="G183" i="1"/>
  <c r="G182" i="1"/>
  <c r="G181" i="1"/>
  <c r="G180" i="1"/>
  <c r="G179" i="1"/>
  <c r="G178" i="1"/>
  <c r="G177" i="1"/>
  <c r="I177" i="1" s="1"/>
  <c r="G176" i="1"/>
  <c r="G175" i="1"/>
  <c r="G174" i="1"/>
  <c r="G173" i="1"/>
  <c r="G172" i="1"/>
  <c r="G171" i="1"/>
  <c r="I171" i="1" s="1"/>
  <c r="G170" i="1"/>
  <c r="G169" i="1"/>
  <c r="G168" i="1"/>
  <c r="G167" i="1"/>
  <c r="G166" i="1"/>
  <c r="G165" i="1"/>
  <c r="G164" i="1"/>
  <c r="G163" i="1"/>
  <c r="G162" i="1"/>
  <c r="G161" i="1"/>
  <c r="G160" i="1"/>
  <c r="G159" i="1"/>
  <c r="G158" i="1"/>
  <c r="G157" i="1"/>
  <c r="G156" i="1"/>
  <c r="G155" i="1"/>
  <c r="G154" i="1"/>
  <c r="G153" i="1"/>
  <c r="I153" i="1" s="1"/>
  <c r="G152" i="1"/>
  <c r="G151" i="1"/>
  <c r="G150" i="1"/>
  <c r="G149" i="1"/>
  <c r="G148" i="1"/>
  <c r="G147" i="1"/>
  <c r="I147" i="1" s="1"/>
  <c r="G146" i="1"/>
  <c r="G145" i="1"/>
  <c r="G144" i="1"/>
  <c r="G143" i="1"/>
  <c r="G142" i="1"/>
  <c r="G141" i="1"/>
  <c r="G140" i="1"/>
  <c r="G139" i="1"/>
  <c r="G138" i="1"/>
  <c r="G137" i="1"/>
  <c r="G136" i="1"/>
  <c r="G135" i="1"/>
  <c r="G134" i="1"/>
  <c r="G133" i="1"/>
  <c r="G132" i="1"/>
  <c r="G131" i="1"/>
  <c r="G130" i="1"/>
  <c r="G129" i="1"/>
  <c r="G128" i="1"/>
  <c r="G127" i="1"/>
  <c r="G126" i="1"/>
  <c r="G125" i="1"/>
  <c r="G124" i="1"/>
  <c r="G123" i="1"/>
  <c r="G122" i="1"/>
  <c r="G121" i="1"/>
  <c r="G120" i="1"/>
  <c r="G119" i="1"/>
  <c r="G118" i="1"/>
  <c r="G117" i="1"/>
  <c r="G116" i="1"/>
  <c r="G115" i="1"/>
  <c r="G114" i="1"/>
  <c r="G113" i="1"/>
  <c r="G112" i="1"/>
  <c r="G111" i="1"/>
  <c r="G110" i="1"/>
  <c r="G109" i="1"/>
  <c r="G108" i="1"/>
  <c r="G107" i="1"/>
  <c r="G106" i="1"/>
  <c r="G105" i="1"/>
  <c r="I105" i="1" s="1"/>
  <c r="G104" i="1"/>
  <c r="G103" i="1"/>
  <c r="G102" i="1"/>
  <c r="G101" i="1"/>
  <c r="G100" i="1"/>
  <c r="G99" i="1"/>
  <c r="I99" i="1" s="1"/>
  <c r="G98" i="1"/>
  <c r="G97" i="1"/>
  <c r="G96" i="1"/>
  <c r="G95" i="1"/>
  <c r="G94" i="1"/>
  <c r="G93" i="1"/>
  <c r="G92" i="1"/>
  <c r="G91" i="1"/>
  <c r="G90" i="1"/>
  <c r="G89" i="1"/>
  <c r="G88" i="1"/>
  <c r="G87" i="1"/>
  <c r="G86" i="1"/>
  <c r="G85" i="1"/>
  <c r="G84" i="1"/>
  <c r="G83" i="1"/>
  <c r="G82" i="1"/>
  <c r="G81" i="1"/>
  <c r="I81" i="1" s="1"/>
  <c r="G80" i="1"/>
  <c r="G79" i="1"/>
  <c r="G78" i="1"/>
  <c r="G77" i="1"/>
  <c r="G76" i="1"/>
  <c r="G75" i="1"/>
  <c r="I75" i="1" s="1"/>
  <c r="G74" i="1"/>
  <c r="G73" i="1"/>
  <c r="G72" i="1"/>
  <c r="G71" i="1"/>
  <c r="G70" i="1"/>
  <c r="G69" i="1"/>
  <c r="G68" i="1"/>
  <c r="G67" i="1"/>
  <c r="G66" i="1"/>
  <c r="G65" i="1"/>
  <c r="G64" i="1"/>
  <c r="G63" i="1"/>
  <c r="G62" i="1"/>
  <c r="G61" i="1"/>
  <c r="G60" i="1"/>
  <c r="G59" i="1"/>
  <c r="G58" i="1"/>
  <c r="G57" i="1"/>
  <c r="G56" i="1"/>
  <c r="G55" i="1"/>
  <c r="G54" i="1"/>
  <c r="G53" i="1"/>
  <c r="G52" i="1"/>
  <c r="G51" i="1"/>
  <c r="G50" i="1"/>
  <c r="G49" i="1"/>
  <c r="G48" i="1"/>
  <c r="G47" i="1"/>
  <c r="G46" i="1"/>
  <c r="G45" i="1"/>
  <c r="G44" i="1"/>
  <c r="G43" i="1"/>
  <c r="G42" i="1"/>
  <c r="G41" i="1"/>
  <c r="G40" i="1"/>
  <c r="G39" i="1"/>
  <c r="G38" i="1"/>
  <c r="G37" i="1"/>
  <c r="G36" i="1"/>
  <c r="G35" i="1"/>
  <c r="G34" i="1"/>
  <c r="G33" i="1"/>
  <c r="I33" i="1" s="1"/>
  <c r="G32" i="1"/>
  <c r="G31" i="1"/>
  <c r="G30" i="1"/>
  <c r="G29" i="1"/>
  <c r="G28" i="1"/>
  <c r="G27" i="1"/>
  <c r="I27" i="1" s="1"/>
  <c r="G26" i="1"/>
  <c r="G25" i="1"/>
  <c r="G24" i="1"/>
  <c r="G23" i="1"/>
  <c r="G22" i="1"/>
  <c r="G21" i="1"/>
  <c r="G20" i="1"/>
  <c r="G19" i="1"/>
  <c r="G18" i="1"/>
  <c r="G17" i="1"/>
  <c r="G16" i="1"/>
  <c r="G15" i="1"/>
  <c r="G14" i="1"/>
  <c r="G13" i="1"/>
  <c r="G12" i="1"/>
  <c r="G11" i="1"/>
  <c r="G10" i="1"/>
  <c r="G9" i="1"/>
  <c r="I9" i="1" s="1"/>
  <c r="L9" i="1" s="1"/>
  <c r="G8" i="1"/>
  <c r="G7" i="1"/>
  <c r="G6" i="1"/>
  <c r="G5" i="1"/>
  <c r="G4" i="1"/>
  <c r="G3" i="1"/>
  <c r="G2" i="1"/>
  <c r="I2" i="1" s="1"/>
  <c r="L2" i="1" s="1"/>
  <c r="F444" i="1"/>
  <c r="F441" i="1"/>
  <c r="F430" i="1"/>
  <c r="F426" i="1"/>
  <c r="F415" i="1"/>
  <c r="F401" i="1"/>
  <c r="F383" i="1"/>
  <c r="F372" i="1"/>
  <c r="F369" i="1"/>
  <c r="F358" i="1"/>
  <c r="F354" i="1"/>
  <c r="F343" i="1"/>
  <c r="F342" i="1"/>
  <c r="F341" i="1"/>
  <c r="F329" i="1"/>
  <c r="F326" i="1"/>
  <c r="F315" i="1"/>
  <c r="F311" i="1"/>
  <c r="F300" i="1"/>
  <c r="F297" i="1"/>
  <c r="F286" i="1"/>
  <c r="F283" i="1"/>
  <c r="F282" i="1"/>
  <c r="F271" i="1"/>
  <c r="F270" i="1"/>
  <c r="F269" i="1"/>
  <c r="F258" i="1"/>
  <c r="F257" i="1"/>
  <c r="F254" i="1"/>
  <c r="F246" i="1"/>
  <c r="F243" i="1"/>
  <c r="F239" i="1"/>
  <c r="F228" i="1"/>
  <c r="F227" i="1"/>
  <c r="F225" i="1"/>
  <c r="F214" i="1"/>
  <c r="F213" i="1"/>
  <c r="F211" i="1"/>
  <c r="F210" i="1"/>
  <c r="F199" i="1"/>
  <c r="F198" i="1"/>
  <c r="F197" i="1"/>
  <c r="F186" i="1"/>
  <c r="F185" i="1"/>
  <c r="F182" i="1"/>
  <c r="F174" i="1"/>
  <c r="F171" i="1"/>
  <c r="F168" i="1"/>
  <c r="F162" i="1"/>
  <c r="F161" i="1"/>
  <c r="F158" i="1"/>
  <c r="F156" i="1"/>
  <c r="F155" i="1"/>
  <c r="F150" i="1"/>
  <c r="F143" i="1"/>
  <c r="F142" i="1"/>
  <c r="F132" i="1"/>
  <c r="F131" i="1"/>
  <c r="F130" i="1"/>
  <c r="F129" i="1"/>
  <c r="F119" i="1"/>
  <c r="F118" i="1"/>
  <c r="F117" i="1"/>
  <c r="F115" i="1"/>
  <c r="F107" i="1"/>
  <c r="F106" i="1"/>
  <c r="F105" i="1"/>
  <c r="F103" i="1"/>
  <c r="F102" i="1"/>
  <c r="F93" i="1"/>
  <c r="F91" i="1"/>
  <c r="F90" i="1"/>
  <c r="F89" i="1"/>
  <c r="F83" i="1"/>
  <c r="F81" i="1"/>
  <c r="F79" i="1"/>
  <c r="F78" i="1"/>
  <c r="F77" i="1"/>
  <c r="F67" i="1"/>
  <c r="F66" i="1"/>
  <c r="F65" i="1"/>
  <c r="F63" i="1"/>
  <c r="F57" i="1"/>
  <c r="F55" i="1"/>
  <c r="F54" i="1"/>
  <c r="F53" i="1"/>
  <c r="F50" i="1"/>
  <c r="F43" i="1"/>
  <c r="F42" i="1"/>
  <c r="F41" i="1"/>
  <c r="F40" i="1"/>
  <c r="F38" i="1"/>
  <c r="F37" i="1"/>
  <c r="E33" i="1"/>
  <c r="E34" i="1"/>
  <c r="E35" i="1"/>
  <c r="E36" i="1"/>
  <c r="E37" i="1"/>
  <c r="E38" i="1"/>
  <c r="E39" i="1"/>
  <c r="E40" i="1"/>
  <c r="E41" i="1"/>
  <c r="E42" i="1"/>
  <c r="E43" i="1"/>
  <c r="E44" i="1"/>
  <c r="E45" i="1"/>
  <c r="E46" i="1"/>
  <c r="E47" i="1"/>
  <c r="E48" i="1"/>
  <c r="E49" i="1"/>
  <c r="E50" i="1"/>
  <c r="E51" i="1"/>
  <c r="E52" i="1"/>
  <c r="E53" i="1"/>
  <c r="E54" i="1"/>
  <c r="E55" i="1"/>
  <c r="E56" i="1"/>
  <c r="E57" i="1"/>
  <c r="E58" i="1"/>
  <c r="E59" i="1"/>
  <c r="E60" i="1"/>
  <c r="E61" i="1"/>
  <c r="E62" i="1"/>
  <c r="E63" i="1"/>
  <c r="E64" i="1"/>
  <c r="E65" i="1"/>
  <c r="E66" i="1"/>
  <c r="E67" i="1"/>
  <c r="E68" i="1"/>
  <c r="E69" i="1"/>
  <c r="F69" i="1" s="1"/>
  <c r="E70" i="1"/>
  <c r="E71" i="1"/>
  <c r="E72" i="1"/>
  <c r="E73" i="1"/>
  <c r="E74" i="1"/>
  <c r="E75" i="1"/>
  <c r="E76" i="1"/>
  <c r="E77" i="1"/>
  <c r="E78" i="1"/>
  <c r="E79" i="1"/>
  <c r="E80" i="1"/>
  <c r="E81" i="1"/>
  <c r="E82" i="1"/>
  <c r="F82" i="1" s="1"/>
  <c r="E83" i="1"/>
  <c r="E84" i="1"/>
  <c r="E85" i="1"/>
  <c r="E86" i="1"/>
  <c r="E87" i="1"/>
  <c r="E88" i="1"/>
  <c r="E89" i="1"/>
  <c r="E90" i="1"/>
  <c r="E91" i="1"/>
  <c r="E92" i="1"/>
  <c r="E93" i="1"/>
  <c r="E94" i="1"/>
  <c r="F94" i="1" s="1"/>
  <c r="E95" i="1"/>
  <c r="E96" i="1"/>
  <c r="E97" i="1"/>
  <c r="E98" i="1"/>
  <c r="E99" i="1"/>
  <c r="E100" i="1"/>
  <c r="E101" i="1"/>
  <c r="E102" i="1"/>
  <c r="E103" i="1"/>
  <c r="E104" i="1"/>
  <c r="E105" i="1"/>
  <c r="E106" i="1"/>
  <c r="E107" i="1"/>
  <c r="E108" i="1"/>
  <c r="E109" i="1"/>
  <c r="E110" i="1"/>
  <c r="E111" i="1"/>
  <c r="E112" i="1"/>
  <c r="E113" i="1"/>
  <c r="F113" i="1" s="1"/>
  <c r="E114" i="1"/>
  <c r="E115" i="1"/>
  <c r="E116" i="1"/>
  <c r="E117" i="1"/>
  <c r="E118" i="1"/>
  <c r="E119" i="1"/>
  <c r="E120" i="1"/>
  <c r="E121" i="1"/>
  <c r="F121" i="1" s="1"/>
  <c r="E122" i="1"/>
  <c r="E123" i="1"/>
  <c r="E124" i="1"/>
  <c r="E125" i="1"/>
  <c r="F125" i="1" s="1"/>
  <c r="E126" i="1"/>
  <c r="E127" i="1"/>
  <c r="E128" i="1"/>
  <c r="E129" i="1"/>
  <c r="E130" i="1"/>
  <c r="E131" i="1"/>
  <c r="E132" i="1"/>
  <c r="E133" i="1"/>
  <c r="F133" i="1" s="1"/>
  <c r="E134" i="1"/>
  <c r="E135" i="1"/>
  <c r="E136" i="1"/>
  <c r="E137" i="1"/>
  <c r="F137" i="1" s="1"/>
  <c r="E138" i="1"/>
  <c r="F138" i="1" s="1"/>
  <c r="E139" i="1"/>
  <c r="E140" i="1"/>
  <c r="E141" i="1"/>
  <c r="E142" i="1"/>
  <c r="E143" i="1"/>
  <c r="E144" i="1"/>
  <c r="F144" i="1" s="1"/>
  <c r="E145" i="1"/>
  <c r="F145" i="1" s="1"/>
  <c r="E146" i="1"/>
  <c r="E147" i="1"/>
  <c r="E148" i="1"/>
  <c r="E149" i="1"/>
  <c r="F149" i="1" s="1"/>
  <c r="E150" i="1"/>
  <c r="E151" i="1"/>
  <c r="E152" i="1"/>
  <c r="E153" i="1"/>
  <c r="E154" i="1"/>
  <c r="E155" i="1"/>
  <c r="E156" i="1"/>
  <c r="E157" i="1"/>
  <c r="F157" i="1" s="1"/>
  <c r="E158" i="1"/>
  <c r="E159" i="1"/>
  <c r="E160" i="1"/>
  <c r="E161" i="1"/>
  <c r="E162" i="1"/>
  <c r="E163" i="1"/>
  <c r="F163" i="1" s="1"/>
  <c r="E164" i="1"/>
  <c r="E165" i="1"/>
  <c r="E166" i="1"/>
  <c r="E167" i="1"/>
  <c r="E168" i="1"/>
  <c r="E169" i="1"/>
  <c r="F169" i="1" s="1"/>
  <c r="E170" i="1"/>
  <c r="E171" i="1"/>
  <c r="E172" i="1"/>
  <c r="E173" i="1"/>
  <c r="F173" i="1" s="1"/>
  <c r="E174" i="1"/>
  <c r="E175" i="1"/>
  <c r="F175" i="1" s="1"/>
  <c r="E176" i="1"/>
  <c r="F176" i="1" s="1"/>
  <c r="E177" i="1"/>
  <c r="E178" i="1"/>
  <c r="F178" i="1" s="1"/>
  <c r="E179" i="1"/>
  <c r="E180" i="1"/>
  <c r="E181" i="1"/>
  <c r="E182" i="1"/>
  <c r="E183" i="1"/>
  <c r="E184" i="1"/>
  <c r="E185" i="1"/>
  <c r="E186" i="1"/>
  <c r="E187" i="1"/>
  <c r="F187" i="1" s="1"/>
  <c r="E188" i="1"/>
  <c r="E189" i="1"/>
  <c r="F189" i="1" s="1"/>
  <c r="E190" i="1"/>
  <c r="F190" i="1" s="1"/>
  <c r="E191" i="1"/>
  <c r="E192" i="1"/>
  <c r="E193" i="1"/>
  <c r="E194" i="1"/>
  <c r="E195" i="1"/>
  <c r="E196" i="1"/>
  <c r="E197" i="1"/>
  <c r="E198" i="1"/>
  <c r="E199" i="1"/>
  <c r="E200" i="1"/>
  <c r="E201" i="1"/>
  <c r="F201" i="1" s="1"/>
  <c r="E202" i="1"/>
  <c r="F202" i="1" s="1"/>
  <c r="E203" i="1"/>
  <c r="E204" i="1"/>
  <c r="E205" i="1"/>
  <c r="E206" i="1"/>
  <c r="E207" i="1"/>
  <c r="E208" i="1"/>
  <c r="E209" i="1"/>
  <c r="E210" i="1"/>
  <c r="E211" i="1"/>
  <c r="E212" i="1"/>
  <c r="E213" i="1"/>
  <c r="E214" i="1"/>
  <c r="E215" i="1"/>
  <c r="F215" i="1" s="1"/>
  <c r="E216" i="1"/>
  <c r="E217" i="1"/>
  <c r="E218" i="1"/>
  <c r="E219" i="1"/>
  <c r="E220" i="1"/>
  <c r="E221" i="1"/>
  <c r="F221" i="1" s="1"/>
  <c r="E222" i="1"/>
  <c r="E223" i="1"/>
  <c r="E224" i="1"/>
  <c r="E225" i="1"/>
  <c r="E226" i="1"/>
  <c r="F226" i="1" s="1"/>
  <c r="E227" i="1"/>
  <c r="E228" i="1"/>
  <c r="E229" i="1"/>
  <c r="E230" i="1"/>
  <c r="E231" i="1"/>
  <c r="E232" i="1"/>
  <c r="E233" i="1"/>
  <c r="F233" i="1" s="1"/>
  <c r="E234" i="1"/>
  <c r="F234" i="1" s="1"/>
  <c r="E235" i="1"/>
  <c r="E236" i="1"/>
  <c r="E237" i="1"/>
  <c r="E238" i="1"/>
  <c r="E239" i="1"/>
  <c r="E240" i="1"/>
  <c r="F240" i="1" s="1"/>
  <c r="E241" i="1"/>
  <c r="E242" i="1"/>
  <c r="E243" i="1"/>
  <c r="E244" i="1"/>
  <c r="E245" i="1"/>
  <c r="F245" i="1" s="1"/>
  <c r="E246" i="1"/>
  <c r="E247" i="1"/>
  <c r="F247" i="1" s="1"/>
  <c r="E248" i="1"/>
  <c r="F248" i="1" s="1"/>
  <c r="E249" i="1"/>
  <c r="E250" i="1"/>
  <c r="E251" i="1"/>
  <c r="E252" i="1"/>
  <c r="E253" i="1"/>
  <c r="E254" i="1"/>
  <c r="E255" i="1"/>
  <c r="E256" i="1"/>
  <c r="F256" i="1" s="1"/>
  <c r="E257" i="1"/>
  <c r="E258" i="1"/>
  <c r="E259" i="1"/>
  <c r="F259" i="1" s="1"/>
  <c r="E260" i="1"/>
  <c r="E261" i="1"/>
  <c r="F261" i="1" s="1"/>
  <c r="E262" i="1"/>
  <c r="E263" i="1"/>
  <c r="E264" i="1"/>
  <c r="E265" i="1"/>
  <c r="E266" i="1"/>
  <c r="E267" i="1"/>
  <c r="E268" i="1"/>
  <c r="F268" i="1" s="1"/>
  <c r="E269" i="1"/>
  <c r="E270" i="1"/>
  <c r="E271" i="1"/>
  <c r="E272" i="1"/>
  <c r="F272" i="1" s="1"/>
  <c r="E273" i="1"/>
  <c r="F273" i="1" s="1"/>
  <c r="E274" i="1"/>
  <c r="F274" i="1" s="1"/>
  <c r="E275" i="1"/>
  <c r="E276" i="1"/>
  <c r="E277" i="1"/>
  <c r="E278" i="1"/>
  <c r="E279" i="1"/>
  <c r="E280" i="1"/>
  <c r="E281" i="1"/>
  <c r="E282" i="1"/>
  <c r="E283" i="1"/>
  <c r="E284" i="1"/>
  <c r="E285" i="1"/>
  <c r="F285" i="1" s="1"/>
  <c r="E286" i="1"/>
  <c r="E287" i="1"/>
  <c r="F287" i="1" s="1"/>
  <c r="E288" i="1"/>
  <c r="F288" i="1" s="1"/>
  <c r="E289" i="1"/>
  <c r="E290" i="1"/>
  <c r="E291" i="1"/>
  <c r="E292" i="1"/>
  <c r="E293" i="1"/>
  <c r="F293" i="1" s="1"/>
  <c r="E294" i="1"/>
  <c r="E295" i="1"/>
  <c r="E296" i="1"/>
  <c r="E297" i="1"/>
  <c r="E298" i="1"/>
  <c r="F298" i="1" s="1"/>
  <c r="E299" i="1"/>
  <c r="F299" i="1" s="1"/>
  <c r="E300" i="1"/>
  <c r="E301" i="1"/>
  <c r="E302" i="1"/>
  <c r="E303" i="1"/>
  <c r="E304" i="1"/>
  <c r="F304" i="1" s="1"/>
  <c r="E305" i="1"/>
  <c r="F305" i="1" s="1"/>
  <c r="E306" i="1"/>
  <c r="F306" i="1" s="1"/>
  <c r="E307" i="1"/>
  <c r="E308" i="1"/>
  <c r="E309" i="1"/>
  <c r="E310" i="1"/>
  <c r="E311" i="1"/>
  <c r="E312" i="1"/>
  <c r="F312" i="1" s="1"/>
  <c r="E313" i="1"/>
  <c r="E314" i="1"/>
  <c r="E315" i="1"/>
  <c r="E316" i="1"/>
  <c r="F316" i="1" s="1"/>
  <c r="E317" i="1"/>
  <c r="F317" i="1" s="1"/>
  <c r="E318" i="1"/>
  <c r="F318" i="1" s="1"/>
  <c r="E319" i="1"/>
  <c r="F319" i="1" s="1"/>
  <c r="E320" i="1"/>
  <c r="E321" i="1"/>
  <c r="E322" i="1"/>
  <c r="E323" i="1"/>
  <c r="E324" i="1"/>
  <c r="E325" i="1"/>
  <c r="E326" i="1"/>
  <c r="E327" i="1"/>
  <c r="F327" i="1" s="1"/>
  <c r="E328" i="1"/>
  <c r="E329" i="1"/>
  <c r="E330" i="1"/>
  <c r="F330" i="1" s="1"/>
  <c r="E331" i="1"/>
  <c r="F331" i="1" s="1"/>
  <c r="E332" i="1"/>
  <c r="E333" i="1"/>
  <c r="F333" i="1" s="1"/>
  <c r="E334" i="1"/>
  <c r="E335" i="1"/>
  <c r="E336" i="1"/>
  <c r="F336" i="1" s="1"/>
  <c r="E337" i="1"/>
  <c r="E338" i="1"/>
  <c r="E339" i="1"/>
  <c r="E340" i="1"/>
  <c r="F340" i="1" s="1"/>
  <c r="E341" i="1"/>
  <c r="E342" i="1"/>
  <c r="E343" i="1"/>
  <c r="E344" i="1"/>
  <c r="E345" i="1"/>
  <c r="F345" i="1" s="1"/>
  <c r="E346" i="1"/>
  <c r="F346" i="1" s="1"/>
  <c r="E347" i="1"/>
  <c r="E348" i="1"/>
  <c r="E349" i="1"/>
  <c r="E350" i="1"/>
  <c r="E351" i="1"/>
  <c r="E352" i="1"/>
  <c r="E353" i="1"/>
  <c r="E354" i="1"/>
  <c r="E355" i="1"/>
  <c r="F355" i="1" s="1"/>
  <c r="E356" i="1"/>
  <c r="E357" i="1"/>
  <c r="F357" i="1" s="1"/>
  <c r="E358" i="1"/>
  <c r="E359" i="1"/>
  <c r="F359" i="1" s="1"/>
  <c r="E360" i="1"/>
  <c r="E361" i="1"/>
  <c r="E362" i="1"/>
  <c r="E363" i="1"/>
  <c r="E364" i="1"/>
  <c r="E365" i="1"/>
  <c r="F365" i="1" s="1"/>
  <c r="E366" i="1"/>
  <c r="E367" i="1"/>
  <c r="E368" i="1"/>
  <c r="E369" i="1"/>
  <c r="E370" i="1"/>
  <c r="F370" i="1" s="1"/>
  <c r="E371" i="1"/>
  <c r="F371" i="1" s="1"/>
  <c r="E372" i="1"/>
  <c r="E373" i="1"/>
  <c r="E374" i="1"/>
  <c r="E375" i="1"/>
  <c r="E376" i="1"/>
  <c r="F376" i="1" s="1"/>
  <c r="E377" i="1"/>
  <c r="F377" i="1" s="1"/>
  <c r="E378" i="1"/>
  <c r="F378" i="1" s="1"/>
  <c r="E379" i="1"/>
  <c r="E380" i="1"/>
  <c r="E381" i="1"/>
  <c r="E382" i="1"/>
  <c r="E383" i="1"/>
  <c r="E384" i="1"/>
  <c r="F384" i="1" s="1"/>
  <c r="E385" i="1"/>
  <c r="E386" i="1"/>
  <c r="E387" i="1"/>
  <c r="E388" i="1"/>
  <c r="F388" i="1" s="1"/>
  <c r="E389" i="1"/>
  <c r="F389" i="1" s="1"/>
  <c r="E390" i="1"/>
  <c r="F390" i="1" s="1"/>
  <c r="E391" i="1"/>
  <c r="F391" i="1" s="1"/>
  <c r="E392" i="1"/>
  <c r="E393" i="1"/>
  <c r="E394" i="1"/>
  <c r="E395" i="1"/>
  <c r="E396" i="1"/>
  <c r="E397" i="1"/>
  <c r="E398" i="1"/>
  <c r="F398" i="1" s="1"/>
  <c r="E399" i="1"/>
  <c r="E400" i="1"/>
  <c r="F400" i="1" s="1"/>
  <c r="E401" i="1"/>
  <c r="E402" i="1"/>
  <c r="F402" i="1" s="1"/>
  <c r="E403" i="1"/>
  <c r="F403" i="1" s="1"/>
  <c r="E404" i="1"/>
  <c r="E405" i="1"/>
  <c r="F405" i="1" s="1"/>
  <c r="E406" i="1"/>
  <c r="F406" i="1" s="1"/>
  <c r="E407" i="1"/>
  <c r="E408" i="1"/>
  <c r="E409" i="1"/>
  <c r="E410" i="1"/>
  <c r="E411" i="1"/>
  <c r="E412" i="1"/>
  <c r="F412" i="1" s="1"/>
  <c r="E413" i="1"/>
  <c r="F413" i="1" s="1"/>
  <c r="E414" i="1"/>
  <c r="F414" i="1" s="1"/>
  <c r="E415" i="1"/>
  <c r="E416" i="1"/>
  <c r="E417" i="1"/>
  <c r="F417" i="1" s="1"/>
  <c r="E418" i="1"/>
  <c r="F418" i="1" s="1"/>
  <c r="E419" i="1"/>
  <c r="E420" i="1"/>
  <c r="F420" i="1" s="1"/>
  <c r="E421" i="1"/>
  <c r="E422" i="1"/>
  <c r="E423" i="1"/>
  <c r="E424" i="1"/>
  <c r="E425" i="1"/>
  <c r="E426" i="1"/>
  <c r="E427" i="1"/>
  <c r="F427" i="1" s="1"/>
  <c r="E428" i="1"/>
  <c r="E429" i="1"/>
  <c r="F429" i="1" s="1"/>
  <c r="E430" i="1"/>
  <c r="E431" i="1"/>
  <c r="F431" i="1" s="1"/>
  <c r="E432" i="1"/>
  <c r="F432" i="1" s="1"/>
  <c r="E433" i="1"/>
  <c r="E434" i="1"/>
  <c r="E435" i="1"/>
  <c r="E436" i="1"/>
  <c r="E437" i="1"/>
  <c r="F437" i="1" s="1"/>
  <c r="E438" i="1"/>
  <c r="E439" i="1"/>
  <c r="E440" i="1"/>
  <c r="E441" i="1"/>
  <c r="E442" i="1"/>
  <c r="F442" i="1" s="1"/>
  <c r="E443" i="1"/>
  <c r="F443" i="1" s="1"/>
  <c r="E444" i="1"/>
  <c r="E445" i="1"/>
  <c r="E446" i="1"/>
  <c r="E32" i="1"/>
  <c r="I176" i="1" l="1"/>
  <c r="I165" i="1"/>
  <c r="I107" i="1"/>
  <c r="L107" i="1" s="1"/>
  <c r="I143" i="1"/>
  <c r="I131" i="1"/>
  <c r="I7" i="1"/>
  <c r="L7" i="1" s="1"/>
  <c r="I119" i="1"/>
  <c r="I85" i="1"/>
  <c r="I97" i="1"/>
  <c r="L97" i="1" s="1"/>
  <c r="I396" i="1"/>
  <c r="L196" i="1"/>
  <c r="L76" i="1"/>
  <c r="F76" i="1"/>
  <c r="F196" i="1"/>
  <c r="L244" i="1"/>
  <c r="F32" i="1"/>
  <c r="L231" i="1"/>
  <c r="L171" i="1"/>
  <c r="L99" i="1"/>
  <c r="L75" i="1"/>
  <c r="L63" i="1"/>
  <c r="F51" i="1"/>
  <c r="F64" i="1"/>
  <c r="F183" i="1"/>
  <c r="F255" i="1"/>
  <c r="F399" i="1"/>
  <c r="L328" i="1"/>
  <c r="L220" i="1"/>
  <c r="L278" i="1"/>
  <c r="F39" i="1"/>
  <c r="F52" i="1"/>
  <c r="F170" i="1"/>
  <c r="F184" i="1"/>
  <c r="F242" i="1"/>
  <c r="F314" i="1"/>
  <c r="L314" i="1" s="1"/>
  <c r="F328" i="1"/>
  <c r="F386" i="1"/>
  <c r="L412" i="1"/>
  <c r="L268" i="1"/>
  <c r="F361" i="1"/>
  <c r="L361" i="1" s="1"/>
  <c r="F265" i="1"/>
  <c r="F120" i="1"/>
  <c r="F146" i="1"/>
  <c r="F159" i="1"/>
  <c r="F172" i="1"/>
  <c r="F230" i="1"/>
  <c r="F244" i="1"/>
  <c r="F302" i="1"/>
  <c r="F374" i="1"/>
  <c r="L374" i="1" s="1"/>
  <c r="F446" i="1"/>
  <c r="L340" i="1"/>
  <c r="F421" i="1"/>
  <c r="F337" i="1"/>
  <c r="F229" i="1"/>
  <c r="L371" i="1"/>
  <c r="L143" i="1"/>
  <c r="L131" i="1"/>
  <c r="L119" i="1"/>
  <c r="F95" i="1"/>
  <c r="F108" i="1"/>
  <c r="F134" i="1"/>
  <c r="F147" i="1"/>
  <c r="L147" i="1" s="1"/>
  <c r="F160" i="1"/>
  <c r="L160" i="1" s="1"/>
  <c r="F216" i="1"/>
  <c r="F231" i="1"/>
  <c r="F303" i="1"/>
  <c r="F360" i="1"/>
  <c r="L360" i="1" s="1"/>
  <c r="F375" i="1"/>
  <c r="L375" i="1" s="1"/>
  <c r="R2" i="1"/>
  <c r="O2" i="1"/>
  <c r="L400" i="1"/>
  <c r="F433" i="1"/>
  <c r="F325" i="1"/>
  <c r="F217" i="1"/>
  <c r="F387" i="1"/>
  <c r="L387" i="1" s="1"/>
  <c r="L322" i="1"/>
  <c r="L226" i="1"/>
  <c r="L214" i="1"/>
  <c r="L130" i="1"/>
  <c r="L118" i="1"/>
  <c r="F70" i="1"/>
  <c r="F96" i="1"/>
  <c r="F109" i="1"/>
  <c r="F122" i="1"/>
  <c r="F135" i="1"/>
  <c r="F148" i="1"/>
  <c r="L148" i="1" s="1"/>
  <c r="F203" i="1"/>
  <c r="F218" i="1"/>
  <c r="F232" i="1"/>
  <c r="L232" i="1" s="1"/>
  <c r="F275" i="1"/>
  <c r="F290" i="1"/>
  <c r="F347" i="1"/>
  <c r="F362" i="1"/>
  <c r="F419" i="1"/>
  <c r="F434" i="1"/>
  <c r="K6" i="1"/>
  <c r="L376" i="1"/>
  <c r="L352" i="1"/>
  <c r="F409" i="1"/>
  <c r="F313" i="1"/>
  <c r="F205" i="1"/>
  <c r="L430" i="1"/>
  <c r="L334" i="1"/>
  <c r="L262" i="1"/>
  <c r="L105" i="1"/>
  <c r="L81" i="1"/>
  <c r="L57" i="1"/>
  <c r="L45" i="1"/>
  <c r="L33" i="1"/>
  <c r="F45" i="1"/>
  <c r="F58" i="1"/>
  <c r="F71" i="1"/>
  <c r="F84" i="1"/>
  <c r="L84" i="1" s="1"/>
  <c r="F97" i="1"/>
  <c r="F110" i="1"/>
  <c r="F123" i="1"/>
  <c r="F136" i="1"/>
  <c r="F204" i="1"/>
  <c r="F219" i="1"/>
  <c r="F262" i="1"/>
  <c r="F276" i="1"/>
  <c r="F291" i="1"/>
  <c r="F334" i="1"/>
  <c r="F348" i="1"/>
  <c r="F363" i="1"/>
  <c r="L363" i="1" s="1"/>
  <c r="F435" i="1"/>
  <c r="L436" i="1"/>
  <c r="L316" i="1"/>
  <c r="F445" i="1"/>
  <c r="F349" i="1"/>
  <c r="F301" i="1"/>
  <c r="F241" i="1"/>
  <c r="F193" i="1"/>
  <c r="L406" i="1"/>
  <c r="L358" i="1"/>
  <c r="L298" i="1"/>
  <c r="L190" i="1"/>
  <c r="F440" i="1"/>
  <c r="F428" i="1"/>
  <c r="F416" i="1"/>
  <c r="F404" i="1"/>
  <c r="F392" i="1"/>
  <c r="F380" i="1"/>
  <c r="F368" i="1"/>
  <c r="F356" i="1"/>
  <c r="F344" i="1"/>
  <c r="L344" i="1" s="1"/>
  <c r="F33" i="1"/>
  <c r="F46" i="1"/>
  <c r="F59" i="1"/>
  <c r="F72" i="1"/>
  <c r="F85" i="1"/>
  <c r="F98" i="1"/>
  <c r="F111" i="1"/>
  <c r="L111" i="1" s="1"/>
  <c r="F124" i="1"/>
  <c r="L124" i="1" s="1"/>
  <c r="F177" i="1"/>
  <c r="L177" i="1" s="1"/>
  <c r="F191" i="1"/>
  <c r="L191" i="1" s="1"/>
  <c r="F206" i="1"/>
  <c r="L206" i="1" s="1"/>
  <c r="F220" i="1"/>
  <c r="F249" i="1"/>
  <c r="F263" i="1"/>
  <c r="F278" i="1"/>
  <c r="F292" i="1"/>
  <c r="L292" i="1" s="1"/>
  <c r="F321" i="1"/>
  <c r="F335" i="1"/>
  <c r="F350" i="1"/>
  <c r="L350" i="1" s="1"/>
  <c r="F364" i="1"/>
  <c r="L364" i="1" s="1"/>
  <c r="F393" i="1"/>
  <c r="F407" i="1"/>
  <c r="F422" i="1"/>
  <c r="F436" i="1"/>
  <c r="I40" i="1"/>
  <c r="L40" i="1" s="1"/>
  <c r="I52" i="1"/>
  <c r="L52" i="1" s="1"/>
  <c r="L256" i="1"/>
  <c r="F373" i="1"/>
  <c r="F277" i="1"/>
  <c r="F181" i="1"/>
  <c r="L370" i="1"/>
  <c r="L286" i="1"/>
  <c r="L163" i="1"/>
  <c r="F34" i="1"/>
  <c r="F47" i="1"/>
  <c r="F60" i="1"/>
  <c r="F73" i="1"/>
  <c r="F86" i="1"/>
  <c r="F99" i="1"/>
  <c r="F112" i="1"/>
  <c r="L112" i="1" s="1"/>
  <c r="F151" i="1"/>
  <c r="L151" i="1" s="1"/>
  <c r="F165" i="1"/>
  <c r="L165" i="1" s="1"/>
  <c r="F192" i="1"/>
  <c r="F207" i="1"/>
  <c r="F235" i="1"/>
  <c r="F250" i="1"/>
  <c r="L250" i="1" s="1"/>
  <c r="F264" i="1"/>
  <c r="F279" i="1"/>
  <c r="L279" i="1" s="1"/>
  <c r="F307" i="1"/>
  <c r="F322" i="1"/>
  <c r="F351" i="1"/>
  <c r="F379" i="1"/>
  <c r="F394" i="1"/>
  <c r="L394" i="1" s="1"/>
  <c r="F408" i="1"/>
  <c r="F423" i="1"/>
  <c r="I29" i="1"/>
  <c r="L280" i="1"/>
  <c r="F385" i="1"/>
  <c r="L385" i="1" s="1"/>
  <c r="F253" i="1"/>
  <c r="L442" i="1"/>
  <c r="L238" i="1"/>
  <c r="L202" i="1"/>
  <c r="L354" i="1"/>
  <c r="L222" i="1"/>
  <c r="L102" i="1"/>
  <c r="F35" i="1"/>
  <c r="F48" i="1"/>
  <c r="F61" i="1"/>
  <c r="F74" i="1"/>
  <c r="L74" i="1" s="1"/>
  <c r="F87" i="1"/>
  <c r="F100" i="1"/>
  <c r="F126" i="1"/>
  <c r="L126" i="1" s="1"/>
  <c r="F139" i="1"/>
  <c r="F153" i="1"/>
  <c r="L153" i="1" s="1"/>
  <c r="F166" i="1"/>
  <c r="L166" i="1" s="1"/>
  <c r="F179" i="1"/>
  <c r="F194" i="1"/>
  <c r="F208" i="1"/>
  <c r="L208" i="1" s="1"/>
  <c r="F222" i="1"/>
  <c r="F237" i="1"/>
  <c r="L237" i="1" s="1"/>
  <c r="F251" i="1"/>
  <c r="L251" i="1" s="1"/>
  <c r="F266" i="1"/>
  <c r="F280" i="1"/>
  <c r="F294" i="1"/>
  <c r="L294" i="1" s="1"/>
  <c r="F309" i="1"/>
  <c r="F323" i="1"/>
  <c r="L323" i="1" s="1"/>
  <c r="F338" i="1"/>
  <c r="L338" i="1" s="1"/>
  <c r="F352" i="1"/>
  <c r="F366" i="1"/>
  <c r="F381" i="1"/>
  <c r="F395" i="1"/>
  <c r="F410" i="1"/>
  <c r="F424" i="1"/>
  <c r="L424" i="1" s="1"/>
  <c r="F438" i="1"/>
  <c r="L438" i="1" s="1"/>
  <c r="I18" i="1"/>
  <c r="L18" i="1" s="1"/>
  <c r="L388" i="1"/>
  <c r="L304" i="1"/>
  <c r="F397" i="1"/>
  <c r="L397" i="1" s="1"/>
  <c r="F289" i="1"/>
  <c r="L418" i="1"/>
  <c r="L346" i="1"/>
  <c r="L274" i="1"/>
  <c r="L427" i="1"/>
  <c r="L365" i="1"/>
  <c r="L221" i="1"/>
  <c r="L185" i="1"/>
  <c r="L173" i="1"/>
  <c r="F36" i="1"/>
  <c r="L36" i="1" s="1"/>
  <c r="F49" i="1"/>
  <c r="L49" i="1" s="1"/>
  <c r="F62" i="1"/>
  <c r="L62" i="1" s="1"/>
  <c r="F75" i="1"/>
  <c r="F88" i="1"/>
  <c r="L88" i="1" s="1"/>
  <c r="F101" i="1"/>
  <c r="F114" i="1"/>
  <c r="F127" i="1"/>
  <c r="L127" i="1" s="1"/>
  <c r="F141" i="1"/>
  <c r="F154" i="1"/>
  <c r="L154" i="1" s="1"/>
  <c r="F167" i="1"/>
  <c r="F180" i="1"/>
  <c r="F195" i="1"/>
  <c r="F209" i="1"/>
  <c r="L209" i="1" s="1"/>
  <c r="F223" i="1"/>
  <c r="L223" i="1" s="1"/>
  <c r="F238" i="1"/>
  <c r="F252" i="1"/>
  <c r="F267" i="1"/>
  <c r="F281" i="1"/>
  <c r="L281" i="1" s="1"/>
  <c r="F295" i="1"/>
  <c r="L295" i="1" s="1"/>
  <c r="F310" i="1"/>
  <c r="L310" i="1" s="1"/>
  <c r="F324" i="1"/>
  <c r="F339" i="1"/>
  <c r="F353" i="1"/>
  <c r="F367" i="1"/>
  <c r="F382" i="1"/>
  <c r="L382" i="1" s="1"/>
  <c r="F396" i="1"/>
  <c r="L396" i="1" s="1"/>
  <c r="F411" i="1"/>
  <c r="F425" i="1"/>
  <c r="F439" i="1"/>
  <c r="I6" i="1"/>
  <c r="L6" i="1" s="1"/>
  <c r="I17" i="1"/>
  <c r="L17" i="1" s="1"/>
  <c r="I28" i="1"/>
  <c r="I39" i="1"/>
  <c r="I51" i="1"/>
  <c r="I74" i="1"/>
  <c r="I84" i="1"/>
  <c r="I96" i="1"/>
  <c r="I106" i="1"/>
  <c r="L106" i="1" s="1"/>
  <c r="I118" i="1"/>
  <c r="I130" i="1"/>
  <c r="I142" i="1"/>
  <c r="L142" i="1" s="1"/>
  <c r="I164" i="1"/>
  <c r="L164" i="1" s="1"/>
  <c r="I175" i="1"/>
  <c r="L175" i="1" s="1"/>
  <c r="I221" i="1"/>
  <c r="I325" i="1"/>
  <c r="L325" i="1" s="1"/>
  <c r="I371" i="1"/>
  <c r="I8" i="1"/>
  <c r="L8" i="1" s="1"/>
  <c r="I19" i="1"/>
  <c r="L19" i="1" s="1"/>
  <c r="I30" i="1"/>
  <c r="L30" i="1" s="1"/>
  <c r="I41" i="1"/>
  <c r="L41" i="1" s="1"/>
  <c r="I53" i="1"/>
  <c r="L53" i="1" s="1"/>
  <c r="I64" i="1"/>
  <c r="L64" i="1" s="1"/>
  <c r="I86" i="1"/>
  <c r="I98" i="1"/>
  <c r="I108" i="1"/>
  <c r="I120" i="1"/>
  <c r="L120" i="1" s="1"/>
  <c r="I132" i="1"/>
  <c r="L132" i="1" s="1"/>
  <c r="I144" i="1"/>
  <c r="L144" i="1" s="1"/>
  <c r="I154" i="1"/>
  <c r="I166" i="1"/>
  <c r="I211" i="1"/>
  <c r="L211" i="1" s="1"/>
  <c r="I258" i="1"/>
  <c r="L258" i="1" s="1"/>
  <c r="I315" i="1"/>
  <c r="L315" i="1" s="1"/>
  <c r="I361" i="1"/>
  <c r="I20" i="1"/>
  <c r="L20" i="1" s="1"/>
  <c r="I31" i="1"/>
  <c r="L31" i="1" s="1"/>
  <c r="I42" i="1"/>
  <c r="L42" i="1" s="1"/>
  <c r="I54" i="1"/>
  <c r="L54" i="1" s="1"/>
  <c r="I65" i="1"/>
  <c r="L65" i="1" s="1"/>
  <c r="I76" i="1"/>
  <c r="I87" i="1"/>
  <c r="L87" i="1" s="1"/>
  <c r="I109" i="1"/>
  <c r="L109" i="1" s="1"/>
  <c r="I121" i="1"/>
  <c r="L121" i="1" s="1"/>
  <c r="I133" i="1"/>
  <c r="L133" i="1" s="1"/>
  <c r="I212" i="1"/>
  <c r="I293" i="1"/>
  <c r="L293" i="1" s="1"/>
  <c r="I386" i="1"/>
  <c r="I21" i="1"/>
  <c r="L21" i="1" s="1"/>
  <c r="I32" i="1"/>
  <c r="I43" i="1"/>
  <c r="L43" i="1" s="1"/>
  <c r="I55" i="1"/>
  <c r="L55" i="1" s="1"/>
  <c r="I66" i="1"/>
  <c r="L66" i="1" s="1"/>
  <c r="I77" i="1"/>
  <c r="L77" i="1" s="1"/>
  <c r="I88" i="1"/>
  <c r="I110" i="1"/>
  <c r="L110" i="1" s="1"/>
  <c r="I179" i="1"/>
  <c r="I201" i="1"/>
  <c r="L201" i="1" s="1"/>
  <c r="I248" i="1"/>
  <c r="L248" i="1" s="1"/>
  <c r="I294" i="1"/>
  <c r="I351" i="1"/>
  <c r="L176" i="1"/>
  <c r="I10" i="1"/>
  <c r="L10" i="1" s="1"/>
  <c r="I22" i="1"/>
  <c r="L22" i="1" s="1"/>
  <c r="I44" i="1"/>
  <c r="I56" i="1"/>
  <c r="I67" i="1"/>
  <c r="L67" i="1" s="1"/>
  <c r="I78" i="1"/>
  <c r="L78" i="1" s="1"/>
  <c r="I89" i="1"/>
  <c r="L89" i="1" s="1"/>
  <c r="I100" i="1"/>
  <c r="I111" i="1"/>
  <c r="I123" i="1"/>
  <c r="I135" i="1"/>
  <c r="I157" i="1"/>
  <c r="L157" i="1" s="1"/>
  <c r="I169" i="1"/>
  <c r="L169" i="1" s="1"/>
  <c r="I180" i="1"/>
  <c r="I191" i="1"/>
  <c r="I283" i="1"/>
  <c r="L283" i="1" s="1"/>
  <c r="I330" i="1"/>
  <c r="L330" i="1" s="1"/>
  <c r="I11" i="1"/>
  <c r="L11" i="1" s="1"/>
  <c r="I23" i="1"/>
  <c r="L23" i="1" s="1"/>
  <c r="I45" i="1"/>
  <c r="I57" i="1"/>
  <c r="I68" i="1"/>
  <c r="I79" i="1"/>
  <c r="L79" i="1" s="1"/>
  <c r="I90" i="1"/>
  <c r="L90" i="1" s="1"/>
  <c r="I101" i="1"/>
  <c r="L101" i="1" s="1"/>
  <c r="I112" i="1"/>
  <c r="I124" i="1"/>
  <c r="I136" i="1"/>
  <c r="I158" i="1"/>
  <c r="L158" i="1" s="1"/>
  <c r="I170" i="1"/>
  <c r="I227" i="1"/>
  <c r="L227" i="1" s="1"/>
  <c r="I284" i="1"/>
  <c r="I365" i="1"/>
  <c r="I12" i="1"/>
  <c r="L12" i="1" s="1"/>
  <c r="I24" i="1"/>
  <c r="L24" i="1" s="1"/>
  <c r="I34" i="1"/>
  <c r="I46" i="1"/>
  <c r="I58" i="1"/>
  <c r="L58" i="1" s="1"/>
  <c r="I69" i="1"/>
  <c r="L69" i="1" s="1"/>
  <c r="I80" i="1"/>
  <c r="I91" i="1"/>
  <c r="L91" i="1" s="1"/>
  <c r="I102" i="1"/>
  <c r="I113" i="1"/>
  <c r="L113" i="1" s="1"/>
  <c r="I125" i="1"/>
  <c r="L125" i="1" s="1"/>
  <c r="I137" i="1"/>
  <c r="L137" i="1" s="1"/>
  <c r="I148" i="1"/>
  <c r="I159" i="1"/>
  <c r="I216" i="1"/>
  <c r="I273" i="1"/>
  <c r="L273" i="1" s="1"/>
  <c r="I320" i="1"/>
  <c r="I437" i="1"/>
  <c r="L437" i="1" s="1"/>
  <c r="I13" i="1"/>
  <c r="L13" i="1" s="1"/>
  <c r="I25" i="1"/>
  <c r="L25" i="1" s="1"/>
  <c r="I35" i="1"/>
  <c r="I47" i="1"/>
  <c r="I59" i="1"/>
  <c r="L59" i="1" s="1"/>
  <c r="I70" i="1"/>
  <c r="I92" i="1"/>
  <c r="L92" i="1" s="1"/>
  <c r="I103" i="1"/>
  <c r="L103" i="1" s="1"/>
  <c r="I114" i="1"/>
  <c r="L114" i="1" s="1"/>
  <c r="I126" i="1"/>
  <c r="I138" i="1"/>
  <c r="L138" i="1" s="1"/>
  <c r="I149" i="1"/>
  <c r="L149" i="1" s="1"/>
  <c r="I160" i="1"/>
  <c r="I183" i="1"/>
  <c r="I217" i="1"/>
  <c r="I252" i="1"/>
  <c r="I263" i="1"/>
  <c r="I355" i="1"/>
  <c r="L355" i="1" s="1"/>
  <c r="I3" i="1"/>
  <c r="L3" i="1" s="1"/>
  <c r="I14" i="1"/>
  <c r="L14" i="1" s="1"/>
  <c r="I26" i="1"/>
  <c r="I36" i="1"/>
  <c r="I48" i="1"/>
  <c r="I60" i="1"/>
  <c r="I71" i="1"/>
  <c r="L71" i="1" s="1"/>
  <c r="I93" i="1"/>
  <c r="L93" i="1" s="1"/>
  <c r="I104" i="1"/>
  <c r="L104" i="1" s="1"/>
  <c r="I115" i="1"/>
  <c r="L115" i="1" s="1"/>
  <c r="I127" i="1"/>
  <c r="I139" i="1"/>
  <c r="I150" i="1"/>
  <c r="L150" i="1" s="1"/>
  <c r="I161" i="1"/>
  <c r="L161" i="1" s="1"/>
  <c r="I172" i="1"/>
  <c r="I206" i="1"/>
  <c r="I253" i="1"/>
  <c r="L253" i="1" s="1"/>
  <c r="I299" i="1"/>
  <c r="L299" i="1" s="1"/>
  <c r="I392" i="1"/>
  <c r="L392" i="1" s="1"/>
  <c r="I427" i="1"/>
  <c r="I4" i="1"/>
  <c r="L4" i="1" s="1"/>
  <c r="I15" i="1"/>
  <c r="L15" i="1" s="1"/>
  <c r="I37" i="1"/>
  <c r="L37" i="1" s="1"/>
  <c r="I49" i="1"/>
  <c r="I61" i="1"/>
  <c r="I72" i="1"/>
  <c r="I82" i="1"/>
  <c r="L82" i="1" s="1"/>
  <c r="I94" i="1"/>
  <c r="L94" i="1" s="1"/>
  <c r="I116" i="1"/>
  <c r="I128" i="1"/>
  <c r="I140" i="1"/>
  <c r="I185" i="1"/>
  <c r="I207" i="1"/>
  <c r="I242" i="1"/>
  <c r="I345" i="1"/>
  <c r="L345" i="1" s="1"/>
  <c r="L284" i="1"/>
  <c r="L236" i="1"/>
  <c r="L224" i="1"/>
  <c r="L80" i="1"/>
  <c r="L68" i="1"/>
  <c r="F44" i="1"/>
  <c r="L44" i="1" s="1"/>
  <c r="F56" i="1"/>
  <c r="L56" i="1" s="1"/>
  <c r="F68" i="1"/>
  <c r="F80" i="1"/>
  <c r="F92" i="1"/>
  <c r="F104" i="1"/>
  <c r="F116" i="1"/>
  <c r="L116" i="1" s="1"/>
  <c r="F128" i="1"/>
  <c r="F140" i="1"/>
  <c r="L140" i="1" s="1"/>
  <c r="F152" i="1"/>
  <c r="F164" i="1"/>
  <c r="F188" i="1"/>
  <c r="F200" i="1"/>
  <c r="L200" i="1" s="1"/>
  <c r="F212" i="1"/>
  <c r="L212" i="1" s="1"/>
  <c r="F224" i="1"/>
  <c r="F236" i="1"/>
  <c r="F260" i="1"/>
  <c r="F284" i="1"/>
  <c r="F296" i="1"/>
  <c r="L296" i="1" s="1"/>
  <c r="F308" i="1"/>
  <c r="F320" i="1"/>
  <c r="L320" i="1" s="1"/>
  <c r="F332" i="1"/>
  <c r="I5" i="1"/>
  <c r="L5" i="1" s="1"/>
  <c r="I16" i="1"/>
  <c r="L16" i="1" s="1"/>
  <c r="I38" i="1"/>
  <c r="L38" i="1" s="1"/>
  <c r="I50" i="1"/>
  <c r="L50" i="1" s="1"/>
  <c r="I62" i="1"/>
  <c r="I73" i="1"/>
  <c r="I83" i="1"/>
  <c r="L83" i="1" s="1"/>
  <c r="I95" i="1"/>
  <c r="L95" i="1" s="1"/>
  <c r="I117" i="1"/>
  <c r="L117" i="1" s="1"/>
  <c r="I129" i="1"/>
  <c r="L129" i="1" s="1"/>
  <c r="I141" i="1"/>
  <c r="I152" i="1"/>
  <c r="I163" i="1"/>
  <c r="I174" i="1"/>
  <c r="L174" i="1" s="1"/>
  <c r="I186" i="1"/>
  <c r="L186" i="1" s="1"/>
  <c r="I243" i="1"/>
  <c r="L243" i="1" s="1"/>
  <c r="I289" i="1"/>
  <c r="L289" i="1" s="1"/>
  <c r="I324" i="1"/>
  <c r="I335" i="1"/>
  <c r="I417" i="1"/>
  <c r="L417" i="1" s="1"/>
  <c r="I122" i="1"/>
  <c r="L122" i="1" s="1"/>
  <c r="I134" i="1"/>
  <c r="L134" i="1" s="1"/>
  <c r="I146" i="1"/>
  <c r="I156" i="1"/>
  <c r="L156" i="1" s="1"/>
  <c r="I168" i="1"/>
  <c r="L168" i="1" s="1"/>
  <c r="I178" i="1"/>
  <c r="L178" i="1" s="1"/>
  <c r="I200" i="1"/>
  <c r="I210" i="1"/>
  <c r="L210" i="1" s="1"/>
  <c r="I231" i="1"/>
  <c r="I241" i="1"/>
  <c r="I251" i="1"/>
  <c r="I272" i="1"/>
  <c r="L272" i="1" s="1"/>
  <c r="I282" i="1"/>
  <c r="L282" i="1" s="1"/>
  <c r="I303" i="1"/>
  <c r="I313" i="1"/>
  <c r="I323" i="1"/>
  <c r="I344" i="1"/>
  <c r="I354" i="1"/>
  <c r="I375" i="1"/>
  <c r="I385" i="1"/>
  <c r="I395" i="1"/>
  <c r="I416" i="1"/>
  <c r="L416" i="1" s="1"/>
  <c r="I426" i="1"/>
  <c r="L426" i="1" s="1"/>
  <c r="I356" i="1"/>
  <c r="L356" i="1" s="1"/>
  <c r="I366" i="1"/>
  <c r="L366" i="1" s="1"/>
  <c r="I387" i="1"/>
  <c r="I397" i="1"/>
  <c r="I407" i="1"/>
  <c r="L407" i="1" s="1"/>
  <c r="I428" i="1"/>
  <c r="L428" i="1" s="1"/>
  <c r="I438" i="1"/>
  <c r="I181" i="1"/>
  <c r="L181" i="1" s="1"/>
  <c r="I192" i="1"/>
  <c r="I213" i="1"/>
  <c r="L213" i="1" s="1"/>
  <c r="I223" i="1"/>
  <c r="I233" i="1"/>
  <c r="L233" i="1" s="1"/>
  <c r="I254" i="1"/>
  <c r="L254" i="1" s="1"/>
  <c r="I264" i="1"/>
  <c r="I285" i="1"/>
  <c r="L285" i="1" s="1"/>
  <c r="I295" i="1"/>
  <c r="I305" i="1"/>
  <c r="L305" i="1" s="1"/>
  <c r="I326" i="1"/>
  <c r="L326" i="1" s="1"/>
  <c r="I336" i="1"/>
  <c r="L336" i="1" s="1"/>
  <c r="I357" i="1"/>
  <c r="L357" i="1" s="1"/>
  <c r="I367" i="1"/>
  <c r="I377" i="1"/>
  <c r="L377" i="1" s="1"/>
  <c r="I398" i="1"/>
  <c r="L398" i="1" s="1"/>
  <c r="I408" i="1"/>
  <c r="I429" i="1"/>
  <c r="L429" i="1" s="1"/>
  <c r="I439" i="1"/>
  <c r="L439" i="1" s="1"/>
  <c r="I182" i="1"/>
  <c r="L182" i="1" s="1"/>
  <c r="I193" i="1"/>
  <c r="I203" i="1"/>
  <c r="I224" i="1"/>
  <c r="I234" i="1"/>
  <c r="L234" i="1" s="1"/>
  <c r="I255" i="1"/>
  <c r="L255" i="1" s="1"/>
  <c r="I265" i="1"/>
  <c r="L265" i="1" s="1"/>
  <c r="I275" i="1"/>
  <c r="L275" i="1" s="1"/>
  <c r="I296" i="1"/>
  <c r="I306" i="1"/>
  <c r="L306" i="1" s="1"/>
  <c r="I327" i="1"/>
  <c r="L327" i="1" s="1"/>
  <c r="I337" i="1"/>
  <c r="I347" i="1"/>
  <c r="L347" i="1" s="1"/>
  <c r="I368" i="1"/>
  <c r="I378" i="1"/>
  <c r="L378" i="1" s="1"/>
  <c r="I399" i="1"/>
  <c r="I409" i="1"/>
  <c r="L409" i="1" s="1"/>
  <c r="I419" i="1"/>
  <c r="I440" i="1"/>
  <c r="I194" i="1"/>
  <c r="L194" i="1" s="1"/>
  <c r="I204" i="1"/>
  <c r="I225" i="1"/>
  <c r="L225" i="1" s="1"/>
  <c r="I235" i="1"/>
  <c r="L235" i="1" s="1"/>
  <c r="I245" i="1"/>
  <c r="L245" i="1" s="1"/>
  <c r="I266" i="1"/>
  <c r="L266" i="1" s="1"/>
  <c r="I276" i="1"/>
  <c r="I297" i="1"/>
  <c r="L297" i="1" s="1"/>
  <c r="I307" i="1"/>
  <c r="I317" i="1"/>
  <c r="L317" i="1" s="1"/>
  <c r="I338" i="1"/>
  <c r="I348" i="1"/>
  <c r="L348" i="1" s="1"/>
  <c r="I369" i="1"/>
  <c r="L369" i="1" s="1"/>
  <c r="I379" i="1"/>
  <c r="L379" i="1" s="1"/>
  <c r="I389" i="1"/>
  <c r="L389" i="1" s="1"/>
  <c r="I410" i="1"/>
  <c r="L410" i="1" s="1"/>
  <c r="I420" i="1"/>
  <c r="L420" i="1" s="1"/>
  <c r="I441" i="1"/>
  <c r="L441" i="1" s="1"/>
  <c r="L28" i="1"/>
  <c r="I151" i="1"/>
  <c r="I162" i="1"/>
  <c r="L162" i="1" s="1"/>
  <c r="I173" i="1"/>
  <c r="I184" i="1"/>
  <c r="L184" i="1" s="1"/>
  <c r="I195" i="1"/>
  <c r="I205" i="1"/>
  <c r="I215" i="1"/>
  <c r="L215" i="1" s="1"/>
  <c r="I236" i="1"/>
  <c r="I246" i="1"/>
  <c r="L246" i="1" s="1"/>
  <c r="I267" i="1"/>
  <c r="I277" i="1"/>
  <c r="I287" i="1"/>
  <c r="L287" i="1" s="1"/>
  <c r="I308" i="1"/>
  <c r="I318" i="1"/>
  <c r="L318" i="1" s="1"/>
  <c r="I339" i="1"/>
  <c r="I349" i="1"/>
  <c r="I359" i="1"/>
  <c r="L359" i="1" s="1"/>
  <c r="I380" i="1"/>
  <c r="I390" i="1"/>
  <c r="L390" i="1" s="1"/>
  <c r="I411" i="1"/>
  <c r="I421" i="1"/>
  <c r="I431" i="1"/>
  <c r="L431" i="1" s="1"/>
  <c r="I237" i="1"/>
  <c r="I247" i="1"/>
  <c r="L247" i="1" s="1"/>
  <c r="I257" i="1"/>
  <c r="L257" i="1" s="1"/>
  <c r="I278" i="1"/>
  <c r="I288" i="1"/>
  <c r="L288" i="1" s="1"/>
  <c r="I309" i="1"/>
  <c r="I319" i="1"/>
  <c r="L319" i="1" s="1"/>
  <c r="I329" i="1"/>
  <c r="L329" i="1" s="1"/>
  <c r="I350" i="1"/>
  <c r="I360" i="1"/>
  <c r="I381" i="1"/>
  <c r="I391" i="1"/>
  <c r="L391" i="1" s="1"/>
  <c r="I401" i="1"/>
  <c r="L401" i="1" s="1"/>
  <c r="I422" i="1"/>
  <c r="L422" i="1" s="1"/>
  <c r="I432" i="1"/>
  <c r="L432" i="1" s="1"/>
  <c r="L27" i="1"/>
  <c r="I402" i="1"/>
  <c r="L402" i="1" s="1"/>
  <c r="I423" i="1"/>
  <c r="I433" i="1"/>
  <c r="I443" i="1"/>
  <c r="L443" i="1" s="1"/>
  <c r="I187" i="1"/>
  <c r="L187" i="1" s="1"/>
  <c r="I197" i="1"/>
  <c r="L197" i="1" s="1"/>
  <c r="I218" i="1"/>
  <c r="L218" i="1" s="1"/>
  <c r="I228" i="1"/>
  <c r="L228" i="1" s="1"/>
  <c r="I249" i="1"/>
  <c r="L249" i="1" s="1"/>
  <c r="I259" i="1"/>
  <c r="L259" i="1" s="1"/>
  <c r="I269" i="1"/>
  <c r="L269" i="1" s="1"/>
  <c r="I290" i="1"/>
  <c r="L290" i="1" s="1"/>
  <c r="I300" i="1"/>
  <c r="L300" i="1" s="1"/>
  <c r="I321" i="1"/>
  <c r="I331" i="1"/>
  <c r="L331" i="1" s="1"/>
  <c r="I341" i="1"/>
  <c r="L341" i="1" s="1"/>
  <c r="I362" i="1"/>
  <c r="I372" i="1"/>
  <c r="L372" i="1" s="1"/>
  <c r="I393" i="1"/>
  <c r="I403" i="1"/>
  <c r="L403" i="1" s="1"/>
  <c r="I413" i="1"/>
  <c r="L413" i="1" s="1"/>
  <c r="I434" i="1"/>
  <c r="I444" i="1"/>
  <c r="L444" i="1" s="1"/>
  <c r="I188" i="1"/>
  <c r="L188" i="1" s="1"/>
  <c r="I198" i="1"/>
  <c r="L198" i="1" s="1"/>
  <c r="I219" i="1"/>
  <c r="I229" i="1"/>
  <c r="I239" i="1"/>
  <c r="L239" i="1" s="1"/>
  <c r="I260" i="1"/>
  <c r="L260" i="1" s="1"/>
  <c r="I270" i="1"/>
  <c r="L270" i="1" s="1"/>
  <c r="I291" i="1"/>
  <c r="I301" i="1"/>
  <c r="L301" i="1" s="1"/>
  <c r="I311" i="1"/>
  <c r="L311" i="1" s="1"/>
  <c r="I332" i="1"/>
  <c r="I342" i="1"/>
  <c r="L342" i="1" s="1"/>
  <c r="I363" i="1"/>
  <c r="I373" i="1"/>
  <c r="L373" i="1" s="1"/>
  <c r="I383" i="1"/>
  <c r="L383" i="1" s="1"/>
  <c r="I404" i="1"/>
  <c r="I414" i="1"/>
  <c r="L414" i="1" s="1"/>
  <c r="I435" i="1"/>
  <c r="I445" i="1"/>
  <c r="L445" i="1" s="1"/>
  <c r="I145" i="1"/>
  <c r="L145" i="1" s="1"/>
  <c r="I155" i="1"/>
  <c r="L155" i="1" s="1"/>
  <c r="I167" i="1"/>
  <c r="I189" i="1"/>
  <c r="L189" i="1" s="1"/>
  <c r="I199" i="1"/>
  <c r="L199" i="1" s="1"/>
  <c r="I209" i="1"/>
  <c r="I230" i="1"/>
  <c r="I240" i="1"/>
  <c r="L240" i="1" s="1"/>
  <c r="I261" i="1"/>
  <c r="L261" i="1" s="1"/>
  <c r="I271" i="1"/>
  <c r="L271" i="1" s="1"/>
  <c r="I281" i="1"/>
  <c r="I302" i="1"/>
  <c r="L302" i="1" s="1"/>
  <c r="I312" i="1"/>
  <c r="L312" i="1" s="1"/>
  <c r="I333" i="1"/>
  <c r="L333" i="1" s="1"/>
  <c r="I343" i="1"/>
  <c r="L343" i="1" s="1"/>
  <c r="I353" i="1"/>
  <c r="I374" i="1"/>
  <c r="I384" i="1"/>
  <c r="L384" i="1" s="1"/>
  <c r="I405" i="1"/>
  <c r="L405" i="1" s="1"/>
  <c r="I415" i="1"/>
  <c r="L415" i="1" s="1"/>
  <c r="I425" i="1"/>
  <c r="I446" i="1"/>
  <c r="L446" i="1" s="1"/>
  <c r="F29" i="1"/>
  <c r="L29" i="1" s="1"/>
  <c r="F26" i="1"/>
  <c r="K5" i="1"/>
  <c r="L267" i="1" l="1"/>
  <c r="L309" i="1"/>
  <c r="L139" i="1"/>
  <c r="L207" i="1"/>
  <c r="L205" i="1"/>
  <c r="L303" i="1"/>
  <c r="L425" i="1"/>
  <c r="L252" i="1"/>
  <c r="L423" i="1"/>
  <c r="L192" i="1"/>
  <c r="L368" i="1"/>
  <c r="L193" i="1"/>
  <c r="L291" i="1"/>
  <c r="L313" i="1"/>
  <c r="L411" i="1"/>
  <c r="L100" i="1"/>
  <c r="L408" i="1"/>
  <c r="L393" i="1"/>
  <c r="L380" i="1"/>
  <c r="L241" i="1"/>
  <c r="L276" i="1"/>
  <c r="L203" i="1"/>
  <c r="L216" i="1"/>
  <c r="L230" i="1"/>
  <c r="L386" i="1"/>
  <c r="L367" i="1"/>
  <c r="L195" i="1"/>
  <c r="L61" i="1"/>
  <c r="L351" i="1"/>
  <c r="L335" i="1"/>
  <c r="L98" i="1"/>
  <c r="L349" i="1"/>
  <c r="L204" i="1"/>
  <c r="L146" i="1"/>
  <c r="L242" i="1"/>
  <c r="L399" i="1"/>
  <c r="L32" i="1"/>
  <c r="L34" i="1"/>
  <c r="L353" i="1"/>
  <c r="L180" i="1"/>
  <c r="L395" i="1"/>
  <c r="L48" i="1"/>
  <c r="L86" i="1"/>
  <c r="L277" i="1"/>
  <c r="L321" i="1"/>
  <c r="L85" i="1"/>
  <c r="L136" i="1"/>
  <c r="L434" i="1"/>
  <c r="L433" i="1"/>
  <c r="L108" i="1"/>
  <c r="L229" i="1"/>
  <c r="L172" i="1"/>
  <c r="L135" i="1"/>
  <c r="L332" i="1"/>
  <c r="L152" i="1"/>
  <c r="L339" i="1"/>
  <c r="L167" i="1"/>
  <c r="L381" i="1"/>
  <c r="L35" i="1"/>
  <c r="L307" i="1"/>
  <c r="L73" i="1"/>
  <c r="L72" i="1"/>
  <c r="L123" i="1"/>
  <c r="L419" i="1"/>
  <c r="L96" i="1"/>
  <c r="L337" i="1"/>
  <c r="L170" i="1"/>
  <c r="L183" i="1"/>
  <c r="L404" i="1"/>
  <c r="L159" i="1"/>
  <c r="L324" i="1"/>
  <c r="L60" i="1"/>
  <c r="L440" i="1"/>
  <c r="L362" i="1"/>
  <c r="L70" i="1"/>
  <c r="L421" i="1"/>
  <c r="L219" i="1"/>
  <c r="L217" i="1"/>
  <c r="L308" i="1"/>
  <c r="L128" i="1"/>
  <c r="L141" i="1"/>
  <c r="L179" i="1"/>
  <c r="L264" i="1"/>
  <c r="L47" i="1"/>
  <c r="L263" i="1"/>
  <c r="L46" i="1"/>
  <c r="L435" i="1"/>
  <c r="L39" i="1"/>
  <c r="L51" i="1"/>
  <c r="L26" i="1"/>
</calcChain>
</file>

<file path=xl/sharedStrings.xml><?xml version="1.0" encoding="utf-8"?>
<sst xmlns="http://schemas.openxmlformats.org/spreadsheetml/2006/main" count="29" uniqueCount="29">
  <si>
    <t>하한</t>
  </si>
  <si>
    <t>상한</t>
  </si>
  <si>
    <t>배대지비용</t>
  </si>
  <si>
    <t>카드수수료</t>
  </si>
  <si>
    <t>관부가세</t>
  </si>
  <si>
    <t>부가세</t>
  </si>
  <si>
    <t>곱하기마진</t>
  </si>
  <si>
    <t>더하기마진</t>
  </si>
  <si>
    <t>마진율 설정값</t>
  </si>
  <si>
    <t>최대 마진율(저가 cap)</t>
  </si>
  <si>
    <t>최소 마진율(고가 floor)</t>
  </si>
  <si>
    <t>고정마진액(원)</t>
  </si>
  <si>
    <t>100만원 이하 평균마진율(검증)</t>
  </si>
  <si>
    <t>전체 445구간 평균마진율(참고)</t>
  </si>
  <si>
    <t>더하기마진 설정값</t>
  </si>
  <si>
    <t>시작금액(최저가, 원)</t>
  </si>
  <si>
    <t>증가율(상승 기울기)</t>
  </si>
  <si>
    <t>상한(최대 고정마진, 원)</t>
  </si>
  <si>
    <t>총마진액(G×B+H)</t>
  </si>
  <si>
    <t>마켓수수료 설정값</t>
  </si>
  <si>
    <t>스토어(스마트스토어) 수수료율</t>
  </si>
  <si>
    <t>기타마켓 수수료율</t>
  </si>
  <si>
    <t>기준가(원가+배송비+관부가세+마진)</t>
  </si>
  <si>
    <t>스마트스토어 총마진액</t>
  </si>
  <si>
    <t>스마트스토어 마진율</t>
  </si>
  <si>
    <t>오픈마켓 총마진액</t>
  </si>
  <si>
    <t>오픈마켓 마진율</t>
  </si>
  <si>
    <t>스마트스토어(6%+카드)판매가</t>
  </si>
  <si>
    <t>오픈마켓(13%+카드)판매가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</si>
</sst>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1" formatCode="_-* #,##0_-;\-* #,##0_-;_-* &quot;-&quot;_-;_-@_-"/>
    <numFmt numFmtId="176" formatCode="0.0%"/>
    <numFmt numFmtId="177" formatCode="_(* #,##0_);_(* \(#,##0\);_(* &quot;-&quot;_);_(@_)"/>
  </numFmts>
  <fonts count="8" x14ac:knownFonts="1">
    <font>
      <sz val="12"/>
      <color theme="1"/>
      <name val="맑은 고딕"/>
      <family val="2"/>
      <scheme val="minor"/>
    </font>
    <font>
      <sz val="12"/>
      <color theme="1"/>
      <name val="맑은 고딕"/>
      <family val="2"/>
      <scheme val="minor"/>
    </font>
    <font>
      <sz val="8"/>
      <name val="맑은 고딕"/>
      <family val="3"/>
      <charset val="129"/>
      <scheme val="minor"/>
    </font>
    <font>
      <b/>
      <sz val="12"/>
      <color theme="1"/>
      <name val="맑은 고딕"/>
      <family val="2"/>
      <scheme val="minor"/>
    </font>
    <font>
      <sz val="12"/>
      <color rgb="FF0000FF"/>
      <name val="맑은 고딕"/>
      <family val="2"/>
      <scheme val="minor"/>
    </font>
    <font>
      <sz val="11"/>
      <color rgb="FF9C5700"/>
      <name val="맑은 고딕"/>
      <family val="2"/>
      <charset val="129"/>
      <scheme val="minor"/>
    </font>
    <font>
      <b/>
      <sz val="12"/>
      <color theme="1"/>
      <name val="맑은 고딕"/>
      <family val="3"/>
      <charset val="129"/>
      <scheme val="minor"/>
    </font>
    <font>
      <sz val="12"/>
      <color theme="1"/>
      <name val="맑은 고딕"/>
      <family val="3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EB9C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5" fillId="2" borderId="0" applyNumberFormat="0" applyBorder="0" applyAlignment="0" applyProtection="0">
      <alignment vertical="center"/>
    </xf>
  </cellStyleXfs>
  <cellXfs count="15">
    <xf numFmtId="0" fontId="0" fillId="0" borderId="0" xfId="0" applyNumberFormat="1"/>
    <xf numFmtId="41" fontId="0" fillId="0" borderId="1" xfId="1" applyFont="1" applyBorder="1">
      <alignment vertical="center"/>
    </xf>
    <xf numFmtId="9" fontId="0" fillId="0" borderId="0" xfId="2" applyFont="1" applyAlignment="1"/>
    <xf numFmtId="41" fontId="0" fillId="0" borderId="0" xfId="0" applyNumberFormat="1"/>
    <xf numFmtId="0" fontId="3" fillId="0" borderId="0" xfId="0" applyNumberFormat="1" applyFont="1"/>
    <xf numFmtId="9" fontId="4" fillId="0" borderId="0" xfId="0" applyNumberFormat="1" applyFont="1"/>
    <xf numFmtId="3" fontId="4" fillId="0" borderId="0" xfId="0" applyNumberFormat="1" applyFont="1"/>
    <xf numFmtId="176" fontId="0" fillId="0" borderId="0" xfId="0" applyNumberFormat="1"/>
    <xf numFmtId="176" fontId="4" fillId="0" borderId="0" xfId="0" applyNumberFormat="1" applyFont="1"/>
    <xf numFmtId="177" fontId="0" fillId="0" borderId="0" xfId="0" applyNumberFormat="1"/>
    <xf numFmtId="0" fontId="6" fillId="0" borderId="0" xfId="0" applyNumberFormat="1" applyFont="1"/>
    <xf numFmtId="177" fontId="7" fillId="0" borderId="0" xfId="0" applyNumberFormat="1" applyFont="1"/>
    <xf numFmtId="176" fontId="7" fillId="0" borderId="0" xfId="0" applyNumberFormat="1" applyFont="1"/>
    <xf numFmtId="0" fontId="5" fillId="2" borderId="0" xfId="3" applyNumberFormat="1" applyAlignment="1"/>
    <xf numFmtId="9" fontId="0" fillId="0" borderId="0" xfId="0" applyNumberFormat="1"/>
  </cellXfs>
  <cellStyles count="4">
    <cellStyle name="백분율" xfId="2" builtinId="5"/>
    <cellStyle name="보통" xfId="3" builtinId="28"/>
    <cellStyle name="쉼표 [0]" xfId="1" builtinId="6"/>
    <cellStyle name="표준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562" row="3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243A476B-4AE1-40DA-A495-F2B266B5081C}">
  <we:reference id="wa200009404" version="1.0.0.8" store="en-US" storeType="OMEX"/>
  <we:alternateReferences>
    <we:reference id="wa200009404" version="1.0.0.8" store="en-US" storeType="OMEX"/>
  </we:alternateReferences>
  <we:properties>
    <we:property name="claude.fileId" value="&quot;839a6b2e-44ba-4796-bdd9-cdbf3c4918fe&quot;"/>
  </we:properties>
  <we:bindings/>
  <we:snapshot xmlns:r="http://schemas.openxmlformats.org/officeDocument/2006/relationships"/>
</we:webextension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446"/>
  <sheetViews>
    <sheetView tabSelected="1" topLeftCell="F124" workbookViewId="0">
      <selection activeCell="A146" sqref="A146:XFD146"/>
    </sheetView>
  </sheetViews>
  <sheetFormatPr defaultRowHeight="17.25" x14ac:dyDescent="0.3"/>
  <cols>
    <col min="1" max="1" width="12" customWidth="1"/>
    <col min="2" max="2" width="11.5546875" customWidth="1"/>
    <col min="5" max="5" width="10.88671875" customWidth="1"/>
    <col min="9" max="9" width="10.77734375" customWidth="1"/>
    <col min="10" max="10" width="28.44140625" customWidth="1"/>
    <col min="12" max="12" width="16.6640625" customWidth="1"/>
    <col min="13" max="13" width="17.109375" customWidth="1"/>
    <col min="14" max="14" width="21" bestFit="1" customWidth="1"/>
    <col min="15" max="15" width="19" bestFit="1" customWidth="1"/>
    <col min="16" max="16" width="21" customWidth="1"/>
    <col min="17" max="17" width="17.109375" bestFit="1" customWidth="1"/>
    <col min="18" max="18" width="15.109375" bestFit="1" customWidth="1"/>
  </cols>
  <sheetData>
    <row r="1" spans="1:18" x14ac:dyDescent="0.3">
      <c r="A1" s="13" t="s">
        <v>0</v>
      </c>
      <c r="B1" s="13" t="s">
        <v>1</v>
      </c>
      <c r="C1" s="13" t="s">
        <v>2</v>
      </c>
      <c r="D1" s="13" t="s">
        <v>3</v>
      </c>
      <c r="E1" s="13" t="s">
        <v>4</v>
      </c>
      <c r="F1" s="13" t="s">
        <v>5</v>
      </c>
      <c r="G1" s="13" t="s">
        <v>6</v>
      </c>
      <c r="H1" s="13" t="s">
        <v>7</v>
      </c>
      <c r="I1" t="s">
        <v>18</v>
      </c>
      <c r="J1" s="4" t="s">
        <v>8</v>
      </c>
      <c r="L1" s="4" t="s">
        <v>22</v>
      </c>
      <c r="M1" s="4" t="s">
        <v>27</v>
      </c>
      <c r="N1" s="10" t="s">
        <v>23</v>
      </c>
      <c r="O1" s="10" t="s">
        <v>24</v>
      </c>
      <c r="P1" s="4" t="s">
        <v>28</v>
      </c>
      <c r="Q1" s="10" t="s">
        <v>25</v>
      </c>
      <c r="R1" s="10" t="s">
        <v>26</v>
      </c>
    </row>
    <row r="2" spans="1:18" x14ac:dyDescent="0.3">
      <c r="A2" s="1">
        <v>1</v>
      </c>
      <c r="B2" s="1">
        <v>10000</v>
      </c>
      <c r="C2">
        <v>7000</v>
      </c>
      <c r="D2" s="14">
        <v>0.03</v>
      </c>
      <c r="E2">
        <v>0</v>
      </c>
      <c r="F2">
        <v>0</v>
      </c>
      <c r="G2" s="2">
        <f>MIN($K$2,MAX($K$3,$K$4/B2+$K$3))</f>
        <v>0.35</v>
      </c>
      <c r="H2" s="9">
        <f>MIN($K$11,$K$9+$K$10*(B2-$B$2))</f>
        <v>5000</v>
      </c>
      <c r="I2" s="9">
        <f>B2*G2+H2</f>
        <v>8500</v>
      </c>
      <c r="J2" t="s">
        <v>9</v>
      </c>
      <c r="K2" s="5">
        <v>0.35</v>
      </c>
      <c r="L2" s="9">
        <f>B2+C2+E2+F2+I2</f>
        <v>25500</v>
      </c>
      <c r="M2" s="9">
        <f>L2/(1-$K$14-D2)</f>
        <v>28021.978021978026</v>
      </c>
      <c r="N2" s="11">
        <f>M2*(1-$K$14-D2)-B2-C2-E2-F2</f>
        <v>8500</v>
      </c>
      <c r="O2" s="12">
        <f>N2/M2</f>
        <v>0.30333333333333329</v>
      </c>
      <c r="P2" s="9">
        <f>L2/(1-$K$15-D2)</f>
        <v>30357.142857142859</v>
      </c>
      <c r="Q2" s="11">
        <f>P2*(1-$K$15-D2)-B2-C2-E2-F2</f>
        <v>8500</v>
      </c>
      <c r="R2" s="12">
        <f>Q2/P2</f>
        <v>0.27999999999999997</v>
      </c>
    </row>
    <row r="3" spans="1:18" x14ac:dyDescent="0.3">
      <c r="A3" s="1">
        <v>10001</v>
      </c>
      <c r="B3" s="1">
        <v>20000</v>
      </c>
      <c r="C3">
        <v>7000</v>
      </c>
      <c r="D3" s="14">
        <v>0.03</v>
      </c>
      <c r="E3">
        <v>0</v>
      </c>
      <c r="F3">
        <v>0</v>
      </c>
      <c r="G3" s="2">
        <f t="shared" ref="G3:G66" si="0">MIN($K$2,MAX($K$3,$K$4/B3+$K$3))</f>
        <v>0.35</v>
      </c>
      <c r="H3" s="9">
        <f t="shared" ref="H3:H66" si="1">MIN($K$11,$K$9+$K$10*(B3-$B$2))</f>
        <v>5250</v>
      </c>
      <c r="I3" s="9">
        <f t="shared" ref="I3:I66" si="2">B3*G3+H3</f>
        <v>12250</v>
      </c>
      <c r="J3" t="s">
        <v>10</v>
      </c>
      <c r="K3" s="5">
        <v>0.18</v>
      </c>
      <c r="L3" s="9">
        <f t="shared" ref="L3:L66" si="3">B3+C3+E3+F3+I3</f>
        <v>39250</v>
      </c>
      <c r="M3" s="9">
        <f t="shared" ref="M3:M66" si="4">L3/(1-$K$14-D3)</f>
        <v>43131.868131868134</v>
      </c>
      <c r="N3" s="11">
        <f t="shared" ref="N3:N66" si="5">M3*(1-$K$14-D3)-B3-C3-E3-F3</f>
        <v>12250</v>
      </c>
      <c r="O3" s="12">
        <f t="shared" ref="O3:O66" si="6">N3/M3</f>
        <v>0.2840127388535032</v>
      </c>
      <c r="P3" s="9">
        <f t="shared" ref="P3:P66" si="7">L3/(1-$K$15-D3)</f>
        <v>46726.190476190481</v>
      </c>
      <c r="Q3" s="11">
        <f t="shared" ref="Q3:Q66" si="8">P3*(1-$K$15-D3)-B3-C3-E3-F3</f>
        <v>12250</v>
      </c>
      <c r="R3" s="12">
        <f t="shared" ref="R3:R66" si="9">Q3/P3</f>
        <v>0.26216560509554138</v>
      </c>
    </row>
    <row r="4" spans="1:18" x14ac:dyDescent="0.3">
      <c r="A4" s="1">
        <v>20001</v>
      </c>
      <c r="B4" s="1">
        <v>30000</v>
      </c>
      <c r="C4">
        <v>7000</v>
      </c>
      <c r="D4" s="14">
        <v>0.03</v>
      </c>
      <c r="E4">
        <v>0</v>
      </c>
      <c r="F4">
        <v>0</v>
      </c>
      <c r="G4" s="2">
        <f t="shared" si="0"/>
        <v>0.35</v>
      </c>
      <c r="H4" s="9">
        <f t="shared" si="1"/>
        <v>5500</v>
      </c>
      <c r="I4" s="9">
        <f t="shared" si="2"/>
        <v>16000</v>
      </c>
      <c r="J4" t="s">
        <v>11</v>
      </c>
      <c r="K4" s="6">
        <v>13000</v>
      </c>
      <c r="L4" s="9">
        <f t="shared" si="3"/>
        <v>53000</v>
      </c>
      <c r="M4" s="9">
        <f t="shared" si="4"/>
        <v>58241.758241758245</v>
      </c>
      <c r="N4" s="11">
        <f t="shared" si="5"/>
        <v>16000</v>
      </c>
      <c r="O4" s="12">
        <f t="shared" si="6"/>
        <v>0.27471698113207543</v>
      </c>
      <c r="P4" s="9">
        <f t="shared" si="7"/>
        <v>63095.238095238099</v>
      </c>
      <c r="Q4" s="11">
        <f t="shared" si="8"/>
        <v>16000</v>
      </c>
      <c r="R4" s="12">
        <f t="shared" si="9"/>
        <v>0.25358490566037734</v>
      </c>
    </row>
    <row r="5" spans="1:18" x14ac:dyDescent="0.3">
      <c r="A5" s="1">
        <v>30001</v>
      </c>
      <c r="B5" s="1">
        <v>40000</v>
      </c>
      <c r="C5">
        <v>7000</v>
      </c>
      <c r="D5" s="14">
        <v>0.03</v>
      </c>
      <c r="E5">
        <v>0</v>
      </c>
      <c r="F5">
        <v>0</v>
      </c>
      <c r="G5" s="2">
        <f t="shared" si="0"/>
        <v>0.35</v>
      </c>
      <c r="H5" s="9">
        <f t="shared" si="1"/>
        <v>5750</v>
      </c>
      <c r="I5" s="9">
        <f t="shared" si="2"/>
        <v>19750</v>
      </c>
      <c r="J5" t="s">
        <v>12</v>
      </c>
      <c r="K5" s="7">
        <f>AVERAGEIF(B2:B446,"&lt;=1000000",G2:G446)</f>
        <v>0.24158165298404485</v>
      </c>
      <c r="L5" s="9">
        <f t="shared" si="3"/>
        <v>66750</v>
      </c>
      <c r="M5" s="9">
        <f t="shared" si="4"/>
        <v>73351.648351648357</v>
      </c>
      <c r="N5" s="11">
        <f t="shared" si="5"/>
        <v>19750</v>
      </c>
      <c r="O5" s="12">
        <f t="shared" si="6"/>
        <v>0.26925093632958802</v>
      </c>
      <c r="P5" s="9">
        <f t="shared" si="7"/>
        <v>79464.28571428571</v>
      </c>
      <c r="Q5" s="11">
        <f t="shared" si="8"/>
        <v>19750</v>
      </c>
      <c r="R5" s="12">
        <f t="shared" si="9"/>
        <v>0.24853932584269664</v>
      </c>
    </row>
    <row r="6" spans="1:18" x14ac:dyDescent="0.3">
      <c r="A6" s="1">
        <v>40001</v>
      </c>
      <c r="B6" s="1">
        <v>50000</v>
      </c>
      <c r="C6">
        <v>7000</v>
      </c>
      <c r="D6" s="14">
        <v>0.03</v>
      </c>
      <c r="E6">
        <v>0</v>
      </c>
      <c r="F6">
        <v>0</v>
      </c>
      <c r="G6" s="2">
        <f t="shared" si="0"/>
        <v>0.35</v>
      </c>
      <c r="H6" s="9">
        <f t="shared" si="1"/>
        <v>6000</v>
      </c>
      <c r="I6" s="9">
        <f t="shared" si="2"/>
        <v>23500</v>
      </c>
      <c r="J6" t="s">
        <v>13</v>
      </c>
      <c r="K6" s="7">
        <f>AVERAGE(G2:G446)</f>
        <v>0.19059470467163997</v>
      </c>
      <c r="L6" s="9">
        <f t="shared" si="3"/>
        <v>80500</v>
      </c>
      <c r="M6" s="9">
        <f t="shared" si="4"/>
        <v>88461.538461538468</v>
      </c>
      <c r="N6" s="11">
        <f t="shared" si="5"/>
        <v>23500</v>
      </c>
      <c r="O6" s="12">
        <f t="shared" si="6"/>
        <v>0.26565217391304347</v>
      </c>
      <c r="P6" s="9">
        <f t="shared" si="7"/>
        <v>95833.333333333343</v>
      </c>
      <c r="Q6" s="11">
        <f t="shared" si="8"/>
        <v>23500</v>
      </c>
      <c r="R6" s="12">
        <f t="shared" si="9"/>
        <v>0.2452173913043478</v>
      </c>
    </row>
    <row r="7" spans="1:18" x14ac:dyDescent="0.3">
      <c r="A7" s="1">
        <v>50001</v>
      </c>
      <c r="B7" s="1">
        <v>60000</v>
      </c>
      <c r="C7">
        <v>7000</v>
      </c>
      <c r="D7" s="14">
        <v>0.03</v>
      </c>
      <c r="E7">
        <v>0</v>
      </c>
      <c r="F7">
        <v>0</v>
      </c>
      <c r="G7" s="2">
        <f t="shared" si="0"/>
        <v>0.35</v>
      </c>
      <c r="H7" s="9">
        <f t="shared" si="1"/>
        <v>6250</v>
      </c>
      <c r="I7" s="9">
        <f t="shared" si="2"/>
        <v>27250</v>
      </c>
      <c r="L7" s="9">
        <f t="shared" si="3"/>
        <v>94250</v>
      </c>
      <c r="M7" s="9">
        <f t="shared" si="4"/>
        <v>103571.42857142858</v>
      </c>
      <c r="N7" s="11">
        <f t="shared" si="5"/>
        <v>27250</v>
      </c>
      <c r="O7" s="12">
        <f t="shared" si="6"/>
        <v>0.26310344827586207</v>
      </c>
      <c r="P7" s="9">
        <f t="shared" si="7"/>
        <v>112202.38095238096</v>
      </c>
      <c r="Q7" s="11">
        <f t="shared" si="8"/>
        <v>27250</v>
      </c>
      <c r="R7" s="12">
        <f t="shared" si="9"/>
        <v>0.24286472148541113</v>
      </c>
    </row>
    <row r="8" spans="1:18" x14ac:dyDescent="0.3">
      <c r="A8" s="1">
        <v>60001</v>
      </c>
      <c r="B8" s="1">
        <v>70000</v>
      </c>
      <c r="C8">
        <v>7000</v>
      </c>
      <c r="D8" s="14">
        <v>0.03</v>
      </c>
      <c r="E8">
        <v>0</v>
      </c>
      <c r="F8">
        <v>0</v>
      </c>
      <c r="G8" s="2">
        <f t="shared" si="0"/>
        <v>0.35</v>
      </c>
      <c r="H8" s="9">
        <f t="shared" si="1"/>
        <v>6500</v>
      </c>
      <c r="I8" s="9">
        <f t="shared" si="2"/>
        <v>31000</v>
      </c>
      <c r="J8" s="4" t="s">
        <v>14</v>
      </c>
      <c r="L8" s="9">
        <f t="shared" si="3"/>
        <v>108000</v>
      </c>
      <c r="M8" s="9">
        <f t="shared" si="4"/>
        <v>118681.31868131869</v>
      </c>
      <c r="N8" s="11">
        <f t="shared" si="5"/>
        <v>31000</v>
      </c>
      <c r="O8" s="12">
        <f t="shared" si="6"/>
        <v>0.26120370370370366</v>
      </c>
      <c r="P8" s="9">
        <f t="shared" si="7"/>
        <v>128571.42857142858</v>
      </c>
      <c r="Q8" s="11">
        <f t="shared" si="8"/>
        <v>31000</v>
      </c>
      <c r="R8" s="12">
        <f t="shared" si="9"/>
        <v>0.24111111111111111</v>
      </c>
    </row>
    <row r="9" spans="1:18" x14ac:dyDescent="0.3">
      <c r="A9" s="1">
        <v>70001</v>
      </c>
      <c r="B9" s="1">
        <v>80000</v>
      </c>
      <c r="C9">
        <v>7000</v>
      </c>
      <c r="D9" s="14">
        <v>0.03</v>
      </c>
      <c r="E9">
        <v>0</v>
      </c>
      <c r="F9">
        <v>0</v>
      </c>
      <c r="G9" s="2">
        <f t="shared" si="0"/>
        <v>0.34250000000000003</v>
      </c>
      <c r="H9" s="9">
        <f t="shared" si="1"/>
        <v>6750</v>
      </c>
      <c r="I9" s="9">
        <f t="shared" si="2"/>
        <v>34150</v>
      </c>
      <c r="J9" t="s">
        <v>15</v>
      </c>
      <c r="K9" s="6">
        <v>5000</v>
      </c>
      <c r="L9" s="9">
        <f t="shared" si="3"/>
        <v>121150</v>
      </c>
      <c r="M9" s="9">
        <f t="shared" si="4"/>
        <v>133131.86813186813</v>
      </c>
      <c r="N9" s="11">
        <f t="shared" si="5"/>
        <v>34149.999999999985</v>
      </c>
      <c r="O9" s="12">
        <f t="shared" si="6"/>
        <v>0.25651258770119673</v>
      </c>
      <c r="P9" s="9">
        <f t="shared" si="7"/>
        <v>144226.19047619047</v>
      </c>
      <c r="Q9" s="11">
        <f t="shared" si="8"/>
        <v>34150</v>
      </c>
      <c r="R9" s="12">
        <f t="shared" si="9"/>
        <v>0.23678085018572018</v>
      </c>
    </row>
    <row r="10" spans="1:18" x14ac:dyDescent="0.3">
      <c r="A10" s="1">
        <v>80001</v>
      </c>
      <c r="B10" s="1">
        <v>90000</v>
      </c>
      <c r="C10">
        <v>7000</v>
      </c>
      <c r="D10" s="14">
        <v>0.03</v>
      </c>
      <c r="E10">
        <v>0</v>
      </c>
      <c r="F10">
        <v>0</v>
      </c>
      <c r="G10" s="2">
        <f t="shared" si="0"/>
        <v>0.32444444444444442</v>
      </c>
      <c r="H10" s="9">
        <f t="shared" si="1"/>
        <v>7000</v>
      </c>
      <c r="I10" s="9">
        <f t="shared" si="2"/>
        <v>36200</v>
      </c>
      <c r="J10" t="s">
        <v>16</v>
      </c>
      <c r="K10" s="8">
        <v>2.5000000000000001E-2</v>
      </c>
      <c r="L10" s="9">
        <f t="shared" si="3"/>
        <v>133200</v>
      </c>
      <c r="M10" s="9">
        <f t="shared" si="4"/>
        <v>146373.62637362638</v>
      </c>
      <c r="N10" s="11">
        <f t="shared" si="5"/>
        <v>36200</v>
      </c>
      <c r="O10" s="12">
        <f t="shared" si="6"/>
        <v>0.24731231231231229</v>
      </c>
      <c r="P10" s="9">
        <f t="shared" si="7"/>
        <v>158571.42857142858</v>
      </c>
      <c r="Q10" s="11">
        <f t="shared" si="8"/>
        <v>36200</v>
      </c>
      <c r="R10" s="12">
        <f t="shared" si="9"/>
        <v>0.22828828828828829</v>
      </c>
    </row>
    <row r="11" spans="1:18" x14ac:dyDescent="0.3">
      <c r="A11" s="1">
        <v>90001</v>
      </c>
      <c r="B11" s="1">
        <v>100000</v>
      </c>
      <c r="C11">
        <v>7000</v>
      </c>
      <c r="D11" s="14">
        <v>0.03</v>
      </c>
      <c r="E11">
        <v>0</v>
      </c>
      <c r="F11">
        <v>0</v>
      </c>
      <c r="G11" s="2">
        <f t="shared" si="0"/>
        <v>0.31</v>
      </c>
      <c r="H11" s="9">
        <f t="shared" si="1"/>
        <v>7250</v>
      </c>
      <c r="I11" s="9">
        <f t="shared" si="2"/>
        <v>38250</v>
      </c>
      <c r="J11" t="s">
        <v>17</v>
      </c>
      <c r="K11" s="6">
        <v>30000</v>
      </c>
      <c r="L11" s="9">
        <f t="shared" si="3"/>
        <v>145250</v>
      </c>
      <c r="M11" s="9">
        <f t="shared" si="4"/>
        <v>159615.38461538462</v>
      </c>
      <c r="N11" s="11">
        <f t="shared" si="5"/>
        <v>38250</v>
      </c>
      <c r="O11" s="12">
        <f t="shared" si="6"/>
        <v>0.23963855421686744</v>
      </c>
      <c r="P11" s="9">
        <f t="shared" si="7"/>
        <v>172916.66666666669</v>
      </c>
      <c r="Q11" s="11">
        <f t="shared" si="8"/>
        <v>38250</v>
      </c>
      <c r="R11" s="12">
        <f t="shared" si="9"/>
        <v>0.22120481927710842</v>
      </c>
    </row>
    <row r="12" spans="1:18" x14ac:dyDescent="0.3">
      <c r="A12" s="1">
        <v>100001</v>
      </c>
      <c r="B12" s="1">
        <v>110000</v>
      </c>
      <c r="C12">
        <v>7000</v>
      </c>
      <c r="D12" s="14">
        <v>0.03</v>
      </c>
      <c r="E12">
        <v>0</v>
      </c>
      <c r="F12">
        <v>0</v>
      </c>
      <c r="G12" s="2">
        <f t="shared" si="0"/>
        <v>0.29818181818181816</v>
      </c>
      <c r="H12" s="9">
        <f t="shared" si="1"/>
        <v>7500</v>
      </c>
      <c r="I12" s="9">
        <f t="shared" si="2"/>
        <v>40300</v>
      </c>
      <c r="L12" s="9">
        <f t="shared" si="3"/>
        <v>157300</v>
      </c>
      <c r="M12" s="9">
        <f t="shared" si="4"/>
        <v>172857.14285714287</v>
      </c>
      <c r="N12" s="11">
        <f t="shared" si="5"/>
        <v>40300</v>
      </c>
      <c r="O12" s="12">
        <f t="shared" si="6"/>
        <v>0.23314049586776858</v>
      </c>
      <c r="P12" s="9">
        <f t="shared" si="7"/>
        <v>187261.90476190476</v>
      </c>
      <c r="Q12" s="11">
        <f t="shared" si="8"/>
        <v>40300</v>
      </c>
      <c r="R12" s="12">
        <f t="shared" si="9"/>
        <v>0.21520661157024792</v>
      </c>
    </row>
    <row r="13" spans="1:18" x14ac:dyDescent="0.3">
      <c r="A13" s="1">
        <v>110001</v>
      </c>
      <c r="B13" s="1">
        <v>120000</v>
      </c>
      <c r="C13">
        <v>7000</v>
      </c>
      <c r="D13" s="14">
        <v>0.03</v>
      </c>
      <c r="E13">
        <v>0</v>
      </c>
      <c r="F13">
        <v>0</v>
      </c>
      <c r="G13" s="2">
        <f t="shared" si="0"/>
        <v>0.28833333333333333</v>
      </c>
      <c r="H13" s="9">
        <f t="shared" si="1"/>
        <v>7750</v>
      </c>
      <c r="I13" s="9">
        <f t="shared" si="2"/>
        <v>42350</v>
      </c>
      <c r="J13" s="4" t="s">
        <v>19</v>
      </c>
      <c r="L13" s="9">
        <f t="shared" si="3"/>
        <v>169350</v>
      </c>
      <c r="M13" s="9">
        <f t="shared" si="4"/>
        <v>186098.90109890111</v>
      </c>
      <c r="N13" s="11">
        <f t="shared" si="5"/>
        <v>42350</v>
      </c>
      <c r="O13" s="12">
        <f t="shared" si="6"/>
        <v>0.22756716858576909</v>
      </c>
      <c r="P13" s="9">
        <f t="shared" si="7"/>
        <v>201607.14285714287</v>
      </c>
      <c r="Q13" s="11">
        <f t="shared" si="8"/>
        <v>42350</v>
      </c>
      <c r="R13" s="12">
        <f t="shared" si="9"/>
        <v>0.21006200177147918</v>
      </c>
    </row>
    <row r="14" spans="1:18" x14ac:dyDescent="0.3">
      <c r="A14" s="1">
        <v>120001</v>
      </c>
      <c r="B14" s="1">
        <v>130000</v>
      </c>
      <c r="C14">
        <v>7000</v>
      </c>
      <c r="D14" s="14">
        <v>0.03</v>
      </c>
      <c r="E14">
        <v>0</v>
      </c>
      <c r="F14">
        <v>0</v>
      </c>
      <c r="G14" s="2">
        <f t="shared" si="0"/>
        <v>0.28000000000000003</v>
      </c>
      <c r="H14" s="9">
        <f t="shared" si="1"/>
        <v>8000</v>
      </c>
      <c r="I14" s="9">
        <f t="shared" si="2"/>
        <v>44400</v>
      </c>
      <c r="J14" t="s">
        <v>20</v>
      </c>
      <c r="K14" s="5">
        <v>0.06</v>
      </c>
      <c r="L14" s="9">
        <f t="shared" si="3"/>
        <v>181400</v>
      </c>
      <c r="M14" s="9">
        <f t="shared" si="4"/>
        <v>199340.65934065936</v>
      </c>
      <c r="N14" s="11">
        <f t="shared" si="5"/>
        <v>44400</v>
      </c>
      <c r="O14" s="12">
        <f t="shared" si="6"/>
        <v>0.22273428886438806</v>
      </c>
      <c r="P14" s="9">
        <f t="shared" si="7"/>
        <v>215952.38095238095</v>
      </c>
      <c r="Q14" s="11">
        <f t="shared" si="8"/>
        <v>44400</v>
      </c>
      <c r="R14" s="12">
        <f t="shared" si="9"/>
        <v>0.20560088202866594</v>
      </c>
    </row>
    <row r="15" spans="1:18" x14ac:dyDescent="0.3">
      <c r="A15" s="1">
        <v>130001</v>
      </c>
      <c r="B15" s="1">
        <v>140000</v>
      </c>
      <c r="C15">
        <v>7000</v>
      </c>
      <c r="D15" s="14">
        <v>0.03</v>
      </c>
      <c r="E15">
        <v>0</v>
      </c>
      <c r="F15">
        <v>0</v>
      </c>
      <c r="G15" s="2">
        <f t="shared" si="0"/>
        <v>0.27285714285714285</v>
      </c>
      <c r="H15" s="9">
        <f t="shared" si="1"/>
        <v>8250</v>
      </c>
      <c r="I15" s="9">
        <f t="shared" si="2"/>
        <v>46450</v>
      </c>
      <c r="J15" t="s">
        <v>21</v>
      </c>
      <c r="K15" s="5">
        <v>0.13</v>
      </c>
      <c r="L15" s="9">
        <f t="shared" si="3"/>
        <v>193450</v>
      </c>
      <c r="M15" s="9">
        <f t="shared" si="4"/>
        <v>212582.41758241761</v>
      </c>
      <c r="N15" s="11">
        <f t="shared" si="5"/>
        <v>46450</v>
      </c>
      <c r="O15" s="12">
        <f t="shared" si="6"/>
        <v>0.2185034892737141</v>
      </c>
      <c r="P15" s="9">
        <f t="shared" si="7"/>
        <v>230297.61904761905</v>
      </c>
      <c r="Q15" s="11">
        <f t="shared" si="8"/>
        <v>46450</v>
      </c>
      <c r="R15" s="12">
        <f t="shared" si="9"/>
        <v>0.2016955285603515</v>
      </c>
    </row>
    <row r="16" spans="1:18" x14ac:dyDescent="0.3">
      <c r="A16" s="1">
        <v>140001</v>
      </c>
      <c r="B16" s="1">
        <v>150000</v>
      </c>
      <c r="C16">
        <v>7000</v>
      </c>
      <c r="D16" s="14">
        <v>0.03</v>
      </c>
      <c r="E16">
        <v>0</v>
      </c>
      <c r="F16">
        <v>0</v>
      </c>
      <c r="G16" s="2">
        <f t="shared" si="0"/>
        <v>0.26666666666666666</v>
      </c>
      <c r="H16" s="9">
        <f t="shared" si="1"/>
        <v>8500</v>
      </c>
      <c r="I16" s="9">
        <f t="shared" si="2"/>
        <v>48500</v>
      </c>
      <c r="L16" s="9">
        <f t="shared" si="3"/>
        <v>205500</v>
      </c>
      <c r="M16" s="9">
        <f t="shared" si="4"/>
        <v>225824.17582417585</v>
      </c>
      <c r="N16" s="11">
        <f t="shared" si="5"/>
        <v>48500</v>
      </c>
      <c r="O16" s="12">
        <f t="shared" si="6"/>
        <v>0.21476885644768853</v>
      </c>
      <c r="P16" s="9">
        <f t="shared" si="7"/>
        <v>244642.85714285716</v>
      </c>
      <c r="Q16" s="11">
        <f t="shared" si="8"/>
        <v>48500</v>
      </c>
      <c r="R16" s="12">
        <f t="shared" si="9"/>
        <v>0.19824817518248175</v>
      </c>
    </row>
    <row r="17" spans="1:18" x14ac:dyDescent="0.3">
      <c r="A17" s="1">
        <v>150001</v>
      </c>
      <c r="B17" s="1">
        <v>160000</v>
      </c>
      <c r="C17">
        <v>7000</v>
      </c>
      <c r="D17" s="14">
        <v>0.03</v>
      </c>
      <c r="E17">
        <v>0</v>
      </c>
      <c r="F17">
        <v>0</v>
      </c>
      <c r="G17" s="2">
        <f t="shared" si="0"/>
        <v>0.26124999999999998</v>
      </c>
      <c r="H17" s="9">
        <f t="shared" si="1"/>
        <v>8750</v>
      </c>
      <c r="I17" s="9">
        <f t="shared" si="2"/>
        <v>50550</v>
      </c>
      <c r="L17" s="9">
        <f t="shared" si="3"/>
        <v>217550</v>
      </c>
      <c r="M17" s="9">
        <f t="shared" si="4"/>
        <v>239065.9340659341</v>
      </c>
      <c r="N17" s="11">
        <f t="shared" si="5"/>
        <v>50550</v>
      </c>
      <c r="O17" s="12">
        <f t="shared" si="6"/>
        <v>0.2114479430016088</v>
      </c>
      <c r="P17" s="9">
        <f t="shared" si="7"/>
        <v>258988.09523809524</v>
      </c>
      <c r="Q17" s="11">
        <f t="shared" si="8"/>
        <v>50550</v>
      </c>
      <c r="R17" s="12">
        <f t="shared" si="9"/>
        <v>0.19518271661686967</v>
      </c>
    </row>
    <row r="18" spans="1:18" x14ac:dyDescent="0.3">
      <c r="A18" s="1">
        <v>160001</v>
      </c>
      <c r="B18" s="1">
        <v>170000</v>
      </c>
      <c r="C18">
        <v>7000</v>
      </c>
      <c r="D18" s="14">
        <v>0.03</v>
      </c>
      <c r="E18">
        <v>0</v>
      </c>
      <c r="F18">
        <v>0</v>
      </c>
      <c r="G18" s="2">
        <f t="shared" si="0"/>
        <v>0.25647058823529412</v>
      </c>
      <c r="H18" s="9">
        <f t="shared" si="1"/>
        <v>9000</v>
      </c>
      <c r="I18" s="9">
        <f t="shared" si="2"/>
        <v>52600</v>
      </c>
      <c r="L18" s="9">
        <f t="shared" si="3"/>
        <v>229600</v>
      </c>
      <c r="M18" s="9">
        <f t="shared" si="4"/>
        <v>252307.69230769234</v>
      </c>
      <c r="N18" s="11">
        <f t="shared" si="5"/>
        <v>52600</v>
      </c>
      <c r="O18" s="12">
        <f t="shared" si="6"/>
        <v>0.20847560975609752</v>
      </c>
      <c r="P18" s="9">
        <f t="shared" si="7"/>
        <v>273333.33333333337</v>
      </c>
      <c r="Q18" s="11">
        <f t="shared" si="8"/>
        <v>52600.000000000029</v>
      </c>
      <c r="R18" s="12">
        <f t="shared" si="9"/>
        <v>0.19243902439024399</v>
      </c>
    </row>
    <row r="19" spans="1:18" x14ac:dyDescent="0.3">
      <c r="A19" s="1">
        <v>170001</v>
      </c>
      <c r="B19" s="1">
        <v>180000</v>
      </c>
      <c r="C19">
        <v>7000</v>
      </c>
      <c r="D19" s="14">
        <v>0.03</v>
      </c>
      <c r="E19">
        <v>0</v>
      </c>
      <c r="F19">
        <v>0</v>
      </c>
      <c r="G19" s="2">
        <f t="shared" si="0"/>
        <v>0.25222222222222224</v>
      </c>
      <c r="H19" s="9">
        <f t="shared" si="1"/>
        <v>9250</v>
      </c>
      <c r="I19" s="9">
        <f t="shared" si="2"/>
        <v>54650</v>
      </c>
      <c r="L19" s="9">
        <f t="shared" si="3"/>
        <v>241650</v>
      </c>
      <c r="M19" s="9">
        <f t="shared" si="4"/>
        <v>265549.45054945059</v>
      </c>
      <c r="N19" s="11">
        <f t="shared" si="5"/>
        <v>54650</v>
      </c>
      <c r="O19" s="12">
        <f t="shared" si="6"/>
        <v>0.20579971032484995</v>
      </c>
      <c r="P19" s="9">
        <f t="shared" si="7"/>
        <v>287678.57142857142</v>
      </c>
      <c r="Q19" s="11">
        <f t="shared" si="8"/>
        <v>54649.999999999971</v>
      </c>
      <c r="R19" s="12">
        <f t="shared" si="9"/>
        <v>0.18996896337678451</v>
      </c>
    </row>
    <row r="20" spans="1:18" x14ac:dyDescent="0.3">
      <c r="A20" s="1">
        <v>180001</v>
      </c>
      <c r="B20" s="1">
        <v>190000</v>
      </c>
      <c r="C20">
        <v>7000</v>
      </c>
      <c r="D20" s="14">
        <v>0.03</v>
      </c>
      <c r="E20">
        <v>0</v>
      </c>
      <c r="F20">
        <v>0</v>
      </c>
      <c r="G20" s="2">
        <f t="shared" si="0"/>
        <v>0.24842105263157893</v>
      </c>
      <c r="H20" s="9">
        <f t="shared" si="1"/>
        <v>9500</v>
      </c>
      <c r="I20" s="9">
        <f t="shared" si="2"/>
        <v>56700</v>
      </c>
      <c r="L20" s="9">
        <f t="shared" si="3"/>
        <v>253700</v>
      </c>
      <c r="M20" s="9">
        <f t="shared" si="4"/>
        <v>278791.2087912088</v>
      </c>
      <c r="N20" s="11">
        <f t="shared" si="5"/>
        <v>56700</v>
      </c>
      <c r="O20" s="12">
        <f t="shared" si="6"/>
        <v>0.20337800551832871</v>
      </c>
      <c r="P20" s="9">
        <f t="shared" si="7"/>
        <v>302023.80952380953</v>
      </c>
      <c r="Q20" s="11">
        <f t="shared" si="8"/>
        <v>56700</v>
      </c>
      <c r="R20" s="12">
        <f t="shared" si="9"/>
        <v>0.18773354355538036</v>
      </c>
    </row>
    <row r="21" spans="1:18" x14ac:dyDescent="0.3">
      <c r="A21" s="1">
        <v>190001</v>
      </c>
      <c r="B21" s="1">
        <v>200000</v>
      </c>
      <c r="C21">
        <v>7000</v>
      </c>
      <c r="D21" s="14">
        <v>0.03</v>
      </c>
      <c r="E21">
        <v>0</v>
      </c>
      <c r="F21">
        <v>0</v>
      </c>
      <c r="G21" s="2">
        <f t="shared" si="0"/>
        <v>0.245</v>
      </c>
      <c r="H21" s="9">
        <f t="shared" si="1"/>
        <v>9750</v>
      </c>
      <c r="I21" s="9">
        <f t="shared" si="2"/>
        <v>58750</v>
      </c>
      <c r="L21" s="9">
        <f t="shared" si="3"/>
        <v>265750</v>
      </c>
      <c r="M21" s="9">
        <f t="shared" si="4"/>
        <v>292032.96703296708</v>
      </c>
      <c r="N21" s="11">
        <f t="shared" si="5"/>
        <v>58750</v>
      </c>
      <c r="O21" s="12">
        <f t="shared" si="6"/>
        <v>0.20117591721542799</v>
      </c>
      <c r="P21" s="9">
        <f t="shared" si="7"/>
        <v>316369.04761904763</v>
      </c>
      <c r="Q21" s="11">
        <f t="shared" si="8"/>
        <v>58750</v>
      </c>
      <c r="R21" s="12">
        <f t="shared" si="9"/>
        <v>0.1857008466603951</v>
      </c>
    </row>
    <row r="22" spans="1:18" x14ac:dyDescent="0.3">
      <c r="A22" s="1">
        <v>200001</v>
      </c>
      <c r="B22" s="1">
        <v>210000</v>
      </c>
      <c r="C22">
        <v>7000</v>
      </c>
      <c r="D22" s="14">
        <v>0.03</v>
      </c>
      <c r="E22">
        <v>0</v>
      </c>
      <c r="F22">
        <v>0</v>
      </c>
      <c r="G22" s="2">
        <f t="shared" si="0"/>
        <v>0.2419047619047619</v>
      </c>
      <c r="H22" s="9">
        <f t="shared" si="1"/>
        <v>10000</v>
      </c>
      <c r="I22" s="9">
        <f t="shared" si="2"/>
        <v>60800</v>
      </c>
      <c r="L22" s="9">
        <f t="shared" si="3"/>
        <v>277800</v>
      </c>
      <c r="M22" s="9">
        <f t="shared" si="4"/>
        <v>305274.72527472529</v>
      </c>
      <c r="N22" s="11">
        <f t="shared" si="5"/>
        <v>60800</v>
      </c>
      <c r="O22" s="12">
        <f t="shared" si="6"/>
        <v>0.19916486681065512</v>
      </c>
      <c r="P22" s="9">
        <f t="shared" si="7"/>
        <v>330714.28571428574</v>
      </c>
      <c r="Q22" s="11">
        <f t="shared" si="8"/>
        <v>60800</v>
      </c>
      <c r="R22" s="12">
        <f t="shared" si="9"/>
        <v>0.18384449244060475</v>
      </c>
    </row>
    <row r="23" spans="1:18" x14ac:dyDescent="0.3">
      <c r="A23" s="1">
        <v>210001</v>
      </c>
      <c r="B23" s="1">
        <v>220000</v>
      </c>
      <c r="C23">
        <v>7000</v>
      </c>
      <c r="D23" s="14">
        <v>0.03</v>
      </c>
      <c r="E23">
        <v>0</v>
      </c>
      <c r="F23">
        <v>0</v>
      </c>
      <c r="G23" s="2">
        <f t="shared" si="0"/>
        <v>0.23909090909090908</v>
      </c>
      <c r="H23" s="9">
        <f t="shared" si="1"/>
        <v>10250</v>
      </c>
      <c r="I23" s="9">
        <f t="shared" si="2"/>
        <v>62850</v>
      </c>
      <c r="L23" s="9">
        <f t="shared" si="3"/>
        <v>289850</v>
      </c>
      <c r="M23" s="9">
        <f t="shared" si="4"/>
        <v>318516.48351648357</v>
      </c>
      <c r="N23" s="11">
        <f t="shared" si="5"/>
        <v>62850</v>
      </c>
      <c r="O23" s="12">
        <f t="shared" si="6"/>
        <v>0.19732102811799204</v>
      </c>
      <c r="P23" s="9">
        <f t="shared" si="7"/>
        <v>345059.52380952385</v>
      </c>
      <c r="Q23" s="11">
        <f t="shared" si="8"/>
        <v>62850</v>
      </c>
      <c r="R23" s="12">
        <f t="shared" si="9"/>
        <v>0.18214248749353112</v>
      </c>
    </row>
    <row r="24" spans="1:18" x14ac:dyDescent="0.3">
      <c r="A24" s="1">
        <v>220001</v>
      </c>
      <c r="B24" s="1">
        <v>230000</v>
      </c>
      <c r="C24">
        <v>7000</v>
      </c>
      <c r="D24" s="14">
        <v>0.03</v>
      </c>
      <c r="E24" s="3">
        <f t="shared" ref="E24:E31" si="10">B24*13%</f>
        <v>29900</v>
      </c>
      <c r="F24" s="3">
        <f t="shared" ref="F24:F31" si="11">(B24+E24)*10%</f>
        <v>25990</v>
      </c>
      <c r="G24" s="2">
        <f t="shared" si="0"/>
        <v>0.23652173913043478</v>
      </c>
      <c r="H24" s="9">
        <f t="shared" si="1"/>
        <v>10500</v>
      </c>
      <c r="I24" s="9">
        <f t="shared" si="2"/>
        <v>64900</v>
      </c>
      <c r="L24" s="9">
        <f t="shared" si="3"/>
        <v>357790</v>
      </c>
      <c r="M24" s="9">
        <f t="shared" si="4"/>
        <v>393175.82417582424</v>
      </c>
      <c r="N24" s="11">
        <f t="shared" si="5"/>
        <v>64900</v>
      </c>
      <c r="O24" s="12">
        <f t="shared" si="6"/>
        <v>0.16506610022638976</v>
      </c>
      <c r="P24" s="9">
        <f t="shared" si="7"/>
        <v>425940.47619047621</v>
      </c>
      <c r="Q24" s="11">
        <f t="shared" si="8"/>
        <v>64900</v>
      </c>
      <c r="R24" s="12">
        <f t="shared" si="9"/>
        <v>0.15236870790128287</v>
      </c>
    </row>
    <row r="25" spans="1:18" x14ac:dyDescent="0.3">
      <c r="A25" s="1">
        <v>230001</v>
      </c>
      <c r="B25" s="1">
        <v>240000</v>
      </c>
      <c r="C25">
        <v>7000</v>
      </c>
      <c r="D25" s="14">
        <v>0.03</v>
      </c>
      <c r="E25" s="3">
        <f t="shared" si="10"/>
        <v>31200</v>
      </c>
      <c r="F25" s="3">
        <f t="shared" si="11"/>
        <v>27120</v>
      </c>
      <c r="G25" s="2">
        <f t="shared" si="0"/>
        <v>0.23416666666666666</v>
      </c>
      <c r="H25" s="9">
        <f t="shared" si="1"/>
        <v>10750</v>
      </c>
      <c r="I25" s="9">
        <f t="shared" si="2"/>
        <v>66950</v>
      </c>
      <c r="L25" s="9">
        <f t="shared" si="3"/>
        <v>372270</v>
      </c>
      <c r="M25" s="9">
        <f t="shared" si="4"/>
        <v>409087.91208791215</v>
      </c>
      <c r="N25" s="11">
        <f t="shared" si="5"/>
        <v>66950</v>
      </c>
      <c r="O25" s="12">
        <f t="shared" si="6"/>
        <v>0.16365675450613801</v>
      </c>
      <c r="P25" s="9">
        <f t="shared" si="7"/>
        <v>443178.57142857142</v>
      </c>
      <c r="Q25" s="11">
        <f t="shared" si="8"/>
        <v>66950</v>
      </c>
      <c r="R25" s="12">
        <f t="shared" si="9"/>
        <v>0.15106777339028124</v>
      </c>
    </row>
    <row r="26" spans="1:18" x14ac:dyDescent="0.3">
      <c r="A26" s="1">
        <v>240001</v>
      </c>
      <c r="B26" s="1">
        <v>250000</v>
      </c>
      <c r="C26">
        <v>7000</v>
      </c>
      <c r="D26" s="14">
        <v>0.03</v>
      </c>
      <c r="E26" s="3">
        <f t="shared" si="10"/>
        <v>32500</v>
      </c>
      <c r="F26" s="3">
        <f t="shared" si="11"/>
        <v>28250</v>
      </c>
      <c r="G26" s="2">
        <f t="shared" si="0"/>
        <v>0.23199999999999998</v>
      </c>
      <c r="H26" s="9">
        <f t="shared" si="1"/>
        <v>11000</v>
      </c>
      <c r="I26" s="9">
        <f t="shared" si="2"/>
        <v>69000</v>
      </c>
      <c r="L26" s="9">
        <f t="shared" si="3"/>
        <v>386750</v>
      </c>
      <c r="M26" s="9">
        <f t="shared" si="4"/>
        <v>425000.00000000006</v>
      </c>
      <c r="N26" s="11">
        <f t="shared" si="5"/>
        <v>69000</v>
      </c>
      <c r="O26" s="12">
        <f t="shared" si="6"/>
        <v>0.16235294117647056</v>
      </c>
      <c r="P26" s="9">
        <f t="shared" si="7"/>
        <v>460416.66666666669</v>
      </c>
      <c r="Q26" s="11">
        <f t="shared" si="8"/>
        <v>69000</v>
      </c>
      <c r="R26" s="12">
        <f t="shared" si="9"/>
        <v>0.14986425339366516</v>
      </c>
    </row>
    <row r="27" spans="1:18" x14ac:dyDescent="0.3">
      <c r="A27" s="1">
        <v>250001</v>
      </c>
      <c r="B27" s="1">
        <v>260000</v>
      </c>
      <c r="C27">
        <v>7000</v>
      </c>
      <c r="D27" s="14">
        <v>0.03</v>
      </c>
      <c r="E27" s="3">
        <f t="shared" si="10"/>
        <v>33800</v>
      </c>
      <c r="F27" s="3">
        <f t="shared" si="11"/>
        <v>29380</v>
      </c>
      <c r="G27" s="2">
        <f t="shared" si="0"/>
        <v>0.22999999999999998</v>
      </c>
      <c r="H27" s="9">
        <f t="shared" si="1"/>
        <v>11250</v>
      </c>
      <c r="I27" s="9">
        <f t="shared" si="2"/>
        <v>71050</v>
      </c>
      <c r="L27" s="9">
        <f t="shared" si="3"/>
        <v>401230</v>
      </c>
      <c r="M27" s="9">
        <f t="shared" si="4"/>
        <v>440912.08791208797</v>
      </c>
      <c r="N27" s="11">
        <f t="shared" si="5"/>
        <v>71050</v>
      </c>
      <c r="O27" s="12">
        <f t="shared" si="6"/>
        <v>0.16114323455374721</v>
      </c>
      <c r="P27" s="9">
        <f t="shared" si="7"/>
        <v>477654.76190476189</v>
      </c>
      <c r="Q27" s="11">
        <f t="shared" si="8"/>
        <v>71050</v>
      </c>
      <c r="R27" s="12">
        <f t="shared" si="9"/>
        <v>0.1487476011265359</v>
      </c>
    </row>
    <row r="28" spans="1:18" x14ac:dyDescent="0.3">
      <c r="A28" s="1">
        <v>260001</v>
      </c>
      <c r="B28" s="1">
        <v>270000</v>
      </c>
      <c r="C28">
        <v>7000</v>
      </c>
      <c r="D28" s="14">
        <v>0.03</v>
      </c>
      <c r="E28" s="3">
        <f t="shared" si="10"/>
        <v>35100</v>
      </c>
      <c r="F28" s="3">
        <f t="shared" si="11"/>
        <v>30510</v>
      </c>
      <c r="G28" s="2">
        <f t="shared" si="0"/>
        <v>0.22814814814814816</v>
      </c>
      <c r="H28" s="9">
        <f t="shared" si="1"/>
        <v>11500</v>
      </c>
      <c r="I28" s="9">
        <f t="shared" si="2"/>
        <v>73100</v>
      </c>
      <c r="L28" s="9">
        <f t="shared" si="3"/>
        <v>415710</v>
      </c>
      <c r="M28" s="9">
        <f t="shared" si="4"/>
        <v>456824.17582417588</v>
      </c>
      <c r="N28" s="11">
        <f t="shared" si="5"/>
        <v>73100</v>
      </c>
      <c r="O28" s="12">
        <f t="shared" si="6"/>
        <v>0.16001780087079934</v>
      </c>
      <c r="P28" s="9">
        <f t="shared" si="7"/>
        <v>494892.85714285716</v>
      </c>
      <c r="Q28" s="11">
        <f t="shared" si="8"/>
        <v>73100</v>
      </c>
      <c r="R28" s="12">
        <f t="shared" si="9"/>
        <v>0.14770873926535324</v>
      </c>
    </row>
    <row r="29" spans="1:18" x14ac:dyDescent="0.3">
      <c r="A29" s="1">
        <v>270001</v>
      </c>
      <c r="B29" s="1">
        <v>280000</v>
      </c>
      <c r="C29">
        <v>7000</v>
      </c>
      <c r="D29" s="14">
        <v>0.03</v>
      </c>
      <c r="E29" s="3">
        <f t="shared" si="10"/>
        <v>36400</v>
      </c>
      <c r="F29" s="3">
        <f t="shared" si="11"/>
        <v>31640</v>
      </c>
      <c r="G29" s="2">
        <f t="shared" si="0"/>
        <v>0.22642857142857142</v>
      </c>
      <c r="H29" s="9">
        <f t="shared" si="1"/>
        <v>11750</v>
      </c>
      <c r="I29" s="9">
        <f t="shared" si="2"/>
        <v>75150</v>
      </c>
      <c r="L29" s="9">
        <f t="shared" si="3"/>
        <v>430190</v>
      </c>
      <c r="M29" s="9">
        <f t="shared" si="4"/>
        <v>472736.26373626379</v>
      </c>
      <c r="N29" s="11">
        <f t="shared" si="5"/>
        <v>75150</v>
      </c>
      <c r="O29" s="12">
        <f t="shared" si="6"/>
        <v>0.15896813036100327</v>
      </c>
      <c r="P29" s="9">
        <f t="shared" si="7"/>
        <v>512130.95238095243</v>
      </c>
      <c r="Q29" s="11">
        <f t="shared" si="8"/>
        <v>75150</v>
      </c>
      <c r="R29" s="12">
        <f t="shared" si="9"/>
        <v>0.14673981264092609</v>
      </c>
    </row>
    <row r="30" spans="1:18" x14ac:dyDescent="0.3">
      <c r="A30" s="1">
        <v>280001</v>
      </c>
      <c r="B30" s="1">
        <v>290000</v>
      </c>
      <c r="C30">
        <v>7000</v>
      </c>
      <c r="D30" s="14">
        <v>0.03</v>
      </c>
      <c r="E30" s="3">
        <f t="shared" si="10"/>
        <v>37700</v>
      </c>
      <c r="F30" s="3">
        <f t="shared" si="11"/>
        <v>32770</v>
      </c>
      <c r="G30" s="2">
        <f t="shared" si="0"/>
        <v>0.22482758620689655</v>
      </c>
      <c r="H30" s="9">
        <f t="shared" si="1"/>
        <v>12000</v>
      </c>
      <c r="I30" s="9">
        <f t="shared" si="2"/>
        <v>77200</v>
      </c>
      <c r="L30" s="9">
        <f t="shared" si="3"/>
        <v>444670</v>
      </c>
      <c r="M30" s="9">
        <f t="shared" si="4"/>
        <v>488648.3516483517</v>
      </c>
      <c r="N30" s="11">
        <f t="shared" si="5"/>
        <v>77200</v>
      </c>
      <c r="O30" s="12">
        <f t="shared" si="6"/>
        <v>0.15798682168799333</v>
      </c>
      <c r="P30" s="9">
        <f t="shared" si="7"/>
        <v>529369.04761904769</v>
      </c>
      <c r="Q30" s="11">
        <f t="shared" si="8"/>
        <v>77200.000000000058</v>
      </c>
      <c r="R30" s="12">
        <f t="shared" si="9"/>
        <v>0.14583398925045549</v>
      </c>
    </row>
    <row r="31" spans="1:18" x14ac:dyDescent="0.3">
      <c r="A31" s="1">
        <v>290001</v>
      </c>
      <c r="B31" s="1">
        <v>300000</v>
      </c>
      <c r="C31">
        <v>7000</v>
      </c>
      <c r="D31" s="14">
        <v>0.03</v>
      </c>
      <c r="E31" s="3">
        <f t="shared" si="10"/>
        <v>39000</v>
      </c>
      <c r="F31" s="3">
        <f t="shared" si="11"/>
        <v>33900</v>
      </c>
      <c r="G31" s="2">
        <f t="shared" si="0"/>
        <v>0.22333333333333333</v>
      </c>
      <c r="H31" s="9">
        <f t="shared" si="1"/>
        <v>12250</v>
      </c>
      <c r="I31" s="9">
        <f t="shared" si="2"/>
        <v>79250</v>
      </c>
      <c r="L31" s="9">
        <f t="shared" si="3"/>
        <v>459150</v>
      </c>
      <c r="M31" s="9">
        <f t="shared" si="4"/>
        <v>504560.43956043961</v>
      </c>
      <c r="N31" s="11">
        <f t="shared" si="5"/>
        <v>79250</v>
      </c>
      <c r="O31" s="12">
        <f t="shared" si="6"/>
        <v>0.15706740716541434</v>
      </c>
      <c r="P31" s="9">
        <f t="shared" si="7"/>
        <v>546607.14285714284</v>
      </c>
      <c r="Q31" s="11">
        <f t="shared" si="8"/>
        <v>79249.999999999942</v>
      </c>
      <c r="R31" s="12">
        <f t="shared" si="9"/>
        <v>0.14498529892192083</v>
      </c>
    </row>
    <row r="32" spans="1:18" x14ac:dyDescent="0.3">
      <c r="A32" s="1">
        <v>300001</v>
      </c>
      <c r="B32" s="1">
        <v>310000</v>
      </c>
      <c r="C32">
        <v>7000</v>
      </c>
      <c r="D32" s="14">
        <v>0.03</v>
      </c>
      <c r="E32" s="3">
        <f>B32*13%</f>
        <v>40300</v>
      </c>
      <c r="F32" s="3">
        <f>(B32+E32)*10%</f>
        <v>35030</v>
      </c>
      <c r="G32" s="2">
        <f t="shared" si="0"/>
        <v>0.22193548387096773</v>
      </c>
      <c r="H32" s="9">
        <f t="shared" si="1"/>
        <v>12500</v>
      </c>
      <c r="I32" s="9">
        <f t="shared" si="2"/>
        <v>81300</v>
      </c>
      <c r="L32" s="9">
        <f t="shared" si="3"/>
        <v>473630</v>
      </c>
      <c r="M32" s="9">
        <f t="shared" si="4"/>
        <v>520472.52747252752</v>
      </c>
      <c r="N32" s="11">
        <f t="shared" si="5"/>
        <v>81300</v>
      </c>
      <c r="O32" s="12">
        <f t="shared" si="6"/>
        <v>0.15620421003737092</v>
      </c>
      <c r="P32" s="9">
        <f t="shared" si="7"/>
        <v>563845.23809523811</v>
      </c>
      <c r="Q32" s="11">
        <f t="shared" si="8"/>
        <v>81300</v>
      </c>
      <c r="R32" s="12">
        <f t="shared" si="9"/>
        <v>0.14418850157295779</v>
      </c>
    </row>
    <row r="33" spans="1:18" x14ac:dyDescent="0.3">
      <c r="A33" s="1">
        <v>310001</v>
      </c>
      <c r="B33" s="1">
        <v>320000</v>
      </c>
      <c r="C33">
        <v>7000</v>
      </c>
      <c r="D33" s="14">
        <v>0.03</v>
      </c>
      <c r="E33" s="3">
        <f t="shared" ref="E33:E96" si="12">B33*13%</f>
        <v>41600</v>
      </c>
      <c r="F33" s="3">
        <f t="shared" ref="F33:F96" si="13">(B33+E33)*10%</f>
        <v>36160</v>
      </c>
      <c r="G33" s="2">
        <f t="shared" si="0"/>
        <v>0.22062499999999999</v>
      </c>
      <c r="H33" s="9">
        <f t="shared" si="1"/>
        <v>12750</v>
      </c>
      <c r="I33" s="9">
        <f t="shared" si="2"/>
        <v>83350</v>
      </c>
      <c r="L33" s="9">
        <f t="shared" si="3"/>
        <v>488110</v>
      </c>
      <c r="M33" s="9">
        <f t="shared" si="4"/>
        <v>536384.61538461538</v>
      </c>
      <c r="N33" s="11">
        <f t="shared" si="5"/>
        <v>83349.999999999942</v>
      </c>
      <c r="O33" s="12">
        <f t="shared" si="6"/>
        <v>0.15539222716191012</v>
      </c>
      <c r="P33" s="9">
        <f t="shared" si="7"/>
        <v>581083.33333333337</v>
      </c>
      <c r="Q33" s="11">
        <f t="shared" si="8"/>
        <v>83350</v>
      </c>
      <c r="R33" s="12">
        <f t="shared" si="9"/>
        <v>0.14343897891868634</v>
      </c>
    </row>
    <row r="34" spans="1:18" x14ac:dyDescent="0.3">
      <c r="A34" s="1">
        <v>320001</v>
      </c>
      <c r="B34" s="1">
        <v>330000</v>
      </c>
      <c r="C34">
        <v>7000</v>
      </c>
      <c r="D34" s="14">
        <v>0.03</v>
      </c>
      <c r="E34" s="3">
        <f t="shared" si="12"/>
        <v>42900</v>
      </c>
      <c r="F34" s="3">
        <f t="shared" si="13"/>
        <v>37290</v>
      </c>
      <c r="G34" s="2">
        <f t="shared" si="0"/>
        <v>0.21939393939393939</v>
      </c>
      <c r="H34" s="9">
        <f t="shared" si="1"/>
        <v>13000</v>
      </c>
      <c r="I34" s="9">
        <f t="shared" si="2"/>
        <v>85400</v>
      </c>
      <c r="L34" s="9">
        <f t="shared" si="3"/>
        <v>502590</v>
      </c>
      <c r="M34" s="9">
        <f t="shared" si="4"/>
        <v>552296.7032967034</v>
      </c>
      <c r="N34" s="11">
        <f t="shared" si="5"/>
        <v>85400.000000000058</v>
      </c>
      <c r="O34" s="12">
        <f t="shared" si="6"/>
        <v>0.15462703197437283</v>
      </c>
      <c r="P34" s="9">
        <f t="shared" si="7"/>
        <v>598321.42857142864</v>
      </c>
      <c r="Q34" s="11">
        <f t="shared" si="8"/>
        <v>85400.000000000058</v>
      </c>
      <c r="R34" s="12">
        <f t="shared" si="9"/>
        <v>0.14273264489942109</v>
      </c>
    </row>
    <row r="35" spans="1:18" x14ac:dyDescent="0.3">
      <c r="A35" s="1">
        <v>330001</v>
      </c>
      <c r="B35" s="1">
        <v>340000</v>
      </c>
      <c r="C35">
        <v>7000</v>
      </c>
      <c r="D35" s="14">
        <v>0.03</v>
      </c>
      <c r="E35" s="3">
        <f t="shared" si="12"/>
        <v>44200</v>
      </c>
      <c r="F35" s="3">
        <f t="shared" si="13"/>
        <v>38420</v>
      </c>
      <c r="G35" s="2">
        <f t="shared" si="0"/>
        <v>0.21823529411764706</v>
      </c>
      <c r="H35" s="9">
        <f t="shared" si="1"/>
        <v>13250</v>
      </c>
      <c r="I35" s="9">
        <f t="shared" si="2"/>
        <v>87450</v>
      </c>
      <c r="L35" s="9">
        <f t="shared" si="3"/>
        <v>517070</v>
      </c>
      <c r="M35" s="9">
        <f t="shared" si="4"/>
        <v>568208.79120879131</v>
      </c>
      <c r="N35" s="11">
        <f t="shared" si="5"/>
        <v>87450.000000000058</v>
      </c>
      <c r="O35" s="12">
        <f t="shared" si="6"/>
        <v>0.15390469375519764</v>
      </c>
      <c r="P35" s="9">
        <f t="shared" si="7"/>
        <v>615559.52380952379</v>
      </c>
      <c r="Q35" s="11">
        <f t="shared" si="8"/>
        <v>87449.999999999942</v>
      </c>
      <c r="R35" s="12">
        <f t="shared" si="9"/>
        <v>0.1420658711586438</v>
      </c>
    </row>
    <row r="36" spans="1:18" x14ac:dyDescent="0.3">
      <c r="A36" s="1">
        <v>340001</v>
      </c>
      <c r="B36" s="1">
        <v>350000</v>
      </c>
      <c r="C36">
        <v>7000</v>
      </c>
      <c r="D36" s="14">
        <v>0.03</v>
      </c>
      <c r="E36" s="3">
        <f t="shared" si="12"/>
        <v>45500</v>
      </c>
      <c r="F36" s="3">
        <f t="shared" si="13"/>
        <v>39550</v>
      </c>
      <c r="G36" s="2">
        <f t="shared" si="0"/>
        <v>0.21714285714285714</v>
      </c>
      <c r="H36" s="9">
        <f t="shared" si="1"/>
        <v>13500</v>
      </c>
      <c r="I36" s="9">
        <f t="shared" si="2"/>
        <v>89500</v>
      </c>
      <c r="L36" s="9">
        <f t="shared" si="3"/>
        <v>531550</v>
      </c>
      <c r="M36" s="9">
        <f t="shared" si="4"/>
        <v>584120.87912087922</v>
      </c>
      <c r="N36" s="11">
        <f t="shared" si="5"/>
        <v>89500</v>
      </c>
      <c r="O36" s="12">
        <f t="shared" si="6"/>
        <v>0.15322171009312385</v>
      </c>
      <c r="P36" s="9">
        <f t="shared" si="7"/>
        <v>632797.61904761905</v>
      </c>
      <c r="Q36" s="11">
        <f t="shared" si="8"/>
        <v>89500</v>
      </c>
      <c r="R36" s="12">
        <f t="shared" si="9"/>
        <v>0.14143542470134512</v>
      </c>
    </row>
    <row r="37" spans="1:18" x14ac:dyDescent="0.3">
      <c r="A37" s="1">
        <v>350001</v>
      </c>
      <c r="B37" s="1">
        <v>360000</v>
      </c>
      <c r="C37">
        <v>7000</v>
      </c>
      <c r="D37" s="14">
        <v>0.03</v>
      </c>
      <c r="E37" s="3">
        <f t="shared" si="12"/>
        <v>46800</v>
      </c>
      <c r="F37" s="3">
        <f t="shared" si="13"/>
        <v>40680</v>
      </c>
      <c r="G37" s="2">
        <f t="shared" si="0"/>
        <v>0.21611111111111109</v>
      </c>
      <c r="H37" s="9">
        <f t="shared" si="1"/>
        <v>13750</v>
      </c>
      <c r="I37" s="9">
        <f t="shared" si="2"/>
        <v>91549.999999999985</v>
      </c>
      <c r="L37" s="9">
        <f t="shared" si="3"/>
        <v>546030</v>
      </c>
      <c r="M37" s="9">
        <f t="shared" si="4"/>
        <v>600032.96703296714</v>
      </c>
      <c r="N37" s="11">
        <f t="shared" si="5"/>
        <v>91550</v>
      </c>
      <c r="O37" s="12">
        <f t="shared" si="6"/>
        <v>0.15257495009431712</v>
      </c>
      <c r="P37" s="9">
        <f t="shared" si="7"/>
        <v>650035.71428571432</v>
      </c>
      <c r="Q37" s="11">
        <f t="shared" si="8"/>
        <v>91550</v>
      </c>
      <c r="R37" s="12">
        <f t="shared" si="9"/>
        <v>0.14083841547167739</v>
      </c>
    </row>
    <row r="38" spans="1:18" x14ac:dyDescent="0.3">
      <c r="A38" s="1">
        <v>360001</v>
      </c>
      <c r="B38" s="1">
        <v>370000</v>
      </c>
      <c r="C38">
        <v>7000</v>
      </c>
      <c r="D38" s="14">
        <v>0.03</v>
      </c>
      <c r="E38" s="3">
        <f t="shared" si="12"/>
        <v>48100</v>
      </c>
      <c r="F38" s="3">
        <f t="shared" si="13"/>
        <v>41810</v>
      </c>
      <c r="G38" s="2">
        <f t="shared" si="0"/>
        <v>0.21513513513513513</v>
      </c>
      <c r="H38" s="9">
        <f t="shared" si="1"/>
        <v>14000</v>
      </c>
      <c r="I38" s="9">
        <f t="shared" si="2"/>
        <v>93600</v>
      </c>
      <c r="L38" s="9">
        <f t="shared" si="3"/>
        <v>560510</v>
      </c>
      <c r="M38" s="9">
        <f t="shared" si="4"/>
        <v>615945.05494505505</v>
      </c>
      <c r="N38" s="11">
        <f t="shared" si="5"/>
        <v>93600</v>
      </c>
      <c r="O38" s="12">
        <f t="shared" si="6"/>
        <v>0.15196160639417672</v>
      </c>
      <c r="P38" s="9">
        <f t="shared" si="7"/>
        <v>667273.80952380958</v>
      </c>
      <c r="Q38" s="11">
        <f t="shared" si="8"/>
        <v>93600</v>
      </c>
      <c r="R38" s="12">
        <f t="shared" si="9"/>
        <v>0.14027225205616312</v>
      </c>
    </row>
    <row r="39" spans="1:18" x14ac:dyDescent="0.3">
      <c r="A39" s="1">
        <v>370001</v>
      </c>
      <c r="B39" s="1">
        <v>380000</v>
      </c>
      <c r="C39">
        <v>7000</v>
      </c>
      <c r="D39" s="14">
        <v>0.03</v>
      </c>
      <c r="E39" s="3">
        <f t="shared" si="12"/>
        <v>49400</v>
      </c>
      <c r="F39" s="3">
        <f t="shared" si="13"/>
        <v>42940</v>
      </c>
      <c r="G39" s="2">
        <f t="shared" si="0"/>
        <v>0.21421052631578946</v>
      </c>
      <c r="H39" s="9">
        <f t="shared" si="1"/>
        <v>14250</v>
      </c>
      <c r="I39" s="9">
        <f t="shared" si="2"/>
        <v>95650</v>
      </c>
      <c r="L39" s="9">
        <f t="shared" si="3"/>
        <v>574990</v>
      </c>
      <c r="M39" s="9">
        <f t="shared" si="4"/>
        <v>631857.14285714296</v>
      </c>
      <c r="N39" s="11">
        <f t="shared" si="5"/>
        <v>95650</v>
      </c>
      <c r="O39" s="12">
        <f t="shared" si="6"/>
        <v>0.15137915442007685</v>
      </c>
      <c r="P39" s="9">
        <f t="shared" si="7"/>
        <v>684511.90476190473</v>
      </c>
      <c r="Q39" s="11">
        <f t="shared" si="8"/>
        <v>95650</v>
      </c>
      <c r="R39" s="12">
        <f t="shared" si="9"/>
        <v>0.13973460408007096</v>
      </c>
    </row>
    <row r="40" spans="1:18" x14ac:dyDescent="0.3">
      <c r="A40" s="1">
        <v>380001</v>
      </c>
      <c r="B40" s="1">
        <v>390000</v>
      </c>
      <c r="C40">
        <v>7000</v>
      </c>
      <c r="D40" s="14">
        <v>0.03</v>
      </c>
      <c r="E40" s="3">
        <f t="shared" si="12"/>
        <v>50700</v>
      </c>
      <c r="F40" s="3">
        <f t="shared" si="13"/>
        <v>44070</v>
      </c>
      <c r="G40" s="2">
        <f t="shared" si="0"/>
        <v>0.21333333333333332</v>
      </c>
      <c r="H40" s="9">
        <f t="shared" si="1"/>
        <v>14500</v>
      </c>
      <c r="I40" s="9">
        <f t="shared" si="2"/>
        <v>97700</v>
      </c>
      <c r="L40" s="9">
        <f t="shared" si="3"/>
        <v>589470</v>
      </c>
      <c r="M40" s="9">
        <f t="shared" si="4"/>
        <v>647769.23076923087</v>
      </c>
      <c r="N40" s="11">
        <f t="shared" si="5"/>
        <v>97700</v>
      </c>
      <c r="O40" s="12">
        <f t="shared" si="6"/>
        <v>0.15082531765823534</v>
      </c>
      <c r="P40" s="9">
        <f t="shared" si="7"/>
        <v>701750</v>
      </c>
      <c r="Q40" s="11">
        <f t="shared" si="8"/>
        <v>97700</v>
      </c>
      <c r="R40" s="12">
        <f t="shared" si="9"/>
        <v>0.13922337014606342</v>
      </c>
    </row>
    <row r="41" spans="1:18" x14ac:dyDescent="0.3">
      <c r="A41" s="1">
        <v>390001</v>
      </c>
      <c r="B41" s="1">
        <v>400000</v>
      </c>
      <c r="C41">
        <v>7000</v>
      </c>
      <c r="D41" s="14">
        <v>0.03</v>
      </c>
      <c r="E41" s="3">
        <f t="shared" si="12"/>
        <v>52000</v>
      </c>
      <c r="F41" s="3">
        <f t="shared" si="13"/>
        <v>45200</v>
      </c>
      <c r="G41" s="2">
        <f t="shared" si="0"/>
        <v>0.21249999999999999</v>
      </c>
      <c r="H41" s="9">
        <f t="shared" si="1"/>
        <v>14750</v>
      </c>
      <c r="I41" s="9">
        <f t="shared" si="2"/>
        <v>99750</v>
      </c>
      <c r="L41" s="9">
        <f t="shared" si="3"/>
        <v>603950</v>
      </c>
      <c r="M41" s="9">
        <f t="shared" si="4"/>
        <v>663681.31868131878</v>
      </c>
      <c r="N41" s="11">
        <f t="shared" si="5"/>
        <v>99750</v>
      </c>
      <c r="O41" s="12">
        <f t="shared" si="6"/>
        <v>0.1502980379170461</v>
      </c>
      <c r="P41" s="9">
        <f t="shared" si="7"/>
        <v>718988.09523809527</v>
      </c>
      <c r="Q41" s="11">
        <f t="shared" si="8"/>
        <v>99750</v>
      </c>
      <c r="R41" s="12">
        <f t="shared" si="9"/>
        <v>0.13873665038496563</v>
      </c>
    </row>
    <row r="42" spans="1:18" x14ac:dyDescent="0.3">
      <c r="A42" s="1">
        <v>400001</v>
      </c>
      <c r="B42" s="1">
        <v>410000</v>
      </c>
      <c r="C42">
        <v>7000</v>
      </c>
      <c r="D42" s="14">
        <v>0.03</v>
      </c>
      <c r="E42" s="3">
        <f t="shared" si="12"/>
        <v>53300</v>
      </c>
      <c r="F42" s="3">
        <f t="shared" si="13"/>
        <v>46330</v>
      </c>
      <c r="G42" s="2">
        <f t="shared" si="0"/>
        <v>0.21170731707317073</v>
      </c>
      <c r="H42" s="9">
        <f t="shared" si="1"/>
        <v>15000</v>
      </c>
      <c r="I42" s="9">
        <f t="shared" si="2"/>
        <v>101800</v>
      </c>
      <c r="L42" s="9">
        <f t="shared" si="3"/>
        <v>618430</v>
      </c>
      <c r="M42" s="9">
        <f t="shared" si="4"/>
        <v>679593.40659340669</v>
      </c>
      <c r="N42" s="11">
        <f t="shared" si="5"/>
        <v>101800</v>
      </c>
      <c r="O42" s="12">
        <f t="shared" si="6"/>
        <v>0.14979544976796078</v>
      </c>
      <c r="P42" s="9">
        <f t="shared" si="7"/>
        <v>736226.19047619053</v>
      </c>
      <c r="Q42" s="11">
        <f t="shared" si="8"/>
        <v>101800</v>
      </c>
      <c r="R42" s="12">
        <f t="shared" si="9"/>
        <v>0.13827272286273304</v>
      </c>
    </row>
    <row r="43" spans="1:18" x14ac:dyDescent="0.3">
      <c r="A43" s="1">
        <v>410001</v>
      </c>
      <c r="B43" s="1">
        <v>420000</v>
      </c>
      <c r="C43">
        <v>7000</v>
      </c>
      <c r="D43" s="14">
        <v>0.03</v>
      </c>
      <c r="E43" s="3">
        <f t="shared" si="12"/>
        <v>54600</v>
      </c>
      <c r="F43" s="3">
        <f t="shared" si="13"/>
        <v>47460</v>
      </c>
      <c r="G43" s="2">
        <f t="shared" si="0"/>
        <v>0.21095238095238095</v>
      </c>
      <c r="H43" s="9">
        <f t="shared" si="1"/>
        <v>15250</v>
      </c>
      <c r="I43" s="9">
        <f t="shared" si="2"/>
        <v>103850</v>
      </c>
      <c r="L43" s="9">
        <f t="shared" si="3"/>
        <v>632910</v>
      </c>
      <c r="M43" s="9">
        <f t="shared" si="4"/>
        <v>695505.4945054946</v>
      </c>
      <c r="N43" s="11">
        <f t="shared" si="5"/>
        <v>103850</v>
      </c>
      <c r="O43" s="12">
        <f t="shared" si="6"/>
        <v>0.14931585849488868</v>
      </c>
      <c r="P43" s="9">
        <f t="shared" si="7"/>
        <v>753464.2857142858</v>
      </c>
      <c r="Q43" s="11">
        <f t="shared" si="8"/>
        <v>103850</v>
      </c>
      <c r="R43" s="12">
        <f t="shared" si="9"/>
        <v>0.13783002322605109</v>
      </c>
    </row>
    <row r="44" spans="1:18" x14ac:dyDescent="0.3">
      <c r="A44" s="1">
        <v>420001</v>
      </c>
      <c r="B44" s="1">
        <v>430000</v>
      </c>
      <c r="C44">
        <v>7000</v>
      </c>
      <c r="D44" s="14">
        <v>0.03</v>
      </c>
      <c r="E44" s="3">
        <f t="shared" si="12"/>
        <v>55900</v>
      </c>
      <c r="F44" s="3">
        <f t="shared" si="13"/>
        <v>48590</v>
      </c>
      <c r="G44" s="2">
        <f t="shared" si="0"/>
        <v>0.21023255813953487</v>
      </c>
      <c r="H44" s="9">
        <f t="shared" si="1"/>
        <v>15500</v>
      </c>
      <c r="I44" s="9">
        <f t="shared" si="2"/>
        <v>105900</v>
      </c>
      <c r="L44" s="9">
        <f t="shared" si="3"/>
        <v>647390</v>
      </c>
      <c r="M44" s="9">
        <f t="shared" si="4"/>
        <v>711417.58241758251</v>
      </c>
      <c r="N44" s="11">
        <f t="shared" si="5"/>
        <v>105900</v>
      </c>
      <c r="O44" s="12">
        <f t="shared" si="6"/>
        <v>0.14885772100279582</v>
      </c>
      <c r="P44" s="9">
        <f t="shared" si="7"/>
        <v>770702.38095238095</v>
      </c>
      <c r="Q44" s="11">
        <f t="shared" si="8"/>
        <v>105900</v>
      </c>
      <c r="R44" s="12">
        <f t="shared" si="9"/>
        <v>0.13740712707950387</v>
      </c>
    </row>
    <row r="45" spans="1:18" x14ac:dyDescent="0.3">
      <c r="A45" s="1">
        <v>430001</v>
      </c>
      <c r="B45" s="1">
        <v>440000</v>
      </c>
      <c r="C45">
        <v>7000</v>
      </c>
      <c r="D45" s="14">
        <v>0.03</v>
      </c>
      <c r="E45" s="3">
        <f t="shared" si="12"/>
        <v>57200</v>
      </c>
      <c r="F45" s="3">
        <f t="shared" si="13"/>
        <v>49720</v>
      </c>
      <c r="G45" s="2">
        <f t="shared" si="0"/>
        <v>0.20954545454545453</v>
      </c>
      <c r="H45" s="9">
        <f t="shared" si="1"/>
        <v>15750</v>
      </c>
      <c r="I45" s="9">
        <f t="shared" si="2"/>
        <v>107950</v>
      </c>
      <c r="L45" s="9">
        <f t="shared" si="3"/>
        <v>661870</v>
      </c>
      <c r="M45" s="9">
        <f t="shared" si="4"/>
        <v>727329.67032967042</v>
      </c>
      <c r="N45" s="11">
        <f t="shared" si="5"/>
        <v>107950</v>
      </c>
      <c r="O45" s="12">
        <f t="shared" si="6"/>
        <v>0.14841962923232657</v>
      </c>
      <c r="P45" s="9">
        <f t="shared" si="7"/>
        <v>787940.47619047621</v>
      </c>
      <c r="Q45" s="11">
        <f t="shared" si="8"/>
        <v>107950</v>
      </c>
      <c r="R45" s="12">
        <f t="shared" si="9"/>
        <v>0.13700273467599378</v>
      </c>
    </row>
    <row r="46" spans="1:18" x14ac:dyDescent="0.3">
      <c r="A46" s="1">
        <v>440001</v>
      </c>
      <c r="B46" s="1">
        <v>450000</v>
      </c>
      <c r="C46">
        <v>7000</v>
      </c>
      <c r="D46" s="14">
        <v>0.03</v>
      </c>
      <c r="E46" s="3">
        <f t="shared" si="12"/>
        <v>58500</v>
      </c>
      <c r="F46" s="3">
        <f t="shared" si="13"/>
        <v>50850</v>
      </c>
      <c r="G46" s="2">
        <f t="shared" si="0"/>
        <v>0.20888888888888887</v>
      </c>
      <c r="H46" s="9">
        <f t="shared" si="1"/>
        <v>16000</v>
      </c>
      <c r="I46" s="9">
        <f t="shared" si="2"/>
        <v>110000</v>
      </c>
      <c r="L46" s="9">
        <f t="shared" si="3"/>
        <v>676350</v>
      </c>
      <c r="M46" s="9">
        <f t="shared" si="4"/>
        <v>743241.75824175833</v>
      </c>
      <c r="N46" s="11">
        <f t="shared" si="5"/>
        <v>110000</v>
      </c>
      <c r="O46" s="12">
        <f t="shared" si="6"/>
        <v>0.14800029570488651</v>
      </c>
      <c r="P46" s="9">
        <f t="shared" si="7"/>
        <v>805178.57142857148</v>
      </c>
      <c r="Q46" s="11">
        <f t="shared" si="8"/>
        <v>110000</v>
      </c>
      <c r="R46" s="12">
        <f t="shared" si="9"/>
        <v>0.13661565757374139</v>
      </c>
    </row>
    <row r="47" spans="1:18" x14ac:dyDescent="0.3">
      <c r="A47" s="1">
        <v>450001</v>
      </c>
      <c r="B47" s="1">
        <v>460000</v>
      </c>
      <c r="C47">
        <v>7000</v>
      </c>
      <c r="D47" s="14">
        <v>0.03</v>
      </c>
      <c r="E47" s="3">
        <f t="shared" si="12"/>
        <v>59800</v>
      </c>
      <c r="F47" s="3">
        <f t="shared" si="13"/>
        <v>51980</v>
      </c>
      <c r="G47" s="2">
        <f t="shared" si="0"/>
        <v>0.20826086956521739</v>
      </c>
      <c r="H47" s="9">
        <f t="shared" si="1"/>
        <v>16250</v>
      </c>
      <c r="I47" s="9">
        <f t="shared" si="2"/>
        <v>112050</v>
      </c>
      <c r="L47" s="9">
        <f t="shared" si="3"/>
        <v>690830</v>
      </c>
      <c r="M47" s="9">
        <f t="shared" si="4"/>
        <v>759153.84615384624</v>
      </c>
      <c r="N47" s="11">
        <f t="shared" si="5"/>
        <v>112050</v>
      </c>
      <c r="O47" s="12">
        <f t="shared" si="6"/>
        <v>0.14759854088560137</v>
      </c>
      <c r="P47" s="9">
        <f t="shared" si="7"/>
        <v>822416.66666666674</v>
      </c>
      <c r="Q47" s="11">
        <f t="shared" si="8"/>
        <v>112050</v>
      </c>
      <c r="R47" s="12">
        <f t="shared" si="9"/>
        <v>0.13624480697132432</v>
      </c>
    </row>
    <row r="48" spans="1:18" x14ac:dyDescent="0.3">
      <c r="A48" s="1">
        <v>460001</v>
      </c>
      <c r="B48" s="1">
        <v>470000</v>
      </c>
      <c r="C48">
        <v>7000</v>
      </c>
      <c r="D48" s="14">
        <v>0.03</v>
      </c>
      <c r="E48" s="3">
        <f t="shared" si="12"/>
        <v>61100</v>
      </c>
      <c r="F48" s="3">
        <f t="shared" si="13"/>
        <v>53110</v>
      </c>
      <c r="G48" s="2">
        <f t="shared" si="0"/>
        <v>0.20765957446808508</v>
      </c>
      <c r="H48" s="9">
        <f t="shared" si="1"/>
        <v>16500</v>
      </c>
      <c r="I48" s="9">
        <f t="shared" si="2"/>
        <v>114099.99999999999</v>
      </c>
      <c r="L48" s="9">
        <f t="shared" si="3"/>
        <v>705310</v>
      </c>
      <c r="M48" s="9">
        <f t="shared" si="4"/>
        <v>775065.93406593415</v>
      </c>
      <c r="N48" s="11">
        <f t="shared" si="5"/>
        <v>114100</v>
      </c>
      <c r="O48" s="12">
        <f t="shared" si="6"/>
        <v>0.1472132821029051</v>
      </c>
      <c r="P48" s="9">
        <f t="shared" si="7"/>
        <v>839654.76190476189</v>
      </c>
      <c r="Q48" s="11">
        <f t="shared" si="8"/>
        <v>114100</v>
      </c>
      <c r="R48" s="12">
        <f t="shared" si="9"/>
        <v>0.13588918347960471</v>
      </c>
    </row>
    <row r="49" spans="1:18" x14ac:dyDescent="0.3">
      <c r="A49" s="1">
        <v>470001</v>
      </c>
      <c r="B49" s="1">
        <v>480000</v>
      </c>
      <c r="C49">
        <v>7000</v>
      </c>
      <c r="D49" s="14">
        <v>0.03</v>
      </c>
      <c r="E49" s="3">
        <f t="shared" si="12"/>
        <v>62400</v>
      </c>
      <c r="F49" s="3">
        <f t="shared" si="13"/>
        <v>54240</v>
      </c>
      <c r="G49" s="2">
        <f t="shared" si="0"/>
        <v>0.20708333333333334</v>
      </c>
      <c r="H49" s="9">
        <f t="shared" si="1"/>
        <v>16750</v>
      </c>
      <c r="I49" s="9">
        <f t="shared" si="2"/>
        <v>116150</v>
      </c>
      <c r="L49" s="9">
        <f t="shared" si="3"/>
        <v>719790</v>
      </c>
      <c r="M49" s="9">
        <f t="shared" si="4"/>
        <v>790978.02197802207</v>
      </c>
      <c r="N49" s="11">
        <f t="shared" si="5"/>
        <v>116150</v>
      </c>
      <c r="O49" s="12">
        <f t="shared" si="6"/>
        <v>0.14684352380555438</v>
      </c>
      <c r="P49" s="9">
        <f t="shared" si="7"/>
        <v>856892.85714285716</v>
      </c>
      <c r="Q49" s="11">
        <f t="shared" si="8"/>
        <v>116150</v>
      </c>
      <c r="R49" s="12">
        <f t="shared" si="9"/>
        <v>0.13554786812820405</v>
      </c>
    </row>
    <row r="50" spans="1:18" x14ac:dyDescent="0.3">
      <c r="A50" s="1">
        <v>480001</v>
      </c>
      <c r="B50" s="1">
        <v>490000</v>
      </c>
      <c r="C50">
        <v>7000</v>
      </c>
      <c r="D50" s="14">
        <v>0.03</v>
      </c>
      <c r="E50" s="3">
        <f t="shared" si="12"/>
        <v>63700</v>
      </c>
      <c r="F50" s="3">
        <f t="shared" si="13"/>
        <v>55370</v>
      </c>
      <c r="G50" s="2">
        <f t="shared" si="0"/>
        <v>0.20653061224489794</v>
      </c>
      <c r="H50" s="9">
        <f t="shared" si="1"/>
        <v>17000</v>
      </c>
      <c r="I50" s="9">
        <f t="shared" si="2"/>
        <v>118199.99999999999</v>
      </c>
      <c r="L50" s="9">
        <f t="shared" si="3"/>
        <v>734270</v>
      </c>
      <c r="M50" s="9">
        <f t="shared" si="4"/>
        <v>806890.10989010998</v>
      </c>
      <c r="N50" s="11">
        <f t="shared" si="5"/>
        <v>118200</v>
      </c>
      <c r="O50" s="12">
        <f t="shared" si="6"/>
        <v>0.14648834897244881</v>
      </c>
      <c r="P50" s="9">
        <f t="shared" si="7"/>
        <v>874130.95238095243</v>
      </c>
      <c r="Q50" s="11">
        <f t="shared" si="8"/>
        <v>118200</v>
      </c>
      <c r="R50" s="12">
        <f t="shared" si="9"/>
        <v>0.13522001443610659</v>
      </c>
    </row>
    <row r="51" spans="1:18" x14ac:dyDescent="0.3">
      <c r="A51" s="1">
        <v>490001</v>
      </c>
      <c r="B51" s="1">
        <v>500000</v>
      </c>
      <c r="C51">
        <v>7000</v>
      </c>
      <c r="D51" s="14">
        <v>0.03</v>
      </c>
      <c r="E51" s="3">
        <f t="shared" si="12"/>
        <v>65000</v>
      </c>
      <c r="F51" s="3">
        <f t="shared" si="13"/>
        <v>56500</v>
      </c>
      <c r="G51" s="2">
        <f t="shared" si="0"/>
        <v>0.20599999999999999</v>
      </c>
      <c r="H51" s="9">
        <f t="shared" si="1"/>
        <v>17250</v>
      </c>
      <c r="I51" s="9">
        <f t="shared" si="2"/>
        <v>120250</v>
      </c>
      <c r="L51" s="9">
        <f t="shared" si="3"/>
        <v>748750</v>
      </c>
      <c r="M51" s="9">
        <f t="shared" si="4"/>
        <v>822802.19780219789</v>
      </c>
      <c r="N51" s="11">
        <f t="shared" si="5"/>
        <v>120250</v>
      </c>
      <c r="O51" s="12">
        <f t="shared" si="6"/>
        <v>0.14614691151919865</v>
      </c>
      <c r="P51" s="9">
        <f t="shared" si="7"/>
        <v>891369.04761904769</v>
      </c>
      <c r="Q51" s="11">
        <f t="shared" si="8"/>
        <v>120250</v>
      </c>
      <c r="R51" s="12">
        <f t="shared" si="9"/>
        <v>0.13490484140233722</v>
      </c>
    </row>
    <row r="52" spans="1:18" x14ac:dyDescent="0.3">
      <c r="A52" s="1">
        <v>500001</v>
      </c>
      <c r="B52" s="1">
        <v>510000</v>
      </c>
      <c r="C52">
        <v>7000</v>
      </c>
      <c r="D52" s="14">
        <v>0.03</v>
      </c>
      <c r="E52" s="3">
        <f t="shared" si="12"/>
        <v>66300</v>
      </c>
      <c r="F52" s="3">
        <f t="shared" si="13"/>
        <v>57630</v>
      </c>
      <c r="G52" s="2">
        <f t="shared" si="0"/>
        <v>0.20549019607843136</v>
      </c>
      <c r="H52" s="9">
        <f t="shared" si="1"/>
        <v>17500</v>
      </c>
      <c r="I52" s="9">
        <f t="shared" si="2"/>
        <v>122300</v>
      </c>
      <c r="L52" s="9">
        <f t="shared" si="3"/>
        <v>763230</v>
      </c>
      <c r="M52" s="9">
        <f t="shared" si="4"/>
        <v>838714.2857142858</v>
      </c>
      <c r="N52" s="11">
        <f t="shared" si="5"/>
        <v>122300</v>
      </c>
      <c r="O52" s="12">
        <f t="shared" si="6"/>
        <v>0.14581842956906829</v>
      </c>
      <c r="P52" s="9">
        <f t="shared" si="7"/>
        <v>908607.14285714284</v>
      </c>
      <c r="Q52" s="11">
        <f t="shared" si="8"/>
        <v>122300</v>
      </c>
      <c r="R52" s="12">
        <f t="shared" si="9"/>
        <v>0.1346016272945246</v>
      </c>
    </row>
    <row r="53" spans="1:18" x14ac:dyDescent="0.3">
      <c r="A53" s="1">
        <v>510001</v>
      </c>
      <c r="B53" s="1">
        <v>520000</v>
      </c>
      <c r="C53">
        <v>7000</v>
      </c>
      <c r="D53" s="14">
        <v>0.03</v>
      </c>
      <c r="E53" s="3">
        <f t="shared" si="12"/>
        <v>67600</v>
      </c>
      <c r="F53" s="3">
        <f t="shared" si="13"/>
        <v>58760</v>
      </c>
      <c r="G53" s="2">
        <f t="shared" si="0"/>
        <v>0.20499999999999999</v>
      </c>
      <c r="H53" s="9">
        <f t="shared" si="1"/>
        <v>17750</v>
      </c>
      <c r="I53" s="9">
        <f t="shared" si="2"/>
        <v>124350</v>
      </c>
      <c r="L53" s="9">
        <f t="shared" si="3"/>
        <v>777710</v>
      </c>
      <c r="M53" s="9">
        <f t="shared" si="4"/>
        <v>854626.37362637371</v>
      </c>
      <c r="N53" s="11">
        <f t="shared" si="5"/>
        <v>124350</v>
      </c>
      <c r="O53" s="12">
        <f t="shared" si="6"/>
        <v>0.14550217947564001</v>
      </c>
      <c r="P53" s="9">
        <f t="shared" si="7"/>
        <v>925845.23809523811</v>
      </c>
      <c r="Q53" s="11">
        <f t="shared" si="8"/>
        <v>124350</v>
      </c>
      <c r="R53" s="12">
        <f t="shared" si="9"/>
        <v>0.13430970413136001</v>
      </c>
    </row>
    <row r="54" spans="1:18" x14ac:dyDescent="0.3">
      <c r="A54" s="1">
        <v>520001</v>
      </c>
      <c r="B54" s="1">
        <v>530000</v>
      </c>
      <c r="C54">
        <v>7000</v>
      </c>
      <c r="D54" s="14">
        <v>0.03</v>
      </c>
      <c r="E54" s="3">
        <f t="shared" si="12"/>
        <v>68900</v>
      </c>
      <c r="F54" s="3">
        <f t="shared" si="13"/>
        <v>59890</v>
      </c>
      <c r="G54" s="2">
        <f t="shared" si="0"/>
        <v>0.20452830188679244</v>
      </c>
      <c r="H54" s="9">
        <f t="shared" si="1"/>
        <v>18000</v>
      </c>
      <c r="I54" s="9">
        <f t="shared" si="2"/>
        <v>126400</v>
      </c>
      <c r="L54" s="9">
        <f t="shared" si="3"/>
        <v>792190</v>
      </c>
      <c r="M54" s="9">
        <f t="shared" si="4"/>
        <v>870538.46153846162</v>
      </c>
      <c r="N54" s="11">
        <f t="shared" si="5"/>
        <v>126400</v>
      </c>
      <c r="O54" s="12">
        <f t="shared" si="6"/>
        <v>0.14519749050101616</v>
      </c>
      <c r="P54" s="9">
        <f t="shared" si="7"/>
        <v>943083.33333333337</v>
      </c>
      <c r="Q54" s="11">
        <f t="shared" si="8"/>
        <v>126400</v>
      </c>
      <c r="R54" s="12">
        <f t="shared" si="9"/>
        <v>0.13402845277016875</v>
      </c>
    </row>
    <row r="55" spans="1:18" x14ac:dyDescent="0.3">
      <c r="A55" s="1">
        <v>530001</v>
      </c>
      <c r="B55" s="1">
        <v>540000</v>
      </c>
      <c r="C55">
        <v>7000</v>
      </c>
      <c r="D55" s="14">
        <v>0.03</v>
      </c>
      <c r="E55" s="3">
        <f t="shared" si="12"/>
        <v>70200</v>
      </c>
      <c r="F55" s="3">
        <f t="shared" si="13"/>
        <v>61020</v>
      </c>
      <c r="G55" s="2">
        <f t="shared" si="0"/>
        <v>0.20407407407407407</v>
      </c>
      <c r="H55" s="9">
        <f t="shared" si="1"/>
        <v>18250</v>
      </c>
      <c r="I55" s="9">
        <f t="shared" si="2"/>
        <v>128450</v>
      </c>
      <c r="L55" s="9">
        <f t="shared" si="3"/>
        <v>806670</v>
      </c>
      <c r="M55" s="9">
        <f t="shared" si="4"/>
        <v>886450.54945054953</v>
      </c>
      <c r="N55" s="11">
        <f t="shared" si="5"/>
        <v>128450</v>
      </c>
      <c r="O55" s="12">
        <f t="shared" si="6"/>
        <v>0.14490374006718978</v>
      </c>
      <c r="P55" s="9">
        <f t="shared" si="7"/>
        <v>960321.42857142864</v>
      </c>
      <c r="Q55" s="11">
        <f t="shared" si="8"/>
        <v>128450</v>
      </c>
      <c r="R55" s="12">
        <f t="shared" si="9"/>
        <v>0.1337572985235598</v>
      </c>
    </row>
    <row r="56" spans="1:18" x14ac:dyDescent="0.3">
      <c r="A56" s="1">
        <v>540001</v>
      </c>
      <c r="B56" s="1">
        <v>550000</v>
      </c>
      <c r="C56">
        <v>7000</v>
      </c>
      <c r="D56" s="14">
        <v>0.03</v>
      </c>
      <c r="E56" s="3">
        <f t="shared" si="12"/>
        <v>71500</v>
      </c>
      <c r="F56" s="3">
        <f t="shared" si="13"/>
        <v>62150</v>
      </c>
      <c r="G56" s="2">
        <f t="shared" si="0"/>
        <v>0.20363636363636362</v>
      </c>
      <c r="H56" s="9">
        <f t="shared" si="1"/>
        <v>18500</v>
      </c>
      <c r="I56" s="9">
        <f t="shared" si="2"/>
        <v>130499.99999999999</v>
      </c>
      <c r="L56" s="9">
        <f t="shared" si="3"/>
        <v>821150</v>
      </c>
      <c r="M56" s="9">
        <f t="shared" si="4"/>
        <v>902362.63736263744</v>
      </c>
      <c r="N56" s="11">
        <f t="shared" si="5"/>
        <v>130500</v>
      </c>
      <c r="O56" s="12">
        <f t="shared" si="6"/>
        <v>0.14462034950983377</v>
      </c>
      <c r="P56" s="9">
        <f t="shared" si="7"/>
        <v>977559.5238095239</v>
      </c>
      <c r="Q56" s="11">
        <f t="shared" si="8"/>
        <v>130500</v>
      </c>
      <c r="R56" s="12">
        <f t="shared" si="9"/>
        <v>0.13349570723984655</v>
      </c>
    </row>
    <row r="57" spans="1:18" x14ac:dyDescent="0.3">
      <c r="A57" s="1">
        <v>550001</v>
      </c>
      <c r="B57" s="1">
        <v>600000</v>
      </c>
      <c r="C57">
        <v>7000</v>
      </c>
      <c r="D57" s="14">
        <v>0.03</v>
      </c>
      <c r="E57" s="3">
        <f t="shared" si="12"/>
        <v>78000</v>
      </c>
      <c r="F57" s="3">
        <f t="shared" si="13"/>
        <v>67800</v>
      </c>
      <c r="G57" s="2">
        <f t="shared" si="0"/>
        <v>0.20166666666666666</v>
      </c>
      <c r="H57" s="9">
        <f t="shared" si="1"/>
        <v>19750</v>
      </c>
      <c r="I57" s="9">
        <f t="shared" si="2"/>
        <v>140750</v>
      </c>
      <c r="L57" s="9">
        <f t="shared" si="3"/>
        <v>893550</v>
      </c>
      <c r="M57" s="9">
        <f t="shared" si="4"/>
        <v>981923.07692307699</v>
      </c>
      <c r="N57" s="11">
        <f t="shared" si="5"/>
        <v>140750</v>
      </c>
      <c r="O57" s="12">
        <f t="shared" si="6"/>
        <v>0.14334116725421073</v>
      </c>
      <c r="P57" s="9">
        <f t="shared" si="7"/>
        <v>1063750</v>
      </c>
      <c r="Q57" s="11">
        <f t="shared" si="8"/>
        <v>140750</v>
      </c>
      <c r="R57" s="12">
        <f t="shared" si="9"/>
        <v>0.13231492361927144</v>
      </c>
    </row>
    <row r="58" spans="1:18" x14ac:dyDescent="0.3">
      <c r="A58" s="1">
        <v>600001</v>
      </c>
      <c r="B58" s="1">
        <v>650000</v>
      </c>
      <c r="C58">
        <v>7000</v>
      </c>
      <c r="D58" s="14">
        <v>0.03</v>
      </c>
      <c r="E58" s="3">
        <f t="shared" si="12"/>
        <v>84500</v>
      </c>
      <c r="F58" s="3">
        <f t="shared" si="13"/>
        <v>73450</v>
      </c>
      <c r="G58" s="2">
        <f t="shared" si="0"/>
        <v>0.19999999999999998</v>
      </c>
      <c r="H58" s="9">
        <f t="shared" si="1"/>
        <v>21000</v>
      </c>
      <c r="I58" s="9">
        <f t="shared" si="2"/>
        <v>151000</v>
      </c>
      <c r="L58" s="9">
        <f t="shared" si="3"/>
        <v>965950</v>
      </c>
      <c r="M58" s="9">
        <f t="shared" si="4"/>
        <v>1061483.5164835167</v>
      </c>
      <c r="N58" s="11">
        <f t="shared" si="5"/>
        <v>151000.00000000012</v>
      </c>
      <c r="O58" s="12">
        <f t="shared" si="6"/>
        <v>0.1422537398416068</v>
      </c>
      <c r="P58" s="9">
        <f t="shared" si="7"/>
        <v>1149940.4761904762</v>
      </c>
      <c r="Q58" s="11">
        <f t="shared" si="8"/>
        <v>151000</v>
      </c>
      <c r="R58" s="12">
        <f t="shared" si="9"/>
        <v>0.13131114446917541</v>
      </c>
    </row>
    <row r="59" spans="1:18" x14ac:dyDescent="0.3">
      <c r="A59" s="1">
        <v>650001</v>
      </c>
      <c r="B59" s="1">
        <v>700000</v>
      </c>
      <c r="C59">
        <v>7000</v>
      </c>
      <c r="D59" s="14">
        <v>0.03</v>
      </c>
      <c r="E59" s="3">
        <f t="shared" si="12"/>
        <v>91000</v>
      </c>
      <c r="F59" s="3">
        <f t="shared" si="13"/>
        <v>79100</v>
      </c>
      <c r="G59" s="2">
        <f t="shared" si="0"/>
        <v>0.19857142857142857</v>
      </c>
      <c r="H59" s="9">
        <f t="shared" si="1"/>
        <v>22250</v>
      </c>
      <c r="I59" s="9">
        <f t="shared" si="2"/>
        <v>161250</v>
      </c>
      <c r="L59" s="9">
        <f t="shared" si="3"/>
        <v>1038350</v>
      </c>
      <c r="M59" s="9">
        <f t="shared" si="4"/>
        <v>1141043.9560439561</v>
      </c>
      <c r="N59" s="11">
        <f t="shared" si="5"/>
        <v>161250</v>
      </c>
      <c r="O59" s="12">
        <f t="shared" si="6"/>
        <v>0.14131795637309191</v>
      </c>
      <c r="P59" s="9">
        <f t="shared" si="7"/>
        <v>1236130.9523809524</v>
      </c>
      <c r="Q59" s="11">
        <f t="shared" si="8"/>
        <v>161250</v>
      </c>
      <c r="R59" s="12">
        <f t="shared" si="9"/>
        <v>0.13044734434439254</v>
      </c>
    </row>
    <row r="60" spans="1:18" x14ac:dyDescent="0.3">
      <c r="A60" s="1">
        <v>700001</v>
      </c>
      <c r="B60" s="1">
        <v>750000</v>
      </c>
      <c r="C60">
        <v>7000</v>
      </c>
      <c r="D60" s="14">
        <v>0.03</v>
      </c>
      <c r="E60" s="3">
        <f t="shared" si="12"/>
        <v>97500</v>
      </c>
      <c r="F60" s="3">
        <f t="shared" si="13"/>
        <v>84750</v>
      </c>
      <c r="G60" s="2">
        <f t="shared" si="0"/>
        <v>0.19733333333333333</v>
      </c>
      <c r="H60" s="9">
        <f t="shared" si="1"/>
        <v>23500</v>
      </c>
      <c r="I60" s="9">
        <f t="shared" si="2"/>
        <v>171500</v>
      </c>
      <c r="L60" s="9">
        <f t="shared" si="3"/>
        <v>1110750</v>
      </c>
      <c r="M60" s="9">
        <f t="shared" si="4"/>
        <v>1220604.3956043958</v>
      </c>
      <c r="N60" s="11">
        <f t="shared" si="5"/>
        <v>171500</v>
      </c>
      <c r="O60" s="12">
        <f t="shared" si="6"/>
        <v>0.14050416385325229</v>
      </c>
      <c r="P60" s="9">
        <f t="shared" si="7"/>
        <v>1322321.4285714286</v>
      </c>
      <c r="Q60" s="11">
        <f t="shared" si="8"/>
        <v>171500</v>
      </c>
      <c r="R60" s="12">
        <f t="shared" si="9"/>
        <v>0.12969615124915596</v>
      </c>
    </row>
    <row r="61" spans="1:18" x14ac:dyDescent="0.3">
      <c r="A61" s="1">
        <v>750001</v>
      </c>
      <c r="B61" s="1">
        <v>800000</v>
      </c>
      <c r="C61">
        <v>7000</v>
      </c>
      <c r="D61" s="14">
        <v>0.03</v>
      </c>
      <c r="E61" s="3">
        <f t="shared" si="12"/>
        <v>104000</v>
      </c>
      <c r="F61" s="3">
        <f t="shared" si="13"/>
        <v>90400</v>
      </c>
      <c r="G61" s="2">
        <f t="shared" si="0"/>
        <v>0.19624999999999998</v>
      </c>
      <c r="H61" s="9">
        <f t="shared" si="1"/>
        <v>24750</v>
      </c>
      <c r="I61" s="9">
        <f t="shared" si="2"/>
        <v>181749.99999999997</v>
      </c>
      <c r="L61" s="9">
        <f t="shared" si="3"/>
        <v>1183150</v>
      </c>
      <c r="M61" s="9">
        <f t="shared" si="4"/>
        <v>1300164.8351648352</v>
      </c>
      <c r="N61" s="11">
        <f t="shared" si="5"/>
        <v>181750</v>
      </c>
      <c r="O61" s="12">
        <f t="shared" si="6"/>
        <v>0.13978996745974728</v>
      </c>
      <c r="P61" s="9">
        <f t="shared" si="7"/>
        <v>1408511.9047619049</v>
      </c>
      <c r="Q61" s="11">
        <f t="shared" si="8"/>
        <v>181750</v>
      </c>
      <c r="R61" s="12">
        <f t="shared" si="9"/>
        <v>0.1290368930397667</v>
      </c>
    </row>
    <row r="62" spans="1:18" x14ac:dyDescent="0.3">
      <c r="A62" s="1">
        <v>800001</v>
      </c>
      <c r="B62" s="1">
        <v>850000</v>
      </c>
      <c r="C62">
        <v>7000</v>
      </c>
      <c r="D62" s="14">
        <v>0.03</v>
      </c>
      <c r="E62" s="3">
        <f t="shared" si="12"/>
        <v>110500</v>
      </c>
      <c r="F62" s="3">
        <f t="shared" si="13"/>
        <v>96050</v>
      </c>
      <c r="G62" s="2">
        <f t="shared" si="0"/>
        <v>0.19529411764705881</v>
      </c>
      <c r="H62" s="9">
        <f t="shared" si="1"/>
        <v>26000</v>
      </c>
      <c r="I62" s="9">
        <f t="shared" si="2"/>
        <v>192000</v>
      </c>
      <c r="L62" s="9">
        <f t="shared" si="3"/>
        <v>1255550</v>
      </c>
      <c r="M62" s="9">
        <f t="shared" si="4"/>
        <v>1379725.2747252749</v>
      </c>
      <c r="N62" s="11">
        <f t="shared" si="5"/>
        <v>192000</v>
      </c>
      <c r="O62" s="12">
        <f t="shared" si="6"/>
        <v>0.13915813786786665</v>
      </c>
      <c r="P62" s="9">
        <f t="shared" si="7"/>
        <v>1494702.3809523811</v>
      </c>
      <c r="Q62" s="11">
        <f t="shared" si="8"/>
        <v>192000</v>
      </c>
      <c r="R62" s="12">
        <f t="shared" si="9"/>
        <v>0.12845366572418462</v>
      </c>
    </row>
    <row r="63" spans="1:18" x14ac:dyDescent="0.3">
      <c r="A63" s="1">
        <v>850001</v>
      </c>
      <c r="B63" s="1">
        <v>900000</v>
      </c>
      <c r="C63">
        <v>7000</v>
      </c>
      <c r="D63" s="14">
        <v>0.03</v>
      </c>
      <c r="E63" s="3">
        <f t="shared" si="12"/>
        <v>117000</v>
      </c>
      <c r="F63" s="3">
        <f t="shared" si="13"/>
        <v>101700</v>
      </c>
      <c r="G63" s="2">
        <f t="shared" si="0"/>
        <v>0.19444444444444445</v>
      </c>
      <c r="H63" s="9">
        <f t="shared" si="1"/>
        <v>27250</v>
      </c>
      <c r="I63" s="9">
        <f t="shared" si="2"/>
        <v>202250</v>
      </c>
      <c r="L63" s="9">
        <f t="shared" si="3"/>
        <v>1327950</v>
      </c>
      <c r="M63" s="9">
        <f t="shared" si="4"/>
        <v>1459285.7142857143</v>
      </c>
      <c r="N63" s="11">
        <f t="shared" si="5"/>
        <v>202250</v>
      </c>
      <c r="O63" s="12">
        <f t="shared" si="6"/>
        <v>0.13859520313264806</v>
      </c>
      <c r="P63" s="9">
        <f t="shared" si="7"/>
        <v>1580892.8571428573</v>
      </c>
      <c r="Q63" s="11">
        <f t="shared" si="8"/>
        <v>202250</v>
      </c>
      <c r="R63" s="12">
        <f t="shared" si="9"/>
        <v>0.12793403366090589</v>
      </c>
    </row>
    <row r="64" spans="1:18" x14ac:dyDescent="0.3">
      <c r="A64" s="1">
        <v>900001</v>
      </c>
      <c r="B64" s="1">
        <v>950000</v>
      </c>
      <c r="C64">
        <v>7000</v>
      </c>
      <c r="D64" s="14">
        <v>0.03</v>
      </c>
      <c r="E64" s="3">
        <f t="shared" si="12"/>
        <v>123500</v>
      </c>
      <c r="F64" s="3">
        <f t="shared" si="13"/>
        <v>107350</v>
      </c>
      <c r="G64" s="2">
        <f t="shared" si="0"/>
        <v>0.19368421052631579</v>
      </c>
      <c r="H64" s="9">
        <f t="shared" si="1"/>
        <v>28500</v>
      </c>
      <c r="I64" s="9">
        <f t="shared" si="2"/>
        <v>212500</v>
      </c>
      <c r="L64" s="9">
        <f t="shared" si="3"/>
        <v>1400350</v>
      </c>
      <c r="M64" s="9">
        <f t="shared" si="4"/>
        <v>1538846.153846154</v>
      </c>
      <c r="N64" s="11">
        <f t="shared" si="5"/>
        <v>212500</v>
      </c>
      <c r="O64" s="12">
        <f t="shared" si="6"/>
        <v>0.13809047738065483</v>
      </c>
      <c r="P64" s="9">
        <f t="shared" si="7"/>
        <v>1667083.3333333335</v>
      </c>
      <c r="Q64" s="11">
        <f t="shared" si="8"/>
        <v>212500</v>
      </c>
      <c r="R64" s="12">
        <f t="shared" si="9"/>
        <v>0.1274681329667583</v>
      </c>
    </row>
    <row r="65" spans="1:18" x14ac:dyDescent="0.3">
      <c r="A65" s="1">
        <v>950001</v>
      </c>
      <c r="B65" s="1">
        <v>1000000</v>
      </c>
      <c r="C65">
        <v>7000</v>
      </c>
      <c r="D65" s="14">
        <v>0.03</v>
      </c>
      <c r="E65" s="3">
        <f t="shared" si="12"/>
        <v>130000</v>
      </c>
      <c r="F65" s="3">
        <f t="shared" si="13"/>
        <v>113000</v>
      </c>
      <c r="G65" s="2">
        <f t="shared" si="0"/>
        <v>0.193</v>
      </c>
      <c r="H65" s="9">
        <f t="shared" si="1"/>
        <v>29750</v>
      </c>
      <c r="I65" s="9">
        <f t="shared" si="2"/>
        <v>222750</v>
      </c>
      <c r="L65" s="9">
        <f t="shared" si="3"/>
        <v>1472750</v>
      </c>
      <c r="M65" s="9">
        <f t="shared" si="4"/>
        <v>1618406.5934065937</v>
      </c>
      <c r="N65" s="11">
        <f t="shared" si="5"/>
        <v>222750</v>
      </c>
      <c r="O65" s="12">
        <f t="shared" si="6"/>
        <v>0.13763537599728398</v>
      </c>
      <c r="P65" s="9">
        <f t="shared" si="7"/>
        <v>1753273.8095238097</v>
      </c>
      <c r="Q65" s="11">
        <f t="shared" si="8"/>
        <v>222750</v>
      </c>
      <c r="R65" s="12">
        <f t="shared" si="9"/>
        <v>0.12704803938210829</v>
      </c>
    </row>
    <row r="66" spans="1:18" x14ac:dyDescent="0.3">
      <c r="A66" s="1">
        <v>1000001</v>
      </c>
      <c r="B66" s="1">
        <v>1050000</v>
      </c>
      <c r="C66">
        <v>7000</v>
      </c>
      <c r="D66" s="14">
        <v>0.03</v>
      </c>
      <c r="E66" s="3">
        <f t="shared" si="12"/>
        <v>136500</v>
      </c>
      <c r="F66" s="3">
        <f t="shared" si="13"/>
        <v>118650</v>
      </c>
      <c r="G66" s="2">
        <f t="shared" si="0"/>
        <v>0.19238095238095237</v>
      </c>
      <c r="H66" s="9">
        <f t="shared" si="1"/>
        <v>30000</v>
      </c>
      <c r="I66" s="9">
        <f t="shared" si="2"/>
        <v>232000</v>
      </c>
      <c r="L66" s="9">
        <f t="shared" si="3"/>
        <v>1544150</v>
      </c>
      <c r="M66" s="9">
        <f t="shared" si="4"/>
        <v>1696868.1318681319</v>
      </c>
      <c r="N66" s="11">
        <f t="shared" si="5"/>
        <v>232000</v>
      </c>
      <c r="O66" s="12">
        <f t="shared" si="6"/>
        <v>0.13672246867208496</v>
      </c>
      <c r="P66" s="9">
        <f t="shared" si="7"/>
        <v>1838273.8095238097</v>
      </c>
      <c r="Q66" s="11">
        <f t="shared" si="8"/>
        <v>232000</v>
      </c>
      <c r="R66" s="12">
        <f t="shared" si="9"/>
        <v>0.12620535569730917</v>
      </c>
    </row>
    <row r="67" spans="1:18" x14ac:dyDescent="0.3">
      <c r="A67" s="1">
        <v>1050001</v>
      </c>
      <c r="B67" s="1">
        <v>1100000</v>
      </c>
      <c r="C67">
        <v>7000</v>
      </c>
      <c r="D67" s="14">
        <v>0.03</v>
      </c>
      <c r="E67" s="3">
        <f t="shared" si="12"/>
        <v>143000</v>
      </c>
      <c r="F67" s="3">
        <f t="shared" si="13"/>
        <v>124300</v>
      </c>
      <c r="G67" s="2">
        <f t="shared" ref="G67:G130" si="14">MIN($K$2,MAX($K$3,$K$4/B67+$K$3))</f>
        <v>0.1918181818181818</v>
      </c>
      <c r="H67" s="9">
        <f t="shared" ref="H67:H130" si="15">MIN($K$11,$K$9+$K$10*(B67-$B$2))</f>
        <v>30000</v>
      </c>
      <c r="I67" s="9">
        <f t="shared" ref="I67:I130" si="16">B67*G67+H67</f>
        <v>240999.99999999997</v>
      </c>
      <c r="L67" s="9">
        <f t="shared" ref="L67:L130" si="17">B67+C67+E67+F67+I67</f>
        <v>1615300</v>
      </c>
      <c r="M67" s="9">
        <f t="shared" ref="M67:M130" si="18">L67/(1-$K$14-D67)</f>
        <v>1775054.9450549453</v>
      </c>
      <c r="N67" s="11">
        <f t="shared" ref="N67:N130" si="19">M67*(1-$K$14-D67)-B67-C67-E67-F67</f>
        <v>241000</v>
      </c>
      <c r="O67" s="12">
        <f t="shared" ref="O67:O130" si="20">N67/M67</f>
        <v>0.13577044511855382</v>
      </c>
      <c r="P67" s="9">
        <f t="shared" ref="P67:P130" si="21">L67/(1-$K$15-D67)</f>
        <v>1922976.1904761905</v>
      </c>
      <c r="Q67" s="11">
        <f t="shared" ref="Q67:Q130" si="22">P67*(1-$K$15-D67)-B67-C67-E67-F67</f>
        <v>241000</v>
      </c>
      <c r="R67" s="12">
        <f t="shared" ref="R67:R130" si="23">Q67/P67</f>
        <v>0.12532656472481893</v>
      </c>
    </row>
    <row r="68" spans="1:18" x14ac:dyDescent="0.3">
      <c r="A68" s="1">
        <v>1100001</v>
      </c>
      <c r="B68" s="1">
        <v>1150000</v>
      </c>
      <c r="C68">
        <v>7000</v>
      </c>
      <c r="D68" s="14">
        <v>0.03</v>
      </c>
      <c r="E68" s="3">
        <f t="shared" si="12"/>
        <v>149500</v>
      </c>
      <c r="F68" s="3">
        <f t="shared" si="13"/>
        <v>129950</v>
      </c>
      <c r="G68" s="2">
        <f t="shared" si="14"/>
        <v>0.19130434782608696</v>
      </c>
      <c r="H68" s="9">
        <f t="shared" si="15"/>
        <v>30000</v>
      </c>
      <c r="I68" s="9">
        <f t="shared" si="16"/>
        <v>250000</v>
      </c>
      <c r="L68" s="9">
        <f t="shared" si="17"/>
        <v>1686450</v>
      </c>
      <c r="M68" s="9">
        <f t="shared" si="18"/>
        <v>1853241.7582417584</v>
      </c>
      <c r="N68" s="11">
        <f t="shared" si="19"/>
        <v>250000</v>
      </c>
      <c r="O68" s="12">
        <f t="shared" si="20"/>
        <v>0.13489875181594471</v>
      </c>
      <c r="P68" s="9">
        <f t="shared" si="21"/>
        <v>2007678.5714285716</v>
      </c>
      <c r="Q68" s="11">
        <f t="shared" si="22"/>
        <v>250000</v>
      </c>
      <c r="R68" s="12">
        <f t="shared" si="23"/>
        <v>0.12452192475317975</v>
      </c>
    </row>
    <row r="69" spans="1:18" x14ac:dyDescent="0.3">
      <c r="A69" s="1">
        <v>1150001</v>
      </c>
      <c r="B69" s="1">
        <v>1200000</v>
      </c>
      <c r="C69">
        <v>7000</v>
      </c>
      <c r="D69" s="14">
        <v>0.03</v>
      </c>
      <c r="E69" s="3">
        <f t="shared" si="12"/>
        <v>156000</v>
      </c>
      <c r="F69" s="3">
        <f t="shared" si="13"/>
        <v>135600</v>
      </c>
      <c r="G69" s="2">
        <f t="shared" si="14"/>
        <v>0.19083333333333333</v>
      </c>
      <c r="H69" s="9">
        <f t="shared" si="15"/>
        <v>30000</v>
      </c>
      <c r="I69" s="9">
        <f t="shared" si="16"/>
        <v>259000</v>
      </c>
      <c r="L69" s="9">
        <f t="shared" si="17"/>
        <v>1757600</v>
      </c>
      <c r="M69" s="9">
        <f t="shared" si="18"/>
        <v>1931428.5714285716</v>
      </c>
      <c r="N69" s="11">
        <f t="shared" si="19"/>
        <v>259000</v>
      </c>
      <c r="O69" s="12">
        <f t="shared" si="20"/>
        <v>0.13409763313609466</v>
      </c>
      <c r="P69" s="9">
        <f t="shared" si="21"/>
        <v>2092380.9523809524</v>
      </c>
      <c r="Q69" s="11">
        <f t="shared" si="22"/>
        <v>259000</v>
      </c>
      <c r="R69" s="12">
        <f t="shared" si="23"/>
        <v>0.12378243058716432</v>
      </c>
    </row>
    <row r="70" spans="1:18" x14ac:dyDescent="0.3">
      <c r="A70" s="1">
        <v>1200001</v>
      </c>
      <c r="B70" s="1">
        <v>1250000</v>
      </c>
      <c r="C70">
        <v>7000</v>
      </c>
      <c r="D70" s="14">
        <v>0.03</v>
      </c>
      <c r="E70" s="3">
        <f t="shared" si="12"/>
        <v>162500</v>
      </c>
      <c r="F70" s="3">
        <f t="shared" si="13"/>
        <v>141250</v>
      </c>
      <c r="G70" s="2">
        <f t="shared" si="14"/>
        <v>0.19039999999999999</v>
      </c>
      <c r="H70" s="9">
        <f t="shared" si="15"/>
        <v>30000</v>
      </c>
      <c r="I70" s="9">
        <f t="shared" si="16"/>
        <v>268000</v>
      </c>
      <c r="L70" s="9">
        <f t="shared" si="17"/>
        <v>1828750</v>
      </c>
      <c r="M70" s="9">
        <f t="shared" si="18"/>
        <v>2009615.3846153847</v>
      </c>
      <c r="N70" s="11">
        <f t="shared" si="19"/>
        <v>268000</v>
      </c>
      <c r="O70" s="12">
        <f t="shared" si="20"/>
        <v>0.13335885167464115</v>
      </c>
      <c r="P70" s="9">
        <f t="shared" si="21"/>
        <v>2177083.3333333335</v>
      </c>
      <c r="Q70" s="11">
        <f t="shared" si="22"/>
        <v>268000</v>
      </c>
      <c r="R70" s="12">
        <f t="shared" si="23"/>
        <v>0.12310047846889952</v>
      </c>
    </row>
    <row r="71" spans="1:18" x14ac:dyDescent="0.3">
      <c r="A71" s="1">
        <v>1250001</v>
      </c>
      <c r="B71" s="1">
        <v>1300000</v>
      </c>
      <c r="C71">
        <v>7000</v>
      </c>
      <c r="D71" s="14">
        <v>0.03</v>
      </c>
      <c r="E71" s="3">
        <f t="shared" si="12"/>
        <v>169000</v>
      </c>
      <c r="F71" s="3">
        <f t="shared" si="13"/>
        <v>146900</v>
      </c>
      <c r="G71" s="2">
        <f t="shared" si="14"/>
        <v>0.19</v>
      </c>
      <c r="H71" s="9">
        <f t="shared" si="15"/>
        <v>30000</v>
      </c>
      <c r="I71" s="9">
        <f t="shared" si="16"/>
        <v>277000</v>
      </c>
      <c r="L71" s="9">
        <f t="shared" si="17"/>
        <v>1899900</v>
      </c>
      <c r="M71" s="9">
        <f t="shared" si="18"/>
        <v>2087802.1978021979</v>
      </c>
      <c r="N71" s="11">
        <f t="shared" si="19"/>
        <v>277000</v>
      </c>
      <c r="O71" s="12">
        <f t="shared" si="20"/>
        <v>0.13267540396862992</v>
      </c>
      <c r="P71" s="9">
        <f t="shared" si="21"/>
        <v>2261785.7142857146</v>
      </c>
      <c r="Q71" s="11">
        <f t="shared" si="22"/>
        <v>277000.00000000023</v>
      </c>
      <c r="R71" s="12">
        <f t="shared" si="23"/>
        <v>0.12246960366335079</v>
      </c>
    </row>
    <row r="72" spans="1:18" x14ac:dyDescent="0.3">
      <c r="A72" s="1">
        <v>1300001</v>
      </c>
      <c r="B72" s="1">
        <v>1350000</v>
      </c>
      <c r="C72">
        <v>7000</v>
      </c>
      <c r="D72" s="14">
        <v>0.03</v>
      </c>
      <c r="E72" s="3">
        <f t="shared" si="12"/>
        <v>175500</v>
      </c>
      <c r="F72" s="3">
        <f t="shared" si="13"/>
        <v>152550</v>
      </c>
      <c r="G72" s="2">
        <f t="shared" si="14"/>
        <v>0.18962962962962962</v>
      </c>
      <c r="H72" s="9">
        <f t="shared" si="15"/>
        <v>30000</v>
      </c>
      <c r="I72" s="9">
        <f t="shared" si="16"/>
        <v>286000</v>
      </c>
      <c r="L72" s="9">
        <f t="shared" si="17"/>
        <v>1971050</v>
      </c>
      <c r="M72" s="9">
        <f t="shared" si="18"/>
        <v>2165989.0109890113</v>
      </c>
      <c r="N72" s="11">
        <f t="shared" si="19"/>
        <v>286000</v>
      </c>
      <c r="O72" s="12">
        <f t="shared" si="20"/>
        <v>0.13204129778544429</v>
      </c>
      <c r="P72" s="9">
        <f t="shared" si="21"/>
        <v>2346488.0952380951</v>
      </c>
      <c r="Q72" s="11">
        <f t="shared" si="22"/>
        <v>285999.99999999977</v>
      </c>
      <c r="R72" s="12">
        <f t="shared" si="23"/>
        <v>0.12188427487887157</v>
      </c>
    </row>
    <row r="73" spans="1:18" x14ac:dyDescent="0.3">
      <c r="A73" s="1">
        <v>1350001</v>
      </c>
      <c r="B73" s="1">
        <v>1400000</v>
      </c>
      <c r="C73">
        <v>7000</v>
      </c>
      <c r="D73" s="14">
        <v>0.03</v>
      </c>
      <c r="E73" s="3">
        <f t="shared" si="12"/>
        <v>182000</v>
      </c>
      <c r="F73" s="3">
        <f t="shared" si="13"/>
        <v>158200</v>
      </c>
      <c r="G73" s="2">
        <f t="shared" si="14"/>
        <v>0.18928571428571428</v>
      </c>
      <c r="H73" s="9">
        <f t="shared" si="15"/>
        <v>30000</v>
      </c>
      <c r="I73" s="9">
        <f t="shared" si="16"/>
        <v>295000</v>
      </c>
      <c r="L73" s="9">
        <f t="shared" si="17"/>
        <v>2042200</v>
      </c>
      <c r="M73" s="9">
        <f t="shared" si="18"/>
        <v>2244175.8241758244</v>
      </c>
      <c r="N73" s="11">
        <f t="shared" si="19"/>
        <v>295000</v>
      </c>
      <c r="O73" s="12">
        <f t="shared" si="20"/>
        <v>0.1314513759670943</v>
      </c>
      <c r="P73" s="9">
        <f t="shared" si="21"/>
        <v>2431190.4761904762</v>
      </c>
      <c r="Q73" s="11">
        <f t="shared" si="22"/>
        <v>295000</v>
      </c>
      <c r="R73" s="12">
        <f t="shared" si="23"/>
        <v>0.12133973166193321</v>
      </c>
    </row>
    <row r="74" spans="1:18" x14ac:dyDescent="0.3">
      <c r="A74" s="1">
        <v>1400001</v>
      </c>
      <c r="B74" s="1">
        <v>1450000</v>
      </c>
      <c r="C74">
        <v>7000</v>
      </c>
      <c r="D74" s="14">
        <v>0.03</v>
      </c>
      <c r="E74" s="3">
        <f t="shared" si="12"/>
        <v>188500</v>
      </c>
      <c r="F74" s="3">
        <f t="shared" si="13"/>
        <v>163850</v>
      </c>
      <c r="G74" s="2">
        <f t="shared" si="14"/>
        <v>0.1889655172413793</v>
      </c>
      <c r="H74" s="9">
        <f t="shared" si="15"/>
        <v>30000</v>
      </c>
      <c r="I74" s="9">
        <f t="shared" si="16"/>
        <v>304000</v>
      </c>
      <c r="L74" s="9">
        <f t="shared" si="17"/>
        <v>2113350</v>
      </c>
      <c r="M74" s="9">
        <f t="shared" si="18"/>
        <v>2322362.6373626376</v>
      </c>
      <c r="N74" s="11">
        <f t="shared" si="19"/>
        <v>304000</v>
      </c>
      <c r="O74" s="12">
        <f t="shared" si="20"/>
        <v>0.13090117585823455</v>
      </c>
      <c r="P74" s="9">
        <f t="shared" si="21"/>
        <v>2515892.8571428573</v>
      </c>
      <c r="Q74" s="11">
        <f t="shared" si="22"/>
        <v>304000</v>
      </c>
      <c r="R74" s="12">
        <f t="shared" si="23"/>
        <v>0.12083185463837036</v>
      </c>
    </row>
    <row r="75" spans="1:18" x14ac:dyDescent="0.3">
      <c r="A75" s="1">
        <v>1450001</v>
      </c>
      <c r="B75" s="1">
        <v>1500000</v>
      </c>
      <c r="C75">
        <v>7000</v>
      </c>
      <c r="D75" s="14">
        <v>0.03</v>
      </c>
      <c r="E75" s="3">
        <f t="shared" si="12"/>
        <v>195000</v>
      </c>
      <c r="F75" s="3">
        <f t="shared" si="13"/>
        <v>169500</v>
      </c>
      <c r="G75" s="2">
        <f t="shared" si="14"/>
        <v>0.18866666666666665</v>
      </c>
      <c r="H75" s="9">
        <f t="shared" si="15"/>
        <v>30000</v>
      </c>
      <c r="I75" s="9">
        <f t="shared" si="16"/>
        <v>313000</v>
      </c>
      <c r="L75" s="9">
        <f t="shared" si="17"/>
        <v>2184500</v>
      </c>
      <c r="M75" s="9">
        <f t="shared" si="18"/>
        <v>2400549.4505494507</v>
      </c>
      <c r="N75" s="11">
        <f t="shared" si="19"/>
        <v>313000</v>
      </c>
      <c r="O75" s="12">
        <f t="shared" si="20"/>
        <v>0.13038681620508125</v>
      </c>
      <c r="P75" s="9">
        <f t="shared" si="21"/>
        <v>2600595.2380952383</v>
      </c>
      <c r="Q75" s="11">
        <f t="shared" si="22"/>
        <v>313000</v>
      </c>
      <c r="R75" s="12">
        <f t="shared" si="23"/>
        <v>0.12035706111238269</v>
      </c>
    </row>
    <row r="76" spans="1:18" x14ac:dyDescent="0.3">
      <c r="A76" s="1">
        <v>1500001</v>
      </c>
      <c r="B76" s="1">
        <v>1550000</v>
      </c>
      <c r="C76">
        <v>7000</v>
      </c>
      <c r="D76" s="14">
        <v>0.03</v>
      </c>
      <c r="E76" s="3">
        <f t="shared" si="12"/>
        <v>201500</v>
      </c>
      <c r="F76" s="3">
        <f t="shared" si="13"/>
        <v>175150</v>
      </c>
      <c r="G76" s="2">
        <f t="shared" si="14"/>
        <v>0.18838709677419355</v>
      </c>
      <c r="H76" s="9">
        <f t="shared" si="15"/>
        <v>30000</v>
      </c>
      <c r="I76" s="9">
        <f t="shared" si="16"/>
        <v>322000</v>
      </c>
      <c r="L76" s="9">
        <f t="shared" si="17"/>
        <v>2255650</v>
      </c>
      <c r="M76" s="9">
        <f t="shared" si="18"/>
        <v>2478736.2637362638</v>
      </c>
      <c r="N76" s="11">
        <f t="shared" si="19"/>
        <v>322000</v>
      </c>
      <c r="O76" s="12">
        <f t="shared" si="20"/>
        <v>0.1299049054596236</v>
      </c>
      <c r="P76" s="9">
        <f t="shared" si="21"/>
        <v>2685297.6190476189</v>
      </c>
      <c r="Q76" s="11">
        <f t="shared" si="22"/>
        <v>322000</v>
      </c>
      <c r="R76" s="12">
        <f t="shared" si="23"/>
        <v>0.11991222042426795</v>
      </c>
    </row>
    <row r="77" spans="1:18" x14ac:dyDescent="0.3">
      <c r="A77" s="1">
        <v>1550001</v>
      </c>
      <c r="B77" s="1">
        <v>1600000</v>
      </c>
      <c r="C77">
        <v>7000</v>
      </c>
      <c r="D77" s="14">
        <v>0.03</v>
      </c>
      <c r="E77" s="3">
        <f t="shared" si="12"/>
        <v>208000</v>
      </c>
      <c r="F77" s="3">
        <f t="shared" si="13"/>
        <v>180800</v>
      </c>
      <c r="G77" s="2">
        <f t="shared" si="14"/>
        <v>0.18812499999999999</v>
      </c>
      <c r="H77" s="9">
        <f t="shared" si="15"/>
        <v>30000</v>
      </c>
      <c r="I77" s="9">
        <f t="shared" si="16"/>
        <v>331000</v>
      </c>
      <c r="L77" s="9">
        <f t="shared" si="17"/>
        <v>2326800</v>
      </c>
      <c r="M77" s="9">
        <f t="shared" si="18"/>
        <v>2556923.076923077</v>
      </c>
      <c r="N77" s="11">
        <f t="shared" si="19"/>
        <v>331000</v>
      </c>
      <c r="O77" s="12">
        <f t="shared" si="20"/>
        <v>0.12945246690734055</v>
      </c>
      <c r="P77" s="9">
        <f t="shared" si="21"/>
        <v>2770000</v>
      </c>
      <c r="Q77" s="11">
        <f t="shared" si="22"/>
        <v>331000</v>
      </c>
      <c r="R77" s="12">
        <f t="shared" si="23"/>
        <v>0.11949458483754513</v>
      </c>
    </row>
    <row r="78" spans="1:18" x14ac:dyDescent="0.3">
      <c r="A78" s="1">
        <v>1600001</v>
      </c>
      <c r="B78" s="1">
        <v>1650000</v>
      </c>
      <c r="C78">
        <v>7000</v>
      </c>
      <c r="D78" s="14">
        <v>0.03</v>
      </c>
      <c r="E78" s="3">
        <f t="shared" si="12"/>
        <v>214500</v>
      </c>
      <c r="F78" s="3">
        <f t="shared" si="13"/>
        <v>186450</v>
      </c>
      <c r="G78" s="2">
        <f t="shared" si="14"/>
        <v>0.18787878787878787</v>
      </c>
      <c r="H78" s="9">
        <f t="shared" si="15"/>
        <v>30000</v>
      </c>
      <c r="I78" s="9">
        <f t="shared" si="16"/>
        <v>340000</v>
      </c>
      <c r="L78" s="9">
        <f t="shared" si="17"/>
        <v>2397950</v>
      </c>
      <c r="M78" s="9">
        <f t="shared" si="18"/>
        <v>2635109.8901098901</v>
      </c>
      <c r="N78" s="11">
        <f t="shared" si="19"/>
        <v>340000</v>
      </c>
      <c r="O78" s="12">
        <f t="shared" si="20"/>
        <v>0.12902687712421027</v>
      </c>
      <c r="P78" s="9">
        <f t="shared" si="21"/>
        <v>2854702.3809523811</v>
      </c>
      <c r="Q78" s="11">
        <f t="shared" si="22"/>
        <v>340000</v>
      </c>
      <c r="R78" s="12">
        <f t="shared" si="23"/>
        <v>0.11910173273004024</v>
      </c>
    </row>
    <row r="79" spans="1:18" x14ac:dyDescent="0.3">
      <c r="A79" s="1">
        <v>1650001</v>
      </c>
      <c r="B79" s="1">
        <v>1700000</v>
      </c>
      <c r="C79">
        <v>7000</v>
      </c>
      <c r="D79" s="14">
        <v>0.03</v>
      </c>
      <c r="E79" s="3">
        <f t="shared" si="12"/>
        <v>221000</v>
      </c>
      <c r="F79" s="3">
        <f t="shared" si="13"/>
        <v>192100</v>
      </c>
      <c r="G79" s="2">
        <f t="shared" si="14"/>
        <v>0.18764705882352942</v>
      </c>
      <c r="H79" s="9">
        <f t="shared" si="15"/>
        <v>30000</v>
      </c>
      <c r="I79" s="9">
        <f t="shared" si="16"/>
        <v>349000</v>
      </c>
      <c r="L79" s="9">
        <f t="shared" si="17"/>
        <v>2469100</v>
      </c>
      <c r="M79" s="9">
        <f t="shared" si="18"/>
        <v>2713296.7032967038</v>
      </c>
      <c r="N79" s="11">
        <f t="shared" si="19"/>
        <v>349000</v>
      </c>
      <c r="O79" s="12">
        <f t="shared" si="20"/>
        <v>0.12862581507431856</v>
      </c>
      <c r="P79" s="9">
        <f t="shared" si="21"/>
        <v>2939404.7619047621</v>
      </c>
      <c r="Q79" s="11">
        <f t="shared" si="22"/>
        <v>349000</v>
      </c>
      <c r="R79" s="12">
        <f t="shared" si="23"/>
        <v>0.1187315216070633</v>
      </c>
    </row>
    <row r="80" spans="1:18" x14ac:dyDescent="0.3">
      <c r="A80" s="1">
        <v>1700001</v>
      </c>
      <c r="B80" s="1">
        <v>1750000</v>
      </c>
      <c r="C80">
        <v>7000</v>
      </c>
      <c r="D80" s="14">
        <v>0.03</v>
      </c>
      <c r="E80" s="3">
        <f t="shared" si="12"/>
        <v>227500</v>
      </c>
      <c r="F80" s="3">
        <f t="shared" si="13"/>
        <v>197750</v>
      </c>
      <c r="G80" s="2">
        <f t="shared" si="14"/>
        <v>0.18742857142857142</v>
      </c>
      <c r="H80" s="9">
        <f t="shared" si="15"/>
        <v>30000</v>
      </c>
      <c r="I80" s="9">
        <f t="shared" si="16"/>
        <v>358000</v>
      </c>
      <c r="L80" s="9">
        <f t="shared" si="17"/>
        <v>2540250</v>
      </c>
      <c r="M80" s="9">
        <f t="shared" si="18"/>
        <v>2791483.5164835169</v>
      </c>
      <c r="N80" s="11">
        <f t="shared" si="19"/>
        <v>358000</v>
      </c>
      <c r="O80" s="12">
        <f t="shared" si="20"/>
        <v>0.12824721976183445</v>
      </c>
      <c r="P80" s="9">
        <f t="shared" si="21"/>
        <v>3024107.1428571432</v>
      </c>
      <c r="Q80" s="11">
        <f t="shared" si="22"/>
        <v>358000</v>
      </c>
      <c r="R80" s="12">
        <f t="shared" si="23"/>
        <v>0.11838204901092411</v>
      </c>
    </row>
    <row r="81" spans="1:18" x14ac:dyDescent="0.3">
      <c r="A81" s="1">
        <v>1750001</v>
      </c>
      <c r="B81" s="1">
        <v>1800000</v>
      </c>
      <c r="C81">
        <v>7000</v>
      </c>
      <c r="D81" s="14">
        <v>0.03</v>
      </c>
      <c r="E81" s="3">
        <f t="shared" si="12"/>
        <v>234000</v>
      </c>
      <c r="F81" s="3">
        <f t="shared" si="13"/>
        <v>203400</v>
      </c>
      <c r="G81" s="2">
        <f t="shared" si="14"/>
        <v>0.18722222222222221</v>
      </c>
      <c r="H81" s="9">
        <f t="shared" si="15"/>
        <v>30000</v>
      </c>
      <c r="I81" s="9">
        <f t="shared" si="16"/>
        <v>367000</v>
      </c>
      <c r="L81" s="9">
        <f t="shared" si="17"/>
        <v>2611400</v>
      </c>
      <c r="M81" s="9">
        <f t="shared" si="18"/>
        <v>2869670.32967033</v>
      </c>
      <c r="N81" s="11">
        <f t="shared" si="19"/>
        <v>367000</v>
      </c>
      <c r="O81" s="12">
        <f t="shared" si="20"/>
        <v>0.12788925480585125</v>
      </c>
      <c r="P81" s="9">
        <f t="shared" si="21"/>
        <v>3108809.5238095238</v>
      </c>
      <c r="Q81" s="11">
        <f t="shared" si="22"/>
        <v>367000</v>
      </c>
      <c r="R81" s="12">
        <f t="shared" si="23"/>
        <v>0.11805161982078578</v>
      </c>
    </row>
    <row r="82" spans="1:18" x14ac:dyDescent="0.3">
      <c r="A82" s="1">
        <v>1800001</v>
      </c>
      <c r="B82" s="1">
        <v>1850000</v>
      </c>
      <c r="C82">
        <v>7000</v>
      </c>
      <c r="D82" s="14">
        <v>0.03</v>
      </c>
      <c r="E82" s="3">
        <f t="shared" si="12"/>
        <v>240500</v>
      </c>
      <c r="F82" s="3">
        <f t="shared" si="13"/>
        <v>209050</v>
      </c>
      <c r="G82" s="2">
        <f t="shared" si="14"/>
        <v>0.18702702702702703</v>
      </c>
      <c r="H82" s="9">
        <f t="shared" si="15"/>
        <v>30000</v>
      </c>
      <c r="I82" s="9">
        <f t="shared" si="16"/>
        <v>376000</v>
      </c>
      <c r="L82" s="9">
        <f t="shared" si="17"/>
        <v>2682550</v>
      </c>
      <c r="M82" s="9">
        <f t="shared" si="18"/>
        <v>2947857.1428571432</v>
      </c>
      <c r="N82" s="11">
        <f t="shared" si="19"/>
        <v>376000</v>
      </c>
      <c r="O82" s="12">
        <f t="shared" si="20"/>
        <v>0.12755027865277441</v>
      </c>
      <c r="P82" s="9">
        <f t="shared" si="21"/>
        <v>3193511.9047619049</v>
      </c>
      <c r="Q82" s="11">
        <f t="shared" si="22"/>
        <v>376000</v>
      </c>
      <c r="R82" s="12">
        <f t="shared" si="23"/>
        <v>0.11773871875640715</v>
      </c>
    </row>
    <row r="83" spans="1:18" x14ac:dyDescent="0.3">
      <c r="A83" s="1">
        <v>1850001</v>
      </c>
      <c r="B83" s="1">
        <v>1900000</v>
      </c>
      <c r="C83">
        <v>7000</v>
      </c>
      <c r="D83" s="14">
        <v>0.03</v>
      </c>
      <c r="E83" s="3">
        <f t="shared" si="12"/>
        <v>247000</v>
      </c>
      <c r="F83" s="3">
        <f t="shared" si="13"/>
        <v>214700</v>
      </c>
      <c r="G83" s="2">
        <f t="shared" si="14"/>
        <v>0.18684210526315789</v>
      </c>
      <c r="H83" s="9">
        <f t="shared" si="15"/>
        <v>30000</v>
      </c>
      <c r="I83" s="9">
        <f t="shared" si="16"/>
        <v>385000</v>
      </c>
      <c r="L83" s="9">
        <f t="shared" si="17"/>
        <v>2753700</v>
      </c>
      <c r="M83" s="9">
        <f t="shared" si="18"/>
        <v>3026043.9560439563</v>
      </c>
      <c r="N83" s="11">
        <f t="shared" si="19"/>
        <v>385000</v>
      </c>
      <c r="O83" s="12">
        <f t="shared" si="20"/>
        <v>0.12722881940661654</v>
      </c>
      <c r="P83" s="9">
        <f t="shared" si="21"/>
        <v>3278214.2857142859</v>
      </c>
      <c r="Q83" s="11">
        <f t="shared" si="22"/>
        <v>385000</v>
      </c>
      <c r="R83" s="12">
        <f t="shared" si="23"/>
        <v>0.11744198714456912</v>
      </c>
    </row>
    <row r="84" spans="1:18" x14ac:dyDescent="0.3">
      <c r="A84" s="1">
        <v>1900001</v>
      </c>
      <c r="B84" s="1">
        <v>1950000</v>
      </c>
      <c r="C84">
        <v>7000</v>
      </c>
      <c r="D84" s="14">
        <v>0.03</v>
      </c>
      <c r="E84" s="3">
        <f t="shared" si="12"/>
        <v>253500</v>
      </c>
      <c r="F84" s="3">
        <f t="shared" si="13"/>
        <v>220350</v>
      </c>
      <c r="G84" s="2">
        <f t="shared" si="14"/>
        <v>0.18666666666666665</v>
      </c>
      <c r="H84" s="9">
        <f t="shared" si="15"/>
        <v>30000</v>
      </c>
      <c r="I84" s="9">
        <f t="shared" si="16"/>
        <v>393999.99999999994</v>
      </c>
      <c r="L84" s="9">
        <f t="shared" si="17"/>
        <v>2824850</v>
      </c>
      <c r="M84" s="9">
        <f t="shared" si="18"/>
        <v>3104230.7692307695</v>
      </c>
      <c r="N84" s="11">
        <f t="shared" si="19"/>
        <v>394000</v>
      </c>
      <c r="O84" s="12">
        <f t="shared" si="20"/>
        <v>0.12692355346301573</v>
      </c>
      <c r="P84" s="9">
        <f t="shared" si="21"/>
        <v>3362916.666666667</v>
      </c>
      <c r="Q84" s="11">
        <f t="shared" si="22"/>
        <v>394000</v>
      </c>
      <c r="R84" s="12">
        <f t="shared" si="23"/>
        <v>0.1171602031966299</v>
      </c>
    </row>
    <row r="85" spans="1:18" x14ac:dyDescent="0.3">
      <c r="A85" s="1">
        <v>1950001</v>
      </c>
      <c r="B85" s="1">
        <v>2000000</v>
      </c>
      <c r="C85">
        <v>7000</v>
      </c>
      <c r="D85" s="14">
        <v>0.03</v>
      </c>
      <c r="E85" s="3">
        <f t="shared" si="12"/>
        <v>260000</v>
      </c>
      <c r="F85" s="3">
        <f t="shared" si="13"/>
        <v>226000</v>
      </c>
      <c r="G85" s="2">
        <f t="shared" si="14"/>
        <v>0.1865</v>
      </c>
      <c r="H85" s="9">
        <f t="shared" si="15"/>
        <v>30000</v>
      </c>
      <c r="I85" s="9">
        <f t="shared" si="16"/>
        <v>403000</v>
      </c>
      <c r="L85" s="9">
        <f t="shared" si="17"/>
        <v>2896000</v>
      </c>
      <c r="M85" s="9">
        <f t="shared" si="18"/>
        <v>3182417.5824175826</v>
      </c>
      <c r="N85" s="11">
        <f t="shared" si="19"/>
        <v>403000</v>
      </c>
      <c r="O85" s="12">
        <f t="shared" si="20"/>
        <v>0.12663328729281767</v>
      </c>
      <c r="P85" s="9">
        <f t="shared" si="21"/>
        <v>3447619.0476190476</v>
      </c>
      <c r="Q85" s="11">
        <f t="shared" si="22"/>
        <v>403000</v>
      </c>
      <c r="R85" s="12">
        <f t="shared" si="23"/>
        <v>0.11689226519337016</v>
      </c>
    </row>
    <row r="86" spans="1:18" x14ac:dyDescent="0.3">
      <c r="A86" s="1">
        <v>2000001</v>
      </c>
      <c r="B86" s="1">
        <v>2050000</v>
      </c>
      <c r="C86">
        <v>7000</v>
      </c>
      <c r="D86" s="14">
        <v>0.03</v>
      </c>
      <c r="E86" s="3">
        <f t="shared" si="12"/>
        <v>266500</v>
      </c>
      <c r="F86" s="3">
        <f t="shared" si="13"/>
        <v>231650</v>
      </c>
      <c r="G86" s="2">
        <f t="shared" si="14"/>
        <v>0.18634146341463415</v>
      </c>
      <c r="H86" s="9">
        <f t="shared" si="15"/>
        <v>30000</v>
      </c>
      <c r="I86" s="9">
        <f t="shared" si="16"/>
        <v>412000</v>
      </c>
      <c r="L86" s="9">
        <f t="shared" si="17"/>
        <v>2967150</v>
      </c>
      <c r="M86" s="9">
        <f t="shared" si="18"/>
        <v>3260604.3956043958</v>
      </c>
      <c r="N86" s="11">
        <f t="shared" si="19"/>
        <v>412000</v>
      </c>
      <c r="O86" s="12">
        <f t="shared" si="20"/>
        <v>0.12635694184655308</v>
      </c>
      <c r="P86" s="9">
        <f t="shared" si="21"/>
        <v>3532321.4285714286</v>
      </c>
      <c r="Q86" s="11">
        <f t="shared" si="22"/>
        <v>412000</v>
      </c>
      <c r="R86" s="12">
        <f t="shared" si="23"/>
        <v>0.11663717708912592</v>
      </c>
    </row>
    <row r="87" spans="1:18" x14ac:dyDescent="0.3">
      <c r="A87" s="1">
        <v>2050001</v>
      </c>
      <c r="B87" s="1">
        <v>2100000</v>
      </c>
      <c r="C87">
        <v>7000</v>
      </c>
      <c r="D87" s="14">
        <v>0.03</v>
      </c>
      <c r="E87" s="3">
        <f t="shared" si="12"/>
        <v>273000</v>
      </c>
      <c r="F87" s="3">
        <f t="shared" si="13"/>
        <v>237300</v>
      </c>
      <c r="G87" s="2">
        <f t="shared" si="14"/>
        <v>0.18619047619047618</v>
      </c>
      <c r="H87" s="9">
        <f t="shared" si="15"/>
        <v>30000</v>
      </c>
      <c r="I87" s="9">
        <f t="shared" si="16"/>
        <v>421000</v>
      </c>
      <c r="L87" s="9">
        <f t="shared" si="17"/>
        <v>3038300</v>
      </c>
      <c r="M87" s="9">
        <f t="shared" si="18"/>
        <v>3338791.2087912089</v>
      </c>
      <c r="N87" s="11">
        <f t="shared" si="19"/>
        <v>421000</v>
      </c>
      <c r="O87" s="12">
        <f t="shared" si="20"/>
        <v>0.12609353915018268</v>
      </c>
      <c r="P87" s="9">
        <f t="shared" si="21"/>
        <v>3617023.8095238097</v>
      </c>
      <c r="Q87" s="11">
        <f t="shared" si="22"/>
        <v>421000</v>
      </c>
      <c r="R87" s="12">
        <f t="shared" si="23"/>
        <v>0.11639403613863016</v>
      </c>
    </row>
    <row r="88" spans="1:18" x14ac:dyDescent="0.3">
      <c r="A88" s="1">
        <v>2100001</v>
      </c>
      <c r="B88" s="1">
        <v>2150000</v>
      </c>
      <c r="C88">
        <v>7000</v>
      </c>
      <c r="D88" s="14">
        <v>0.03</v>
      </c>
      <c r="E88" s="3">
        <f t="shared" si="12"/>
        <v>279500</v>
      </c>
      <c r="F88" s="3">
        <f t="shared" si="13"/>
        <v>242950</v>
      </c>
      <c r="G88" s="2">
        <f t="shared" si="14"/>
        <v>0.18604651162790697</v>
      </c>
      <c r="H88" s="9">
        <f t="shared" si="15"/>
        <v>30000</v>
      </c>
      <c r="I88" s="9">
        <f t="shared" si="16"/>
        <v>430000</v>
      </c>
      <c r="L88" s="9">
        <f t="shared" si="17"/>
        <v>3109450</v>
      </c>
      <c r="M88" s="9">
        <f t="shared" si="18"/>
        <v>3416978.0219780221</v>
      </c>
      <c r="N88" s="11">
        <f t="shared" si="19"/>
        <v>430000</v>
      </c>
      <c r="O88" s="12">
        <f t="shared" si="20"/>
        <v>0.12584219074112785</v>
      </c>
      <c r="P88" s="9">
        <f t="shared" si="21"/>
        <v>3701726.1904761908</v>
      </c>
      <c r="Q88" s="11">
        <f t="shared" si="22"/>
        <v>430000</v>
      </c>
      <c r="R88" s="12">
        <f t="shared" si="23"/>
        <v>0.11616202222257954</v>
      </c>
    </row>
    <row r="89" spans="1:18" x14ac:dyDescent="0.3">
      <c r="A89" s="1">
        <v>2150001</v>
      </c>
      <c r="B89" s="1">
        <v>2200000</v>
      </c>
      <c r="C89">
        <v>7000</v>
      </c>
      <c r="D89" s="14">
        <v>0.03</v>
      </c>
      <c r="E89" s="3">
        <f t="shared" si="12"/>
        <v>286000</v>
      </c>
      <c r="F89" s="3">
        <f t="shared" si="13"/>
        <v>248600</v>
      </c>
      <c r="G89" s="2">
        <f t="shared" si="14"/>
        <v>0.18590909090909091</v>
      </c>
      <c r="H89" s="9">
        <f t="shared" si="15"/>
        <v>30000</v>
      </c>
      <c r="I89" s="9">
        <f t="shared" si="16"/>
        <v>439000</v>
      </c>
      <c r="L89" s="9">
        <f t="shared" si="17"/>
        <v>3180600</v>
      </c>
      <c r="M89" s="9">
        <f t="shared" si="18"/>
        <v>3495164.8351648357</v>
      </c>
      <c r="N89" s="11">
        <f t="shared" si="19"/>
        <v>439000</v>
      </c>
      <c r="O89" s="12">
        <f t="shared" si="20"/>
        <v>0.12560208765641701</v>
      </c>
      <c r="P89" s="9">
        <f t="shared" si="21"/>
        <v>3786428.5714285714</v>
      </c>
      <c r="Q89" s="11">
        <f t="shared" si="22"/>
        <v>439000</v>
      </c>
      <c r="R89" s="12">
        <f t="shared" si="23"/>
        <v>0.11594038860592341</v>
      </c>
    </row>
    <row r="90" spans="1:18" x14ac:dyDescent="0.3">
      <c r="A90" s="1">
        <v>2200001</v>
      </c>
      <c r="B90" s="1">
        <v>2250000</v>
      </c>
      <c r="C90">
        <v>7000</v>
      </c>
      <c r="D90" s="14">
        <v>0.03</v>
      </c>
      <c r="E90" s="3">
        <f t="shared" si="12"/>
        <v>292500</v>
      </c>
      <c r="F90" s="3">
        <f t="shared" si="13"/>
        <v>254250</v>
      </c>
      <c r="G90" s="2">
        <f t="shared" si="14"/>
        <v>0.18577777777777776</v>
      </c>
      <c r="H90" s="9">
        <f t="shared" si="15"/>
        <v>30000</v>
      </c>
      <c r="I90" s="9">
        <f t="shared" si="16"/>
        <v>447999.99999999994</v>
      </c>
      <c r="L90" s="9">
        <f t="shared" si="17"/>
        <v>3251750</v>
      </c>
      <c r="M90" s="9">
        <f t="shared" si="18"/>
        <v>3573351.6483516488</v>
      </c>
      <c r="N90" s="11">
        <f t="shared" si="19"/>
        <v>448000</v>
      </c>
      <c r="O90" s="12">
        <f t="shared" si="20"/>
        <v>0.12537249173521947</v>
      </c>
      <c r="P90" s="9">
        <f t="shared" si="21"/>
        <v>3871130.9523809524</v>
      </c>
      <c r="Q90" s="11">
        <f t="shared" si="22"/>
        <v>448000</v>
      </c>
      <c r="R90" s="12">
        <f t="shared" si="23"/>
        <v>0.11572845390943338</v>
      </c>
    </row>
    <row r="91" spans="1:18" x14ac:dyDescent="0.3">
      <c r="A91" s="1">
        <v>2250001</v>
      </c>
      <c r="B91" s="1">
        <v>2300000</v>
      </c>
      <c r="C91">
        <v>7000</v>
      </c>
      <c r="D91" s="14">
        <v>0.03</v>
      </c>
      <c r="E91" s="3">
        <f t="shared" si="12"/>
        <v>299000</v>
      </c>
      <c r="F91" s="3">
        <f t="shared" si="13"/>
        <v>259900</v>
      </c>
      <c r="G91" s="2">
        <f t="shared" si="14"/>
        <v>0.18565217391304348</v>
      </c>
      <c r="H91" s="9">
        <f t="shared" si="15"/>
        <v>30000</v>
      </c>
      <c r="I91" s="9">
        <f t="shared" si="16"/>
        <v>457000</v>
      </c>
      <c r="L91" s="9">
        <f t="shared" si="17"/>
        <v>3322900</v>
      </c>
      <c r="M91" s="9">
        <f t="shared" si="18"/>
        <v>3651538.461538462</v>
      </c>
      <c r="N91" s="11">
        <f t="shared" si="19"/>
        <v>457000</v>
      </c>
      <c r="O91" s="12">
        <f t="shared" si="20"/>
        <v>0.12515272803876132</v>
      </c>
      <c r="P91" s="9">
        <f t="shared" si="21"/>
        <v>3955833.3333333335</v>
      </c>
      <c r="Q91" s="11">
        <f t="shared" si="22"/>
        <v>457000</v>
      </c>
      <c r="R91" s="12">
        <f t="shared" si="23"/>
        <v>0.11552559511270276</v>
      </c>
    </row>
    <row r="92" spans="1:18" x14ac:dyDescent="0.3">
      <c r="A92" s="1">
        <v>2300001</v>
      </c>
      <c r="B92" s="1">
        <v>2350000</v>
      </c>
      <c r="C92">
        <v>7000</v>
      </c>
      <c r="D92" s="14">
        <v>0.03</v>
      </c>
      <c r="E92" s="3">
        <f t="shared" si="12"/>
        <v>305500</v>
      </c>
      <c r="F92" s="3">
        <f t="shared" si="13"/>
        <v>265550</v>
      </c>
      <c r="G92" s="2">
        <f t="shared" si="14"/>
        <v>0.18553191489361701</v>
      </c>
      <c r="H92" s="9">
        <f t="shared" si="15"/>
        <v>30000</v>
      </c>
      <c r="I92" s="9">
        <f t="shared" si="16"/>
        <v>465999.99999999994</v>
      </c>
      <c r="L92" s="9">
        <f t="shared" si="17"/>
        <v>3394050</v>
      </c>
      <c r="M92" s="9">
        <f t="shared" si="18"/>
        <v>3729725.2747252751</v>
      </c>
      <c r="N92" s="11">
        <f t="shared" si="19"/>
        <v>466000</v>
      </c>
      <c r="O92" s="12">
        <f t="shared" si="20"/>
        <v>0.12494217822365609</v>
      </c>
      <c r="P92" s="9">
        <f t="shared" si="21"/>
        <v>4040535.7142857146</v>
      </c>
      <c r="Q92" s="11">
        <f t="shared" si="22"/>
        <v>466000</v>
      </c>
      <c r="R92" s="12">
        <f t="shared" si="23"/>
        <v>0.11533124143722101</v>
      </c>
    </row>
    <row r="93" spans="1:18" x14ac:dyDescent="0.3">
      <c r="A93" s="1">
        <v>2350001</v>
      </c>
      <c r="B93" s="1">
        <v>2400000</v>
      </c>
      <c r="C93">
        <v>7000</v>
      </c>
      <c r="D93" s="14">
        <v>0.03</v>
      </c>
      <c r="E93" s="3">
        <f t="shared" si="12"/>
        <v>312000</v>
      </c>
      <c r="F93" s="3">
        <f t="shared" si="13"/>
        <v>271200</v>
      </c>
      <c r="G93" s="2">
        <f t="shared" si="14"/>
        <v>0.18541666666666667</v>
      </c>
      <c r="H93" s="9">
        <f t="shared" si="15"/>
        <v>30000</v>
      </c>
      <c r="I93" s="9">
        <f t="shared" si="16"/>
        <v>475000</v>
      </c>
      <c r="L93" s="9">
        <f t="shared" si="17"/>
        <v>3465200</v>
      </c>
      <c r="M93" s="9">
        <f t="shared" si="18"/>
        <v>3807912.0879120883</v>
      </c>
      <c r="N93" s="11">
        <f t="shared" si="19"/>
        <v>475000</v>
      </c>
      <c r="O93" s="12">
        <f t="shared" si="20"/>
        <v>0.12474027473161721</v>
      </c>
      <c r="P93" s="9">
        <f t="shared" si="21"/>
        <v>4125238.0952380956</v>
      </c>
      <c r="Q93" s="11">
        <f t="shared" si="22"/>
        <v>475000</v>
      </c>
      <c r="R93" s="12">
        <f t="shared" si="23"/>
        <v>0.11514486898303128</v>
      </c>
    </row>
    <row r="94" spans="1:18" x14ac:dyDescent="0.3">
      <c r="A94" s="1">
        <v>2400001</v>
      </c>
      <c r="B94" s="1">
        <v>2450000</v>
      </c>
      <c r="C94">
        <v>7000</v>
      </c>
      <c r="D94" s="14">
        <v>0.03</v>
      </c>
      <c r="E94" s="3">
        <f t="shared" si="12"/>
        <v>318500</v>
      </c>
      <c r="F94" s="3">
        <f t="shared" si="13"/>
        <v>276850</v>
      </c>
      <c r="G94" s="2">
        <f t="shared" si="14"/>
        <v>0.18530612244897959</v>
      </c>
      <c r="H94" s="9">
        <f t="shared" si="15"/>
        <v>30000</v>
      </c>
      <c r="I94" s="9">
        <f t="shared" si="16"/>
        <v>484000</v>
      </c>
      <c r="L94" s="9">
        <f t="shared" si="17"/>
        <v>3536350</v>
      </c>
      <c r="M94" s="9">
        <f t="shared" si="18"/>
        <v>3886098.9010989014</v>
      </c>
      <c r="N94" s="11">
        <f t="shared" si="19"/>
        <v>484000</v>
      </c>
      <c r="O94" s="12">
        <f t="shared" si="20"/>
        <v>0.12454649568057459</v>
      </c>
      <c r="P94" s="9">
        <f t="shared" si="21"/>
        <v>4209940.4761904767</v>
      </c>
      <c r="Q94" s="11">
        <f t="shared" si="22"/>
        <v>484000.00000000047</v>
      </c>
      <c r="R94" s="12">
        <f t="shared" si="23"/>
        <v>0.11496599601283819</v>
      </c>
    </row>
    <row r="95" spans="1:18" x14ac:dyDescent="0.3">
      <c r="A95" s="1">
        <v>2450001</v>
      </c>
      <c r="B95" s="1">
        <v>2500000</v>
      </c>
      <c r="C95">
        <v>7000</v>
      </c>
      <c r="D95" s="14">
        <v>0.03</v>
      </c>
      <c r="E95" s="3">
        <f t="shared" si="12"/>
        <v>325000</v>
      </c>
      <c r="F95" s="3">
        <f t="shared" si="13"/>
        <v>282500</v>
      </c>
      <c r="G95" s="2">
        <f t="shared" si="14"/>
        <v>0.1852</v>
      </c>
      <c r="H95" s="9">
        <f t="shared" si="15"/>
        <v>30000</v>
      </c>
      <c r="I95" s="9">
        <f t="shared" si="16"/>
        <v>493000</v>
      </c>
      <c r="L95" s="9">
        <f t="shared" si="17"/>
        <v>3607500</v>
      </c>
      <c r="M95" s="9">
        <f t="shared" si="18"/>
        <v>3964285.7142857146</v>
      </c>
      <c r="N95" s="11">
        <f t="shared" si="19"/>
        <v>493000</v>
      </c>
      <c r="O95" s="12">
        <f t="shared" si="20"/>
        <v>0.12436036036036036</v>
      </c>
      <c r="P95" s="9">
        <f t="shared" si="21"/>
        <v>4294642.8571428573</v>
      </c>
      <c r="Q95" s="11">
        <f t="shared" si="22"/>
        <v>493000</v>
      </c>
      <c r="R95" s="12">
        <f t="shared" si="23"/>
        <v>0.11479417879417879</v>
      </c>
    </row>
    <row r="96" spans="1:18" x14ac:dyDescent="0.3">
      <c r="A96" s="1">
        <v>2500001</v>
      </c>
      <c r="B96" s="1">
        <v>2550000</v>
      </c>
      <c r="C96">
        <v>7000</v>
      </c>
      <c r="D96" s="14">
        <v>0.03</v>
      </c>
      <c r="E96" s="3">
        <f t="shared" si="12"/>
        <v>331500</v>
      </c>
      <c r="F96" s="3">
        <f t="shared" si="13"/>
        <v>288150</v>
      </c>
      <c r="G96" s="2">
        <f t="shared" si="14"/>
        <v>0.18509803921568627</v>
      </c>
      <c r="H96" s="9">
        <f t="shared" si="15"/>
        <v>30000</v>
      </c>
      <c r="I96" s="9">
        <f t="shared" si="16"/>
        <v>502000</v>
      </c>
      <c r="L96" s="9">
        <f t="shared" si="17"/>
        <v>3678650</v>
      </c>
      <c r="M96" s="9">
        <f t="shared" si="18"/>
        <v>4042472.5274725277</v>
      </c>
      <c r="N96" s="11">
        <f t="shared" si="19"/>
        <v>502000</v>
      </c>
      <c r="O96" s="12">
        <f t="shared" si="20"/>
        <v>0.12418142525111113</v>
      </c>
      <c r="P96" s="9">
        <f t="shared" si="21"/>
        <v>4379345.2380952379</v>
      </c>
      <c r="Q96" s="11">
        <f t="shared" si="22"/>
        <v>501999.99999999953</v>
      </c>
      <c r="R96" s="12">
        <f t="shared" si="23"/>
        <v>0.11462900792410249</v>
      </c>
    </row>
    <row r="97" spans="1:18" x14ac:dyDescent="0.3">
      <c r="A97" s="1">
        <v>2550001</v>
      </c>
      <c r="B97" s="1">
        <v>2600000</v>
      </c>
      <c r="C97">
        <v>7000</v>
      </c>
      <c r="D97" s="14">
        <v>0.03</v>
      </c>
      <c r="E97" s="3">
        <f t="shared" ref="E97:E160" si="24">B97*13%</f>
        <v>338000</v>
      </c>
      <c r="F97" s="3">
        <f t="shared" ref="F97:F160" si="25">(B97+E97)*10%</f>
        <v>293800</v>
      </c>
      <c r="G97" s="2">
        <f t="shared" si="14"/>
        <v>0.185</v>
      </c>
      <c r="H97" s="9">
        <f t="shared" si="15"/>
        <v>30000</v>
      </c>
      <c r="I97" s="9">
        <f t="shared" si="16"/>
        <v>511000</v>
      </c>
      <c r="L97" s="9">
        <f t="shared" si="17"/>
        <v>3749800</v>
      </c>
      <c r="M97" s="9">
        <f t="shared" si="18"/>
        <v>4120659.3406593408</v>
      </c>
      <c r="N97" s="11">
        <f t="shared" si="19"/>
        <v>511000</v>
      </c>
      <c r="O97" s="12">
        <f t="shared" si="20"/>
        <v>0.12400928049495973</v>
      </c>
      <c r="P97" s="9">
        <f t="shared" si="21"/>
        <v>4464047.6190476194</v>
      </c>
      <c r="Q97" s="11">
        <f t="shared" si="22"/>
        <v>511000</v>
      </c>
      <c r="R97" s="12">
        <f t="shared" si="23"/>
        <v>0.11447010507227051</v>
      </c>
    </row>
    <row r="98" spans="1:18" x14ac:dyDescent="0.3">
      <c r="A98" s="1">
        <v>2600001</v>
      </c>
      <c r="B98" s="1">
        <v>2650000</v>
      </c>
      <c r="C98">
        <v>7000</v>
      </c>
      <c r="D98" s="14">
        <v>0.03</v>
      </c>
      <c r="E98" s="3">
        <f t="shared" si="24"/>
        <v>344500</v>
      </c>
      <c r="F98" s="3">
        <f t="shared" si="25"/>
        <v>299450</v>
      </c>
      <c r="G98" s="2">
        <f t="shared" si="14"/>
        <v>0.18490566037735848</v>
      </c>
      <c r="H98" s="9">
        <f t="shared" si="15"/>
        <v>30000</v>
      </c>
      <c r="I98" s="9">
        <f t="shared" si="16"/>
        <v>519999.99999999994</v>
      </c>
      <c r="L98" s="9">
        <f t="shared" si="17"/>
        <v>3820950</v>
      </c>
      <c r="M98" s="9">
        <f t="shared" si="18"/>
        <v>4198846.153846154</v>
      </c>
      <c r="N98" s="11">
        <f t="shared" si="19"/>
        <v>520000</v>
      </c>
      <c r="O98" s="12">
        <f t="shared" si="20"/>
        <v>0.12384354676193093</v>
      </c>
      <c r="P98" s="9">
        <f t="shared" si="21"/>
        <v>4548750</v>
      </c>
      <c r="Q98" s="11">
        <f t="shared" si="22"/>
        <v>520000</v>
      </c>
      <c r="R98" s="12">
        <f t="shared" si="23"/>
        <v>0.11431712008793625</v>
      </c>
    </row>
    <row r="99" spans="1:18" x14ac:dyDescent="0.3">
      <c r="A99" s="1">
        <v>2650001</v>
      </c>
      <c r="B99" s="1">
        <v>2700000</v>
      </c>
      <c r="C99">
        <v>7000</v>
      </c>
      <c r="D99" s="14">
        <v>0.03</v>
      </c>
      <c r="E99" s="3">
        <f t="shared" si="24"/>
        <v>351000</v>
      </c>
      <c r="F99" s="3">
        <f t="shared" si="25"/>
        <v>305100</v>
      </c>
      <c r="G99" s="2">
        <f t="shared" si="14"/>
        <v>0.18481481481481482</v>
      </c>
      <c r="H99" s="9">
        <f t="shared" si="15"/>
        <v>30000</v>
      </c>
      <c r="I99" s="9">
        <f t="shared" si="16"/>
        <v>529000</v>
      </c>
      <c r="L99" s="9">
        <f t="shared" si="17"/>
        <v>3892100</v>
      </c>
      <c r="M99" s="9">
        <f t="shared" si="18"/>
        <v>4277032.9670329671</v>
      </c>
      <c r="N99" s="11">
        <f t="shared" si="19"/>
        <v>528999.99999999953</v>
      </c>
      <c r="O99" s="12">
        <f t="shared" si="20"/>
        <v>0.12368387245959754</v>
      </c>
      <c r="P99" s="9">
        <f t="shared" si="21"/>
        <v>4633452.3809523815</v>
      </c>
      <c r="Q99" s="11">
        <f t="shared" si="22"/>
        <v>529000.00000000047</v>
      </c>
      <c r="R99" s="12">
        <f t="shared" si="23"/>
        <v>0.11416972842424407</v>
      </c>
    </row>
    <row r="100" spans="1:18" x14ac:dyDescent="0.3">
      <c r="A100" s="1">
        <v>2700001</v>
      </c>
      <c r="B100" s="1">
        <v>2750000</v>
      </c>
      <c r="C100">
        <v>7000</v>
      </c>
      <c r="D100" s="14">
        <v>0.03</v>
      </c>
      <c r="E100" s="3">
        <f t="shared" si="24"/>
        <v>357500</v>
      </c>
      <c r="F100" s="3">
        <f t="shared" si="25"/>
        <v>310750</v>
      </c>
      <c r="G100" s="2">
        <f t="shared" si="14"/>
        <v>0.18472727272727271</v>
      </c>
      <c r="H100" s="9">
        <f t="shared" si="15"/>
        <v>30000</v>
      </c>
      <c r="I100" s="9">
        <f t="shared" si="16"/>
        <v>538000</v>
      </c>
      <c r="L100" s="9">
        <f t="shared" si="17"/>
        <v>3963250</v>
      </c>
      <c r="M100" s="9">
        <f t="shared" si="18"/>
        <v>4355219.7802197803</v>
      </c>
      <c r="N100" s="11">
        <f t="shared" si="19"/>
        <v>537999.99999999953</v>
      </c>
      <c r="O100" s="12">
        <f t="shared" si="20"/>
        <v>0.12352993124329768</v>
      </c>
      <c r="P100" s="9">
        <f t="shared" si="21"/>
        <v>4718154.7619047621</v>
      </c>
      <c r="Q100" s="11">
        <f t="shared" si="22"/>
        <v>538000</v>
      </c>
      <c r="R100" s="12">
        <f t="shared" si="23"/>
        <v>0.1140276288399672</v>
      </c>
    </row>
    <row r="101" spans="1:18" x14ac:dyDescent="0.3">
      <c r="A101" s="1">
        <v>2750001</v>
      </c>
      <c r="B101" s="1">
        <v>2800000</v>
      </c>
      <c r="C101">
        <v>7000</v>
      </c>
      <c r="D101" s="14">
        <v>0.03</v>
      </c>
      <c r="E101" s="3">
        <f t="shared" si="24"/>
        <v>364000</v>
      </c>
      <c r="F101" s="3">
        <f t="shared" si="25"/>
        <v>316400</v>
      </c>
      <c r="G101" s="2">
        <f t="shared" si="14"/>
        <v>0.18464285714285714</v>
      </c>
      <c r="H101" s="9">
        <f t="shared" si="15"/>
        <v>30000</v>
      </c>
      <c r="I101" s="9">
        <f t="shared" si="16"/>
        <v>547000</v>
      </c>
      <c r="L101" s="9">
        <f t="shared" si="17"/>
        <v>4034400</v>
      </c>
      <c r="M101" s="9">
        <f t="shared" si="18"/>
        <v>4433406.5934065934</v>
      </c>
      <c r="N101" s="11">
        <f t="shared" si="19"/>
        <v>546999.99999999953</v>
      </c>
      <c r="O101" s="12">
        <f t="shared" si="20"/>
        <v>0.12338141978980754</v>
      </c>
      <c r="P101" s="9">
        <f t="shared" si="21"/>
        <v>4802857.1428571427</v>
      </c>
      <c r="Q101" s="11">
        <f t="shared" si="22"/>
        <v>546999.99999999953</v>
      </c>
      <c r="R101" s="12">
        <f t="shared" si="23"/>
        <v>0.11389054134443774</v>
      </c>
    </row>
    <row r="102" spans="1:18" x14ac:dyDescent="0.3">
      <c r="A102" s="1">
        <v>2800001</v>
      </c>
      <c r="B102" s="1">
        <v>2850000</v>
      </c>
      <c r="C102">
        <v>7000</v>
      </c>
      <c r="D102" s="14">
        <v>0.03</v>
      </c>
      <c r="E102" s="3">
        <f t="shared" si="24"/>
        <v>370500</v>
      </c>
      <c r="F102" s="3">
        <f t="shared" si="25"/>
        <v>322050</v>
      </c>
      <c r="G102" s="2">
        <f t="shared" si="14"/>
        <v>0.18456140350877193</v>
      </c>
      <c r="H102" s="9">
        <f t="shared" si="15"/>
        <v>30000</v>
      </c>
      <c r="I102" s="9">
        <f t="shared" si="16"/>
        <v>556000</v>
      </c>
      <c r="L102" s="9">
        <f t="shared" si="17"/>
        <v>4105550</v>
      </c>
      <c r="M102" s="9">
        <f t="shared" si="18"/>
        <v>4511593.4065934066</v>
      </c>
      <c r="N102" s="11">
        <f t="shared" si="19"/>
        <v>555999.99999999953</v>
      </c>
      <c r="O102" s="12">
        <f t="shared" si="20"/>
        <v>0.12323805580251113</v>
      </c>
      <c r="P102" s="9">
        <f t="shared" si="21"/>
        <v>4887559.5238095243</v>
      </c>
      <c r="Q102" s="11">
        <f t="shared" si="22"/>
        <v>556000</v>
      </c>
      <c r="R102" s="12">
        <f t="shared" si="23"/>
        <v>0.11375820535616421</v>
      </c>
    </row>
    <row r="103" spans="1:18" x14ac:dyDescent="0.3">
      <c r="A103" s="1">
        <v>2850001</v>
      </c>
      <c r="B103" s="1">
        <v>2900000</v>
      </c>
      <c r="C103">
        <v>7000</v>
      </c>
      <c r="D103" s="14">
        <v>0.03</v>
      </c>
      <c r="E103" s="3">
        <f t="shared" si="24"/>
        <v>377000</v>
      </c>
      <c r="F103" s="3">
        <f t="shared" si="25"/>
        <v>327700</v>
      </c>
      <c r="G103" s="2">
        <f t="shared" si="14"/>
        <v>0.18448275862068964</v>
      </c>
      <c r="H103" s="9">
        <f t="shared" si="15"/>
        <v>30000</v>
      </c>
      <c r="I103" s="9">
        <f t="shared" si="16"/>
        <v>565000</v>
      </c>
      <c r="L103" s="9">
        <f t="shared" si="17"/>
        <v>4176700</v>
      </c>
      <c r="M103" s="9">
        <f t="shared" si="18"/>
        <v>4589780.2197802197</v>
      </c>
      <c r="N103" s="11">
        <f t="shared" si="19"/>
        <v>564999.99999999953</v>
      </c>
      <c r="O103" s="12">
        <f t="shared" si="20"/>
        <v>0.12309957622046103</v>
      </c>
      <c r="P103" s="9">
        <f t="shared" si="21"/>
        <v>4972261.9047619049</v>
      </c>
      <c r="Q103" s="11">
        <f t="shared" si="22"/>
        <v>565000</v>
      </c>
      <c r="R103" s="12">
        <f t="shared" si="23"/>
        <v>0.11363037804965642</v>
      </c>
    </row>
    <row r="104" spans="1:18" x14ac:dyDescent="0.3">
      <c r="A104" s="1">
        <v>2900001</v>
      </c>
      <c r="B104" s="1">
        <v>2950000</v>
      </c>
      <c r="C104">
        <v>7000</v>
      </c>
      <c r="D104" s="14">
        <v>0.03</v>
      </c>
      <c r="E104" s="3">
        <f t="shared" si="24"/>
        <v>383500</v>
      </c>
      <c r="F104" s="3">
        <f t="shared" si="25"/>
        <v>333350</v>
      </c>
      <c r="G104" s="2">
        <f t="shared" si="14"/>
        <v>0.18440677966101693</v>
      </c>
      <c r="H104" s="9">
        <f t="shared" si="15"/>
        <v>30000</v>
      </c>
      <c r="I104" s="9">
        <f t="shared" si="16"/>
        <v>573999.99999999988</v>
      </c>
      <c r="L104" s="9">
        <f t="shared" si="17"/>
        <v>4247850</v>
      </c>
      <c r="M104" s="9">
        <f t="shared" si="18"/>
        <v>4667967.0329670338</v>
      </c>
      <c r="N104" s="11">
        <f t="shared" si="19"/>
        <v>574000</v>
      </c>
      <c r="O104" s="12">
        <f t="shared" si="20"/>
        <v>0.12296573560742491</v>
      </c>
      <c r="P104" s="9">
        <f t="shared" si="21"/>
        <v>5056964.2857142854</v>
      </c>
      <c r="Q104" s="11">
        <f t="shared" si="22"/>
        <v>574000</v>
      </c>
      <c r="R104" s="12">
        <f t="shared" si="23"/>
        <v>0.11350683286839225</v>
      </c>
    </row>
    <row r="105" spans="1:18" x14ac:dyDescent="0.3">
      <c r="A105" s="1">
        <v>2950001</v>
      </c>
      <c r="B105" s="1">
        <v>3000000</v>
      </c>
      <c r="C105">
        <v>7000</v>
      </c>
      <c r="D105" s="14">
        <v>0.03</v>
      </c>
      <c r="E105" s="3">
        <f t="shared" si="24"/>
        <v>390000</v>
      </c>
      <c r="F105" s="3">
        <f t="shared" si="25"/>
        <v>339000</v>
      </c>
      <c r="G105" s="2">
        <f t="shared" si="14"/>
        <v>0.18433333333333332</v>
      </c>
      <c r="H105" s="9">
        <f t="shared" si="15"/>
        <v>30000</v>
      </c>
      <c r="I105" s="9">
        <f t="shared" si="16"/>
        <v>583000</v>
      </c>
      <c r="L105" s="9">
        <f t="shared" si="17"/>
        <v>4319000</v>
      </c>
      <c r="M105" s="9">
        <f t="shared" si="18"/>
        <v>4746153.8461538469</v>
      </c>
      <c r="N105" s="11">
        <f t="shared" si="19"/>
        <v>583000</v>
      </c>
      <c r="O105" s="12">
        <f t="shared" si="20"/>
        <v>0.12283630470016206</v>
      </c>
      <c r="P105" s="9">
        <f t="shared" si="21"/>
        <v>5141666.666666667</v>
      </c>
      <c r="Q105" s="11">
        <f t="shared" si="22"/>
        <v>583000</v>
      </c>
      <c r="R105" s="12">
        <f t="shared" si="23"/>
        <v>0.11338735818476499</v>
      </c>
    </row>
    <row r="106" spans="1:18" x14ac:dyDescent="0.3">
      <c r="A106" s="1">
        <v>3000001</v>
      </c>
      <c r="B106" s="1">
        <v>3050000</v>
      </c>
      <c r="C106">
        <v>7000</v>
      </c>
      <c r="D106" s="14">
        <v>0.03</v>
      </c>
      <c r="E106" s="3">
        <f t="shared" si="24"/>
        <v>396500</v>
      </c>
      <c r="F106" s="3">
        <f t="shared" si="25"/>
        <v>344650</v>
      </c>
      <c r="G106" s="2">
        <f t="shared" si="14"/>
        <v>0.1842622950819672</v>
      </c>
      <c r="H106" s="9">
        <f t="shared" si="15"/>
        <v>30000</v>
      </c>
      <c r="I106" s="9">
        <f t="shared" si="16"/>
        <v>592000</v>
      </c>
      <c r="L106" s="9">
        <f t="shared" si="17"/>
        <v>4390150</v>
      </c>
      <c r="M106" s="9">
        <f t="shared" si="18"/>
        <v>4824340.6593406601</v>
      </c>
      <c r="N106" s="11">
        <f t="shared" si="19"/>
        <v>592000</v>
      </c>
      <c r="O106" s="12">
        <f t="shared" si="20"/>
        <v>0.12271106909786679</v>
      </c>
      <c r="P106" s="9">
        <f t="shared" si="21"/>
        <v>5226369.0476190476</v>
      </c>
      <c r="Q106" s="11">
        <f t="shared" si="22"/>
        <v>592000</v>
      </c>
      <c r="R106" s="12">
        <f t="shared" si="23"/>
        <v>0.1132717560903386</v>
      </c>
    </row>
    <row r="107" spans="1:18" x14ac:dyDescent="0.3">
      <c r="A107" s="1">
        <v>3050001</v>
      </c>
      <c r="B107" s="1">
        <v>3100000</v>
      </c>
      <c r="C107">
        <v>7000</v>
      </c>
      <c r="D107" s="14">
        <v>0.03</v>
      </c>
      <c r="E107" s="3">
        <f t="shared" si="24"/>
        <v>403000</v>
      </c>
      <c r="F107" s="3">
        <f t="shared" si="25"/>
        <v>350300</v>
      </c>
      <c r="G107" s="2">
        <f t="shared" si="14"/>
        <v>0.18419354838709676</v>
      </c>
      <c r="H107" s="9">
        <f t="shared" si="15"/>
        <v>30000</v>
      </c>
      <c r="I107" s="9">
        <f t="shared" si="16"/>
        <v>601000</v>
      </c>
      <c r="L107" s="9">
        <f t="shared" si="17"/>
        <v>4461300</v>
      </c>
      <c r="M107" s="9">
        <f t="shared" si="18"/>
        <v>4902527.4725274732</v>
      </c>
      <c r="N107" s="11">
        <f t="shared" si="19"/>
        <v>601000</v>
      </c>
      <c r="O107" s="12">
        <f t="shared" si="20"/>
        <v>0.12258982807701789</v>
      </c>
      <c r="P107" s="9">
        <f t="shared" si="21"/>
        <v>5311071.4285714291</v>
      </c>
      <c r="Q107" s="11">
        <f t="shared" si="22"/>
        <v>601000</v>
      </c>
      <c r="R107" s="12">
        <f t="shared" si="23"/>
        <v>0.11315984130186267</v>
      </c>
    </row>
    <row r="108" spans="1:18" x14ac:dyDescent="0.3">
      <c r="A108" s="1">
        <v>3100001</v>
      </c>
      <c r="B108" s="1">
        <v>3150000</v>
      </c>
      <c r="C108">
        <v>7000</v>
      </c>
      <c r="D108" s="14">
        <v>0.03</v>
      </c>
      <c r="E108" s="3">
        <f t="shared" si="24"/>
        <v>409500</v>
      </c>
      <c r="F108" s="3">
        <f t="shared" si="25"/>
        <v>355950</v>
      </c>
      <c r="G108" s="2">
        <f t="shared" si="14"/>
        <v>0.18412698412698411</v>
      </c>
      <c r="H108" s="9">
        <f t="shared" si="15"/>
        <v>30000</v>
      </c>
      <c r="I108" s="9">
        <f t="shared" si="16"/>
        <v>610000</v>
      </c>
      <c r="L108" s="9">
        <f t="shared" si="17"/>
        <v>4532450</v>
      </c>
      <c r="M108" s="9">
        <f t="shared" si="18"/>
        <v>4980714.2857142864</v>
      </c>
      <c r="N108" s="11">
        <f t="shared" si="19"/>
        <v>610000</v>
      </c>
      <c r="O108" s="12">
        <f t="shared" si="20"/>
        <v>0.12247239351785456</v>
      </c>
      <c r="P108" s="9">
        <f t="shared" si="21"/>
        <v>5395773.8095238097</v>
      </c>
      <c r="Q108" s="11">
        <f t="shared" si="22"/>
        <v>610000</v>
      </c>
      <c r="R108" s="12">
        <f t="shared" si="23"/>
        <v>0.1130514401703273</v>
      </c>
    </row>
    <row r="109" spans="1:18" x14ac:dyDescent="0.3">
      <c r="A109" s="1">
        <v>3150001</v>
      </c>
      <c r="B109" s="1">
        <v>3200000</v>
      </c>
      <c r="C109">
        <v>7000</v>
      </c>
      <c r="D109" s="14">
        <v>0.03</v>
      </c>
      <c r="E109" s="3">
        <f t="shared" si="24"/>
        <v>416000</v>
      </c>
      <c r="F109" s="3">
        <f t="shared" si="25"/>
        <v>361600</v>
      </c>
      <c r="G109" s="2">
        <f t="shared" si="14"/>
        <v>0.18406249999999999</v>
      </c>
      <c r="H109" s="9">
        <f t="shared" si="15"/>
        <v>30000</v>
      </c>
      <c r="I109" s="9">
        <f t="shared" si="16"/>
        <v>619000</v>
      </c>
      <c r="L109" s="9">
        <f t="shared" si="17"/>
        <v>4603600</v>
      </c>
      <c r="M109" s="9">
        <f t="shared" si="18"/>
        <v>5058901.0989010995</v>
      </c>
      <c r="N109" s="11">
        <f t="shared" si="19"/>
        <v>619000</v>
      </c>
      <c r="O109" s="12">
        <f t="shared" si="20"/>
        <v>0.12235858893040227</v>
      </c>
      <c r="P109" s="9">
        <f t="shared" si="21"/>
        <v>5480476.1904761903</v>
      </c>
      <c r="Q109" s="11">
        <f t="shared" si="22"/>
        <v>619000</v>
      </c>
      <c r="R109" s="12">
        <f t="shared" si="23"/>
        <v>0.11294638978190981</v>
      </c>
    </row>
    <row r="110" spans="1:18" x14ac:dyDescent="0.3">
      <c r="A110" s="1">
        <v>3200001</v>
      </c>
      <c r="B110" s="1">
        <v>3250000</v>
      </c>
      <c r="C110">
        <v>7000</v>
      </c>
      <c r="D110" s="14">
        <v>0.03</v>
      </c>
      <c r="E110" s="3">
        <f t="shared" si="24"/>
        <v>422500</v>
      </c>
      <c r="F110" s="3">
        <f t="shared" si="25"/>
        <v>367250</v>
      </c>
      <c r="G110" s="2">
        <f t="shared" si="14"/>
        <v>0.184</v>
      </c>
      <c r="H110" s="9">
        <f t="shared" si="15"/>
        <v>30000</v>
      </c>
      <c r="I110" s="9">
        <f t="shared" si="16"/>
        <v>628000</v>
      </c>
      <c r="L110" s="9">
        <f t="shared" si="17"/>
        <v>4674750</v>
      </c>
      <c r="M110" s="9">
        <f t="shared" si="18"/>
        <v>5137087.9120879127</v>
      </c>
      <c r="N110" s="11">
        <f t="shared" si="19"/>
        <v>628000</v>
      </c>
      <c r="O110" s="12">
        <f t="shared" si="20"/>
        <v>0.12224824856944221</v>
      </c>
      <c r="P110" s="9">
        <f t="shared" si="21"/>
        <v>5565178.5714285718</v>
      </c>
      <c r="Q110" s="11">
        <f t="shared" si="22"/>
        <v>628000</v>
      </c>
      <c r="R110" s="12">
        <f t="shared" si="23"/>
        <v>0.11284453714102358</v>
      </c>
    </row>
    <row r="111" spans="1:18" x14ac:dyDescent="0.3">
      <c r="A111" s="1">
        <v>3250001</v>
      </c>
      <c r="B111" s="1">
        <v>3300000</v>
      </c>
      <c r="C111">
        <v>7000</v>
      </c>
      <c r="D111" s="14">
        <v>0.03</v>
      </c>
      <c r="E111" s="3">
        <f t="shared" si="24"/>
        <v>429000</v>
      </c>
      <c r="F111" s="3">
        <f t="shared" si="25"/>
        <v>372900</v>
      </c>
      <c r="G111" s="2">
        <f t="shared" si="14"/>
        <v>0.18393939393939393</v>
      </c>
      <c r="H111" s="9">
        <f t="shared" si="15"/>
        <v>30000</v>
      </c>
      <c r="I111" s="9">
        <f t="shared" si="16"/>
        <v>637000</v>
      </c>
      <c r="L111" s="9">
        <f t="shared" si="17"/>
        <v>4745900</v>
      </c>
      <c r="M111" s="9">
        <f t="shared" si="18"/>
        <v>5215274.7252747258</v>
      </c>
      <c r="N111" s="11">
        <f t="shared" si="19"/>
        <v>637000</v>
      </c>
      <c r="O111" s="12">
        <f t="shared" si="20"/>
        <v>0.12214121662909036</v>
      </c>
      <c r="P111" s="9">
        <f t="shared" si="21"/>
        <v>5649880.9523809524</v>
      </c>
      <c r="Q111" s="11">
        <f t="shared" si="22"/>
        <v>637000</v>
      </c>
      <c r="R111" s="12">
        <f t="shared" si="23"/>
        <v>0.11274573842685265</v>
      </c>
    </row>
    <row r="112" spans="1:18" x14ac:dyDescent="0.3">
      <c r="A112" s="1">
        <v>3300001</v>
      </c>
      <c r="B112" s="1">
        <v>3350000</v>
      </c>
      <c r="C112">
        <v>7000</v>
      </c>
      <c r="D112" s="14">
        <v>0.03</v>
      </c>
      <c r="E112" s="3">
        <f t="shared" si="24"/>
        <v>435500</v>
      </c>
      <c r="F112" s="3">
        <f t="shared" si="25"/>
        <v>378550</v>
      </c>
      <c r="G112" s="2">
        <f t="shared" si="14"/>
        <v>0.18388059701492537</v>
      </c>
      <c r="H112" s="9">
        <f t="shared" si="15"/>
        <v>30000</v>
      </c>
      <c r="I112" s="9">
        <f t="shared" si="16"/>
        <v>646000</v>
      </c>
      <c r="L112" s="9">
        <f t="shared" si="17"/>
        <v>4817050</v>
      </c>
      <c r="M112" s="9">
        <f t="shared" si="18"/>
        <v>5293461.538461539</v>
      </c>
      <c r="N112" s="11">
        <f t="shared" si="19"/>
        <v>646000</v>
      </c>
      <c r="O112" s="12">
        <f t="shared" si="20"/>
        <v>0.12203734650875535</v>
      </c>
      <c r="P112" s="9">
        <f t="shared" si="21"/>
        <v>5734583.333333334</v>
      </c>
      <c r="Q112" s="11">
        <f t="shared" si="22"/>
        <v>646000</v>
      </c>
      <c r="R112" s="12">
        <f t="shared" si="23"/>
        <v>0.11264985831577416</v>
      </c>
    </row>
    <row r="113" spans="1:18" x14ac:dyDescent="0.3">
      <c r="A113" s="1">
        <v>3350001</v>
      </c>
      <c r="B113" s="1">
        <v>3400000</v>
      </c>
      <c r="C113">
        <v>7000</v>
      </c>
      <c r="D113" s="14">
        <v>0.03</v>
      </c>
      <c r="E113" s="3">
        <f t="shared" si="24"/>
        <v>442000</v>
      </c>
      <c r="F113" s="3">
        <f t="shared" si="25"/>
        <v>384200</v>
      </c>
      <c r="G113" s="2">
        <f t="shared" si="14"/>
        <v>0.18382352941176469</v>
      </c>
      <c r="H113" s="9">
        <f t="shared" si="15"/>
        <v>30000</v>
      </c>
      <c r="I113" s="9">
        <f t="shared" si="16"/>
        <v>655000</v>
      </c>
      <c r="L113" s="9">
        <f t="shared" si="17"/>
        <v>4888200</v>
      </c>
      <c r="M113" s="9">
        <f t="shared" si="18"/>
        <v>5371648.3516483521</v>
      </c>
      <c r="N113" s="11">
        <f t="shared" si="19"/>
        <v>655000</v>
      </c>
      <c r="O113" s="12">
        <f t="shared" si="20"/>
        <v>0.12193650014320198</v>
      </c>
      <c r="P113" s="9">
        <f t="shared" si="21"/>
        <v>5819285.7142857146</v>
      </c>
      <c r="Q113" s="11">
        <f t="shared" si="22"/>
        <v>655000</v>
      </c>
      <c r="R113" s="12">
        <f t="shared" si="23"/>
        <v>0.11255676936295568</v>
      </c>
    </row>
    <row r="114" spans="1:18" x14ac:dyDescent="0.3">
      <c r="A114" s="1">
        <v>3400001</v>
      </c>
      <c r="B114" s="1">
        <v>3450000</v>
      </c>
      <c r="C114">
        <v>7000</v>
      </c>
      <c r="D114" s="14">
        <v>0.03</v>
      </c>
      <c r="E114" s="3">
        <f t="shared" si="24"/>
        <v>448500</v>
      </c>
      <c r="F114" s="3">
        <f t="shared" si="25"/>
        <v>389850</v>
      </c>
      <c r="G114" s="2">
        <f t="shared" si="14"/>
        <v>0.18376811594202899</v>
      </c>
      <c r="H114" s="9">
        <f t="shared" si="15"/>
        <v>30000</v>
      </c>
      <c r="I114" s="9">
        <f t="shared" si="16"/>
        <v>664000</v>
      </c>
      <c r="L114" s="9">
        <f t="shared" si="17"/>
        <v>4959350</v>
      </c>
      <c r="M114" s="9">
        <f t="shared" si="18"/>
        <v>5449835.1648351653</v>
      </c>
      <c r="N114" s="11">
        <f t="shared" si="19"/>
        <v>664000</v>
      </c>
      <c r="O114" s="12">
        <f t="shared" si="20"/>
        <v>0.12183854739028299</v>
      </c>
      <c r="P114" s="9">
        <f t="shared" si="21"/>
        <v>5903988.0952380951</v>
      </c>
      <c r="Q114" s="11">
        <f t="shared" si="22"/>
        <v>664000</v>
      </c>
      <c r="R114" s="12">
        <f t="shared" si="23"/>
        <v>0.11246635143718431</v>
      </c>
    </row>
    <row r="115" spans="1:18" x14ac:dyDescent="0.3">
      <c r="A115" s="1">
        <v>3450001</v>
      </c>
      <c r="B115" s="1">
        <v>3500000</v>
      </c>
      <c r="C115">
        <v>7000</v>
      </c>
      <c r="D115" s="14">
        <v>0.03</v>
      </c>
      <c r="E115" s="3">
        <f t="shared" si="24"/>
        <v>455000</v>
      </c>
      <c r="F115" s="3">
        <f t="shared" si="25"/>
        <v>395500</v>
      </c>
      <c r="G115" s="2">
        <f t="shared" si="14"/>
        <v>0.18371428571428572</v>
      </c>
      <c r="H115" s="9">
        <f t="shared" si="15"/>
        <v>30000</v>
      </c>
      <c r="I115" s="9">
        <f t="shared" si="16"/>
        <v>673000</v>
      </c>
      <c r="L115" s="9">
        <f t="shared" si="17"/>
        <v>5030500</v>
      </c>
      <c r="M115" s="9">
        <f t="shared" si="18"/>
        <v>5528021.9780219784</v>
      </c>
      <c r="N115" s="11">
        <f t="shared" si="19"/>
        <v>673000</v>
      </c>
      <c r="O115" s="12">
        <f t="shared" si="20"/>
        <v>0.12174336547062915</v>
      </c>
      <c r="P115" s="9">
        <f t="shared" si="21"/>
        <v>5988690.4761904767</v>
      </c>
      <c r="Q115" s="11">
        <f t="shared" si="22"/>
        <v>673000</v>
      </c>
      <c r="R115" s="12">
        <f t="shared" si="23"/>
        <v>0.11237849120365768</v>
      </c>
    </row>
    <row r="116" spans="1:18" x14ac:dyDescent="0.3">
      <c r="A116" s="1">
        <v>3500001</v>
      </c>
      <c r="B116" s="1">
        <v>3550000</v>
      </c>
      <c r="C116">
        <v>7000</v>
      </c>
      <c r="D116" s="14">
        <v>0.03</v>
      </c>
      <c r="E116" s="3">
        <f t="shared" si="24"/>
        <v>461500</v>
      </c>
      <c r="F116" s="3">
        <f t="shared" si="25"/>
        <v>401150</v>
      </c>
      <c r="G116" s="2">
        <f t="shared" si="14"/>
        <v>0.1836619718309859</v>
      </c>
      <c r="H116" s="9">
        <f t="shared" si="15"/>
        <v>30000</v>
      </c>
      <c r="I116" s="9">
        <f t="shared" si="16"/>
        <v>681999.99999999988</v>
      </c>
      <c r="L116" s="9">
        <f t="shared" si="17"/>
        <v>5101650</v>
      </c>
      <c r="M116" s="9">
        <f t="shared" si="18"/>
        <v>5606208.7912087915</v>
      </c>
      <c r="N116" s="11">
        <f t="shared" si="19"/>
        <v>682000</v>
      </c>
      <c r="O116" s="12">
        <f t="shared" si="20"/>
        <v>0.12165083845422558</v>
      </c>
      <c r="P116" s="9">
        <f t="shared" si="21"/>
        <v>6073392.8571428573</v>
      </c>
      <c r="Q116" s="11">
        <f t="shared" si="22"/>
        <v>682000</v>
      </c>
      <c r="R116" s="12">
        <f t="shared" si="23"/>
        <v>0.11229308165005439</v>
      </c>
    </row>
    <row r="117" spans="1:18" x14ac:dyDescent="0.3">
      <c r="A117" s="1">
        <v>3550001</v>
      </c>
      <c r="B117" s="1">
        <v>3600000</v>
      </c>
      <c r="C117">
        <v>7000</v>
      </c>
      <c r="D117" s="14">
        <v>0.03</v>
      </c>
      <c r="E117" s="3">
        <f t="shared" si="24"/>
        <v>468000</v>
      </c>
      <c r="F117" s="3">
        <f t="shared" si="25"/>
        <v>406800</v>
      </c>
      <c r="G117" s="2">
        <f t="shared" si="14"/>
        <v>0.18361111111111111</v>
      </c>
      <c r="H117" s="9">
        <f t="shared" si="15"/>
        <v>30000</v>
      </c>
      <c r="I117" s="9">
        <f t="shared" si="16"/>
        <v>691000</v>
      </c>
      <c r="L117" s="9">
        <f t="shared" si="17"/>
        <v>5172800</v>
      </c>
      <c r="M117" s="9">
        <f t="shared" si="18"/>
        <v>5684395.6043956047</v>
      </c>
      <c r="N117" s="11">
        <f t="shared" si="19"/>
        <v>691000</v>
      </c>
      <c r="O117" s="12">
        <f t="shared" si="20"/>
        <v>0.12156085678935973</v>
      </c>
      <c r="P117" s="9">
        <f t="shared" si="21"/>
        <v>6158095.2380952379</v>
      </c>
      <c r="Q117" s="11">
        <f t="shared" si="22"/>
        <v>691000</v>
      </c>
      <c r="R117" s="12">
        <f t="shared" si="23"/>
        <v>0.11221002165171667</v>
      </c>
    </row>
    <row r="118" spans="1:18" x14ac:dyDescent="0.3">
      <c r="A118" s="1">
        <v>3600001</v>
      </c>
      <c r="B118" s="1">
        <v>3650000</v>
      </c>
      <c r="C118">
        <v>7000</v>
      </c>
      <c r="D118" s="14">
        <v>0.03</v>
      </c>
      <c r="E118" s="3">
        <f t="shared" si="24"/>
        <v>474500</v>
      </c>
      <c r="F118" s="3">
        <f t="shared" si="25"/>
        <v>412450</v>
      </c>
      <c r="G118" s="2">
        <f t="shared" si="14"/>
        <v>0.18356164383561643</v>
      </c>
      <c r="H118" s="9">
        <f t="shared" si="15"/>
        <v>30000</v>
      </c>
      <c r="I118" s="9">
        <f t="shared" si="16"/>
        <v>700000</v>
      </c>
      <c r="L118" s="9">
        <f t="shared" si="17"/>
        <v>5243950</v>
      </c>
      <c r="M118" s="9">
        <f t="shared" si="18"/>
        <v>5762582.4175824178</v>
      </c>
      <c r="N118" s="11">
        <f t="shared" si="19"/>
        <v>700000</v>
      </c>
      <c r="O118" s="12">
        <f t="shared" si="20"/>
        <v>0.12147331686991676</v>
      </c>
      <c r="P118" s="9">
        <f t="shared" si="21"/>
        <v>6242797.6190476194</v>
      </c>
      <c r="Q118" s="11">
        <f t="shared" si="22"/>
        <v>700000</v>
      </c>
      <c r="R118" s="12">
        <f t="shared" si="23"/>
        <v>0.11212921557223085</v>
      </c>
    </row>
    <row r="119" spans="1:18" x14ac:dyDescent="0.3">
      <c r="A119" s="1">
        <v>3650001</v>
      </c>
      <c r="B119" s="1">
        <v>3700000</v>
      </c>
      <c r="C119">
        <v>7000</v>
      </c>
      <c r="D119" s="14">
        <v>0.03</v>
      </c>
      <c r="E119" s="3">
        <f t="shared" si="24"/>
        <v>481000</v>
      </c>
      <c r="F119" s="3">
        <f t="shared" si="25"/>
        <v>418100</v>
      </c>
      <c r="G119" s="2">
        <f t="shared" si="14"/>
        <v>0.1835135135135135</v>
      </c>
      <c r="H119" s="9">
        <f t="shared" si="15"/>
        <v>30000</v>
      </c>
      <c r="I119" s="9">
        <f t="shared" si="16"/>
        <v>709000</v>
      </c>
      <c r="L119" s="9">
        <f t="shared" si="17"/>
        <v>5315100</v>
      </c>
      <c r="M119" s="9">
        <f t="shared" si="18"/>
        <v>5840769.230769231</v>
      </c>
      <c r="N119" s="11">
        <f t="shared" si="19"/>
        <v>709000</v>
      </c>
      <c r="O119" s="12">
        <f t="shared" si="20"/>
        <v>0.12138812063742921</v>
      </c>
      <c r="P119" s="9">
        <f t="shared" si="21"/>
        <v>6327500</v>
      </c>
      <c r="Q119" s="11">
        <f t="shared" si="22"/>
        <v>709000</v>
      </c>
      <c r="R119" s="12">
        <f t="shared" si="23"/>
        <v>0.1120505728960885</v>
      </c>
    </row>
    <row r="120" spans="1:18" x14ac:dyDescent="0.3">
      <c r="A120" s="1">
        <v>3700001</v>
      </c>
      <c r="B120" s="1">
        <v>3750000</v>
      </c>
      <c r="C120">
        <v>7000</v>
      </c>
      <c r="D120" s="14">
        <v>0.03</v>
      </c>
      <c r="E120" s="3">
        <f t="shared" si="24"/>
        <v>487500</v>
      </c>
      <c r="F120" s="3">
        <f t="shared" si="25"/>
        <v>423750</v>
      </c>
      <c r="G120" s="2">
        <f t="shared" si="14"/>
        <v>0.18346666666666667</v>
      </c>
      <c r="H120" s="9">
        <f t="shared" si="15"/>
        <v>30000</v>
      </c>
      <c r="I120" s="9">
        <f t="shared" si="16"/>
        <v>718000</v>
      </c>
      <c r="L120" s="9">
        <f t="shared" si="17"/>
        <v>5386250</v>
      </c>
      <c r="M120" s="9">
        <f t="shared" si="18"/>
        <v>5918956.0439560441</v>
      </c>
      <c r="N120" s="11">
        <f t="shared" si="19"/>
        <v>718000</v>
      </c>
      <c r="O120" s="12">
        <f t="shared" si="20"/>
        <v>0.12130517521466697</v>
      </c>
      <c r="P120" s="9">
        <f t="shared" si="21"/>
        <v>6412202.3809523815</v>
      </c>
      <c r="Q120" s="11">
        <f t="shared" si="22"/>
        <v>718000</v>
      </c>
      <c r="R120" s="12">
        <f t="shared" si="23"/>
        <v>0.11197400789046182</v>
      </c>
    </row>
    <row r="121" spans="1:18" x14ac:dyDescent="0.3">
      <c r="A121" s="1">
        <v>3750001</v>
      </c>
      <c r="B121" s="1">
        <v>3800000</v>
      </c>
      <c r="C121">
        <v>7000</v>
      </c>
      <c r="D121" s="14">
        <v>0.03</v>
      </c>
      <c r="E121" s="3">
        <f t="shared" si="24"/>
        <v>494000</v>
      </c>
      <c r="F121" s="3">
        <f t="shared" si="25"/>
        <v>429400</v>
      </c>
      <c r="G121" s="2">
        <f t="shared" si="14"/>
        <v>0.18342105263157893</v>
      </c>
      <c r="H121" s="9">
        <f t="shared" si="15"/>
        <v>30000</v>
      </c>
      <c r="I121" s="9">
        <f t="shared" si="16"/>
        <v>726999.99999999988</v>
      </c>
      <c r="L121" s="9">
        <f t="shared" si="17"/>
        <v>5457400</v>
      </c>
      <c r="M121" s="9">
        <f t="shared" si="18"/>
        <v>5997142.8571428573</v>
      </c>
      <c r="N121" s="11">
        <f t="shared" si="19"/>
        <v>727000</v>
      </c>
      <c r="O121" s="12">
        <f t="shared" si="20"/>
        <v>0.12122439256788947</v>
      </c>
      <c r="P121" s="9">
        <f t="shared" si="21"/>
        <v>6496904.7619047621</v>
      </c>
      <c r="Q121" s="11">
        <f t="shared" si="22"/>
        <v>727000</v>
      </c>
      <c r="R121" s="12">
        <f t="shared" si="23"/>
        <v>0.11189943929343643</v>
      </c>
    </row>
    <row r="122" spans="1:18" x14ac:dyDescent="0.3">
      <c r="A122" s="1">
        <v>3800001</v>
      </c>
      <c r="B122" s="1">
        <v>3850000</v>
      </c>
      <c r="C122">
        <v>7000</v>
      </c>
      <c r="D122" s="14">
        <v>0.03</v>
      </c>
      <c r="E122" s="3">
        <f t="shared" si="24"/>
        <v>500500</v>
      </c>
      <c r="F122" s="3">
        <f t="shared" si="25"/>
        <v>435050</v>
      </c>
      <c r="G122" s="2">
        <f t="shared" si="14"/>
        <v>0.18337662337662336</v>
      </c>
      <c r="H122" s="9">
        <f t="shared" si="15"/>
        <v>30000</v>
      </c>
      <c r="I122" s="9">
        <f t="shared" si="16"/>
        <v>735999.99999999988</v>
      </c>
      <c r="L122" s="9">
        <f t="shared" si="17"/>
        <v>5528550</v>
      </c>
      <c r="M122" s="9">
        <f t="shared" si="18"/>
        <v>6075329.6703296704</v>
      </c>
      <c r="N122" s="11">
        <f t="shared" si="19"/>
        <v>736000</v>
      </c>
      <c r="O122" s="12">
        <f t="shared" si="20"/>
        <v>0.12114568919517776</v>
      </c>
      <c r="P122" s="9">
        <f t="shared" si="21"/>
        <v>6581607.1428571427</v>
      </c>
      <c r="Q122" s="11">
        <f t="shared" si="22"/>
        <v>736000</v>
      </c>
      <c r="R122" s="12">
        <f t="shared" si="23"/>
        <v>0.11182679002631793</v>
      </c>
    </row>
    <row r="123" spans="1:18" x14ac:dyDescent="0.3">
      <c r="A123" s="1">
        <v>3850001</v>
      </c>
      <c r="B123" s="1">
        <v>3900000</v>
      </c>
      <c r="C123">
        <v>7000</v>
      </c>
      <c r="D123" s="14">
        <v>0.03</v>
      </c>
      <c r="E123" s="3">
        <f t="shared" si="24"/>
        <v>507000</v>
      </c>
      <c r="F123" s="3">
        <f t="shared" si="25"/>
        <v>440700</v>
      </c>
      <c r="G123" s="2">
        <f t="shared" si="14"/>
        <v>0.18333333333333332</v>
      </c>
      <c r="H123" s="9">
        <f t="shared" si="15"/>
        <v>30000</v>
      </c>
      <c r="I123" s="9">
        <f t="shared" si="16"/>
        <v>745000</v>
      </c>
      <c r="L123" s="9">
        <f t="shared" si="17"/>
        <v>5599700</v>
      </c>
      <c r="M123" s="9">
        <f t="shared" si="18"/>
        <v>6153516.4835164845</v>
      </c>
      <c r="N123" s="11">
        <f t="shared" si="19"/>
        <v>745000</v>
      </c>
      <c r="O123" s="12">
        <f t="shared" si="20"/>
        <v>0.12106898583852704</v>
      </c>
      <c r="P123" s="9">
        <f t="shared" si="21"/>
        <v>6666309.5238095243</v>
      </c>
      <c r="Q123" s="11">
        <f t="shared" si="22"/>
        <v>745000</v>
      </c>
      <c r="R123" s="12">
        <f t="shared" si="23"/>
        <v>0.11175598692787113</v>
      </c>
    </row>
    <row r="124" spans="1:18" x14ac:dyDescent="0.3">
      <c r="A124" s="1">
        <v>3900001</v>
      </c>
      <c r="B124" s="1">
        <v>3950000</v>
      </c>
      <c r="C124">
        <v>7000</v>
      </c>
      <c r="D124" s="14">
        <v>0.03</v>
      </c>
      <c r="E124" s="3">
        <f t="shared" si="24"/>
        <v>513500</v>
      </c>
      <c r="F124" s="3">
        <f t="shared" si="25"/>
        <v>446350</v>
      </c>
      <c r="G124" s="2">
        <f t="shared" si="14"/>
        <v>0.18329113924050633</v>
      </c>
      <c r="H124" s="9">
        <f t="shared" si="15"/>
        <v>30000</v>
      </c>
      <c r="I124" s="9">
        <f t="shared" si="16"/>
        <v>754000</v>
      </c>
      <c r="L124" s="9">
        <f t="shared" si="17"/>
        <v>5670850</v>
      </c>
      <c r="M124" s="9">
        <f t="shared" si="18"/>
        <v>6231703.2967032976</v>
      </c>
      <c r="N124" s="11">
        <f t="shared" si="19"/>
        <v>754000</v>
      </c>
      <c r="O124" s="12">
        <f t="shared" si="20"/>
        <v>0.12099420721761286</v>
      </c>
      <c r="P124" s="9">
        <f t="shared" si="21"/>
        <v>6751011.9047619049</v>
      </c>
      <c r="Q124" s="11">
        <f t="shared" si="22"/>
        <v>754000</v>
      </c>
      <c r="R124" s="12">
        <f t="shared" si="23"/>
        <v>0.11168696050856573</v>
      </c>
    </row>
    <row r="125" spans="1:18" x14ac:dyDescent="0.3">
      <c r="A125" s="1">
        <v>3950001</v>
      </c>
      <c r="B125" s="1">
        <v>4000000</v>
      </c>
      <c r="C125">
        <v>7000</v>
      </c>
      <c r="D125" s="14">
        <v>0.03</v>
      </c>
      <c r="E125" s="3">
        <f t="shared" si="24"/>
        <v>520000</v>
      </c>
      <c r="F125" s="3">
        <f t="shared" si="25"/>
        <v>452000</v>
      </c>
      <c r="G125" s="2">
        <f t="shared" si="14"/>
        <v>0.18325</v>
      </c>
      <c r="H125" s="9">
        <f t="shared" si="15"/>
        <v>30000</v>
      </c>
      <c r="I125" s="9">
        <f t="shared" si="16"/>
        <v>763000</v>
      </c>
      <c r="L125" s="9">
        <f t="shared" si="17"/>
        <v>5742000</v>
      </c>
      <c r="M125" s="9">
        <f t="shared" si="18"/>
        <v>6309890.1098901108</v>
      </c>
      <c r="N125" s="11">
        <f t="shared" si="19"/>
        <v>763000</v>
      </c>
      <c r="O125" s="12">
        <f t="shared" si="20"/>
        <v>0.12092128178335074</v>
      </c>
      <c r="P125" s="9">
        <f t="shared" si="21"/>
        <v>6835714.2857142864</v>
      </c>
      <c r="Q125" s="11">
        <f t="shared" si="22"/>
        <v>763000</v>
      </c>
      <c r="R125" s="12">
        <f t="shared" si="23"/>
        <v>0.11161964472309299</v>
      </c>
    </row>
    <row r="126" spans="1:18" x14ac:dyDescent="0.3">
      <c r="A126" s="1">
        <v>4000001</v>
      </c>
      <c r="B126" s="1">
        <v>4050000</v>
      </c>
      <c r="C126">
        <v>7000</v>
      </c>
      <c r="D126" s="14">
        <v>0.03</v>
      </c>
      <c r="E126" s="3">
        <f t="shared" si="24"/>
        <v>526500</v>
      </c>
      <c r="F126" s="3">
        <f t="shared" si="25"/>
        <v>457650</v>
      </c>
      <c r="G126" s="2">
        <f t="shared" si="14"/>
        <v>0.18320987654320986</v>
      </c>
      <c r="H126" s="9">
        <f t="shared" si="15"/>
        <v>30000</v>
      </c>
      <c r="I126" s="9">
        <f t="shared" si="16"/>
        <v>771999.99999999988</v>
      </c>
      <c r="L126" s="9">
        <f t="shared" si="17"/>
        <v>5813150</v>
      </c>
      <c r="M126" s="9">
        <f t="shared" si="18"/>
        <v>6388076.9230769239</v>
      </c>
      <c r="N126" s="11">
        <f t="shared" si="19"/>
        <v>772000</v>
      </c>
      <c r="O126" s="12">
        <f t="shared" si="20"/>
        <v>0.12085014148955384</v>
      </c>
      <c r="P126" s="9">
        <f t="shared" si="21"/>
        <v>6920416.666666667</v>
      </c>
      <c r="Q126" s="11">
        <f t="shared" si="22"/>
        <v>772000</v>
      </c>
      <c r="R126" s="12">
        <f t="shared" si="23"/>
        <v>0.11155397675958817</v>
      </c>
    </row>
    <row r="127" spans="1:18" x14ac:dyDescent="0.3">
      <c r="A127" s="1">
        <v>4050001</v>
      </c>
      <c r="B127" s="1">
        <v>4100000</v>
      </c>
      <c r="C127">
        <v>7000</v>
      </c>
      <c r="D127" s="14">
        <v>0.03</v>
      </c>
      <c r="E127" s="3">
        <f t="shared" si="24"/>
        <v>533000</v>
      </c>
      <c r="F127" s="3">
        <f t="shared" si="25"/>
        <v>463300</v>
      </c>
      <c r="G127" s="2">
        <f t="shared" si="14"/>
        <v>0.18317073170731707</v>
      </c>
      <c r="H127" s="9">
        <f t="shared" si="15"/>
        <v>30000</v>
      </c>
      <c r="I127" s="9">
        <f t="shared" si="16"/>
        <v>781000</v>
      </c>
      <c r="L127" s="9">
        <f t="shared" si="17"/>
        <v>5884300</v>
      </c>
      <c r="M127" s="9">
        <f t="shared" si="18"/>
        <v>6466263.7362637371</v>
      </c>
      <c r="N127" s="11">
        <f t="shared" si="19"/>
        <v>781000</v>
      </c>
      <c r="O127" s="12">
        <f t="shared" si="20"/>
        <v>0.12078072158115662</v>
      </c>
      <c r="P127" s="9">
        <f t="shared" si="21"/>
        <v>7005119.0476190476</v>
      </c>
      <c r="Q127" s="11">
        <f t="shared" si="22"/>
        <v>781000</v>
      </c>
      <c r="R127" s="12">
        <f t="shared" si="23"/>
        <v>0.11148989684414459</v>
      </c>
    </row>
    <row r="128" spans="1:18" x14ac:dyDescent="0.3">
      <c r="A128" s="1">
        <v>4100001</v>
      </c>
      <c r="B128" s="1">
        <v>4150000</v>
      </c>
      <c r="C128">
        <v>7000</v>
      </c>
      <c r="D128" s="14">
        <v>0.03</v>
      </c>
      <c r="E128" s="3">
        <f t="shared" si="24"/>
        <v>539500</v>
      </c>
      <c r="F128" s="3">
        <f t="shared" si="25"/>
        <v>468950</v>
      </c>
      <c r="G128" s="2">
        <f t="shared" si="14"/>
        <v>0.18313253012048192</v>
      </c>
      <c r="H128" s="9">
        <f t="shared" si="15"/>
        <v>30000</v>
      </c>
      <c r="I128" s="9">
        <f t="shared" si="16"/>
        <v>790000</v>
      </c>
      <c r="L128" s="9">
        <f t="shared" si="17"/>
        <v>5955450</v>
      </c>
      <c r="M128" s="9">
        <f t="shared" si="18"/>
        <v>6544450.5494505502</v>
      </c>
      <c r="N128" s="11">
        <f t="shared" si="19"/>
        <v>790000</v>
      </c>
      <c r="O128" s="12">
        <f t="shared" si="20"/>
        <v>0.12071296039761897</v>
      </c>
      <c r="P128" s="9">
        <f t="shared" si="21"/>
        <v>7089821.4285714291</v>
      </c>
      <c r="Q128" s="11">
        <f t="shared" si="22"/>
        <v>790000</v>
      </c>
      <c r="R128" s="12">
        <f t="shared" si="23"/>
        <v>0.1114273480593406</v>
      </c>
    </row>
    <row r="129" spans="1:18" x14ac:dyDescent="0.3">
      <c r="A129" s="1">
        <v>4150001</v>
      </c>
      <c r="B129" s="1">
        <v>4200000</v>
      </c>
      <c r="C129">
        <v>7000</v>
      </c>
      <c r="D129" s="14">
        <v>0.03</v>
      </c>
      <c r="E129" s="3">
        <f t="shared" si="24"/>
        <v>546000</v>
      </c>
      <c r="F129" s="3">
        <f t="shared" si="25"/>
        <v>474600</v>
      </c>
      <c r="G129" s="2">
        <f t="shared" si="14"/>
        <v>0.18309523809523809</v>
      </c>
      <c r="H129" s="9">
        <f t="shared" si="15"/>
        <v>30000</v>
      </c>
      <c r="I129" s="9">
        <f t="shared" si="16"/>
        <v>799000</v>
      </c>
      <c r="L129" s="9">
        <f t="shared" si="17"/>
        <v>6026600</v>
      </c>
      <c r="M129" s="9">
        <f t="shared" si="18"/>
        <v>6622637.3626373634</v>
      </c>
      <c r="N129" s="11">
        <f t="shared" si="19"/>
        <v>799000</v>
      </c>
      <c r="O129" s="12">
        <f t="shared" si="20"/>
        <v>0.12064679919025652</v>
      </c>
      <c r="P129" s="9">
        <f t="shared" si="21"/>
        <v>7174523.8095238097</v>
      </c>
      <c r="Q129" s="11">
        <f t="shared" si="22"/>
        <v>799000</v>
      </c>
      <c r="R129" s="12">
        <f t="shared" si="23"/>
        <v>0.11136627617562141</v>
      </c>
    </row>
    <row r="130" spans="1:18" x14ac:dyDescent="0.3">
      <c r="A130" s="1">
        <v>4200001</v>
      </c>
      <c r="B130" s="1">
        <v>4250000</v>
      </c>
      <c r="C130">
        <v>7000</v>
      </c>
      <c r="D130" s="14">
        <v>0.03</v>
      </c>
      <c r="E130" s="3">
        <f t="shared" si="24"/>
        <v>552500</v>
      </c>
      <c r="F130" s="3">
        <f t="shared" si="25"/>
        <v>480250</v>
      </c>
      <c r="G130" s="2">
        <f t="shared" si="14"/>
        <v>0.18305882352941175</v>
      </c>
      <c r="H130" s="9">
        <f t="shared" si="15"/>
        <v>30000</v>
      </c>
      <c r="I130" s="9">
        <f t="shared" si="16"/>
        <v>807999.99999999988</v>
      </c>
      <c r="L130" s="9">
        <f t="shared" si="17"/>
        <v>6097750</v>
      </c>
      <c r="M130" s="9">
        <f t="shared" si="18"/>
        <v>6700824.1758241765</v>
      </c>
      <c r="N130" s="11">
        <f t="shared" si="19"/>
        <v>808000</v>
      </c>
      <c r="O130" s="12">
        <f t="shared" si="20"/>
        <v>0.12058218195235947</v>
      </c>
      <c r="P130" s="9">
        <f t="shared" si="21"/>
        <v>7259226.1904761903</v>
      </c>
      <c r="Q130" s="11">
        <f t="shared" si="22"/>
        <v>808000</v>
      </c>
      <c r="R130" s="12">
        <f t="shared" si="23"/>
        <v>0.11130662949448568</v>
      </c>
    </row>
    <row r="131" spans="1:18" x14ac:dyDescent="0.3">
      <c r="A131" s="1">
        <v>4250001</v>
      </c>
      <c r="B131" s="1">
        <v>4300000</v>
      </c>
      <c r="C131">
        <v>7000</v>
      </c>
      <c r="D131" s="14">
        <v>0.03</v>
      </c>
      <c r="E131" s="3">
        <f t="shared" si="24"/>
        <v>559000</v>
      </c>
      <c r="F131" s="3">
        <f t="shared" si="25"/>
        <v>485900</v>
      </c>
      <c r="G131" s="2">
        <f t="shared" ref="G131:G194" si="26">MIN($K$2,MAX($K$3,$K$4/B131+$K$3))</f>
        <v>0.18302325581395348</v>
      </c>
      <c r="H131" s="9">
        <f t="shared" ref="H131:H194" si="27">MIN($K$11,$K$9+$K$10*(B131-$B$2))</f>
        <v>30000</v>
      </c>
      <c r="I131" s="9">
        <f t="shared" ref="I131:I194" si="28">B131*G131+H131</f>
        <v>817000</v>
      </c>
      <c r="L131" s="9">
        <f t="shared" ref="L131:L194" si="29">B131+C131+E131+F131+I131</f>
        <v>6168900</v>
      </c>
      <c r="M131" s="9">
        <f t="shared" ref="M131:M194" si="30">L131/(1-$K$14-D131)</f>
        <v>6779010.9890109897</v>
      </c>
      <c r="N131" s="11">
        <f t="shared" ref="N131:N194" si="31">M131*(1-$K$14-D131)-B131-C131-E131-F131</f>
        <v>817000</v>
      </c>
      <c r="O131" s="12">
        <f t="shared" ref="O131:O194" si="32">N131/M131</f>
        <v>0.1205190552610676</v>
      </c>
      <c r="P131" s="9">
        <f t="shared" ref="P131:P194" si="33">L131/(1-$K$15-D131)</f>
        <v>7343928.5714285718</v>
      </c>
      <c r="Q131" s="11">
        <f t="shared" ref="Q131:Q194" si="34">P131*(1-$K$15-D131)-B131-C131-E131-F131</f>
        <v>817000</v>
      </c>
      <c r="R131" s="12">
        <f t="shared" ref="R131:R194" si="35">Q131/P131</f>
        <v>0.11124835870252395</v>
      </c>
    </row>
    <row r="132" spans="1:18" x14ac:dyDescent="0.3">
      <c r="A132" s="1">
        <v>4300001</v>
      </c>
      <c r="B132" s="1">
        <v>4350000</v>
      </c>
      <c r="C132">
        <v>7000</v>
      </c>
      <c r="D132" s="14">
        <v>0.03</v>
      </c>
      <c r="E132" s="3">
        <f t="shared" si="24"/>
        <v>565500</v>
      </c>
      <c r="F132" s="3">
        <f t="shared" si="25"/>
        <v>491550</v>
      </c>
      <c r="G132" s="2">
        <f t="shared" si="26"/>
        <v>0.18298850574712644</v>
      </c>
      <c r="H132" s="9">
        <f t="shared" si="27"/>
        <v>30000</v>
      </c>
      <c r="I132" s="9">
        <f t="shared" si="28"/>
        <v>826000</v>
      </c>
      <c r="L132" s="9">
        <f t="shared" si="29"/>
        <v>6240050</v>
      </c>
      <c r="M132" s="9">
        <f t="shared" si="30"/>
        <v>6857197.8021978028</v>
      </c>
      <c r="N132" s="11">
        <f t="shared" si="31"/>
        <v>826000</v>
      </c>
      <c r="O132" s="12">
        <f t="shared" si="32"/>
        <v>0.12045736813006305</v>
      </c>
      <c r="P132" s="9">
        <f t="shared" si="33"/>
        <v>7428630.9523809524</v>
      </c>
      <c r="Q132" s="11">
        <f t="shared" si="34"/>
        <v>826000</v>
      </c>
      <c r="R132" s="12">
        <f t="shared" si="35"/>
        <v>0.11119141673544282</v>
      </c>
    </row>
    <row r="133" spans="1:18" x14ac:dyDescent="0.3">
      <c r="A133" s="1">
        <v>4350001</v>
      </c>
      <c r="B133" s="1">
        <v>4400000</v>
      </c>
      <c r="C133">
        <v>7000</v>
      </c>
      <c r="D133" s="14">
        <v>0.03</v>
      </c>
      <c r="E133" s="3">
        <f t="shared" si="24"/>
        <v>572000</v>
      </c>
      <c r="F133" s="3">
        <f t="shared" si="25"/>
        <v>497200</v>
      </c>
      <c r="G133" s="2">
        <f t="shared" si="26"/>
        <v>0.18295454545454545</v>
      </c>
      <c r="H133" s="9">
        <f t="shared" si="27"/>
        <v>30000</v>
      </c>
      <c r="I133" s="9">
        <f t="shared" si="28"/>
        <v>835000</v>
      </c>
      <c r="L133" s="9">
        <f t="shared" si="29"/>
        <v>6311200</v>
      </c>
      <c r="M133" s="9">
        <f t="shared" si="30"/>
        <v>6935384.615384616</v>
      </c>
      <c r="N133" s="11">
        <f t="shared" si="31"/>
        <v>835000</v>
      </c>
      <c r="O133" s="12">
        <f t="shared" si="32"/>
        <v>0.12039707187222715</v>
      </c>
      <c r="P133" s="9">
        <f t="shared" si="33"/>
        <v>7513333.333333334</v>
      </c>
      <c r="Q133" s="11">
        <f t="shared" si="34"/>
        <v>835000</v>
      </c>
      <c r="R133" s="12">
        <f t="shared" si="35"/>
        <v>0.1111357586512866</v>
      </c>
    </row>
    <row r="134" spans="1:18" x14ac:dyDescent="0.3">
      <c r="A134" s="1">
        <v>4400001</v>
      </c>
      <c r="B134" s="1">
        <v>4450000</v>
      </c>
      <c r="C134">
        <v>7000</v>
      </c>
      <c r="D134" s="14">
        <v>0.03</v>
      </c>
      <c r="E134" s="3">
        <f t="shared" si="24"/>
        <v>578500</v>
      </c>
      <c r="F134" s="3">
        <f t="shared" si="25"/>
        <v>502850</v>
      </c>
      <c r="G134" s="2">
        <f t="shared" si="26"/>
        <v>0.18292134831460674</v>
      </c>
      <c r="H134" s="9">
        <f t="shared" si="27"/>
        <v>30000</v>
      </c>
      <c r="I134" s="9">
        <f t="shared" si="28"/>
        <v>844000</v>
      </c>
      <c r="L134" s="9">
        <f t="shared" si="29"/>
        <v>6382350</v>
      </c>
      <c r="M134" s="9">
        <f t="shared" si="30"/>
        <v>7013571.4285714291</v>
      </c>
      <c r="N134" s="11">
        <f t="shared" si="31"/>
        <v>844000</v>
      </c>
      <c r="O134" s="12">
        <f t="shared" si="32"/>
        <v>0.12033811997148385</v>
      </c>
      <c r="P134" s="9">
        <f t="shared" si="33"/>
        <v>7598035.7142857146</v>
      </c>
      <c r="Q134" s="11">
        <f t="shared" si="34"/>
        <v>844000</v>
      </c>
      <c r="R134" s="12">
        <f t="shared" si="35"/>
        <v>0.11108134151213894</v>
      </c>
    </row>
    <row r="135" spans="1:18" x14ac:dyDescent="0.3">
      <c r="A135" s="1">
        <v>4450001</v>
      </c>
      <c r="B135" s="1">
        <v>4500000</v>
      </c>
      <c r="C135">
        <v>7000</v>
      </c>
      <c r="D135" s="14">
        <v>0.03</v>
      </c>
      <c r="E135" s="3">
        <f t="shared" si="24"/>
        <v>585000</v>
      </c>
      <c r="F135" s="3">
        <f t="shared" si="25"/>
        <v>508500</v>
      </c>
      <c r="G135" s="2">
        <f t="shared" si="26"/>
        <v>0.18288888888888888</v>
      </c>
      <c r="H135" s="9">
        <f t="shared" si="27"/>
        <v>30000</v>
      </c>
      <c r="I135" s="9">
        <f t="shared" si="28"/>
        <v>853000</v>
      </c>
      <c r="L135" s="9">
        <f t="shared" si="29"/>
        <v>6453500</v>
      </c>
      <c r="M135" s="9">
        <f t="shared" si="30"/>
        <v>7091758.2417582422</v>
      </c>
      <c r="N135" s="11">
        <f t="shared" si="31"/>
        <v>853000</v>
      </c>
      <c r="O135" s="12">
        <f t="shared" si="32"/>
        <v>0.12028046796312078</v>
      </c>
      <c r="P135" s="9">
        <f t="shared" si="33"/>
        <v>7682738.0952380951</v>
      </c>
      <c r="Q135" s="11">
        <f t="shared" si="34"/>
        <v>853000</v>
      </c>
      <c r="R135" s="12">
        <f t="shared" si="35"/>
        <v>0.11102812427364996</v>
      </c>
    </row>
    <row r="136" spans="1:18" x14ac:dyDescent="0.3">
      <c r="A136" s="1">
        <v>4500001</v>
      </c>
      <c r="B136" s="1">
        <v>4550000</v>
      </c>
      <c r="C136">
        <v>7000</v>
      </c>
      <c r="D136" s="14">
        <v>0.03</v>
      </c>
      <c r="E136" s="3">
        <f t="shared" si="24"/>
        <v>591500</v>
      </c>
      <c r="F136" s="3">
        <f t="shared" si="25"/>
        <v>514150</v>
      </c>
      <c r="G136" s="2">
        <f t="shared" si="26"/>
        <v>0.18285714285714286</v>
      </c>
      <c r="H136" s="9">
        <f t="shared" si="27"/>
        <v>30000</v>
      </c>
      <c r="I136" s="9">
        <f t="shared" si="28"/>
        <v>862000</v>
      </c>
      <c r="L136" s="9">
        <f t="shared" si="29"/>
        <v>6524650</v>
      </c>
      <c r="M136" s="9">
        <f t="shared" si="30"/>
        <v>7169945.0549450554</v>
      </c>
      <c r="N136" s="11">
        <f t="shared" si="31"/>
        <v>862000</v>
      </c>
      <c r="O136" s="12">
        <f t="shared" si="32"/>
        <v>0.12022407332194063</v>
      </c>
      <c r="P136" s="9">
        <f t="shared" si="33"/>
        <v>7767440.4761904767</v>
      </c>
      <c r="Q136" s="11">
        <f t="shared" si="34"/>
        <v>862000</v>
      </c>
      <c r="R136" s="12">
        <f t="shared" si="35"/>
        <v>0.11097606768179136</v>
      </c>
    </row>
    <row r="137" spans="1:18" x14ac:dyDescent="0.3">
      <c r="A137" s="1">
        <v>4550001</v>
      </c>
      <c r="B137" s="1">
        <v>4600000</v>
      </c>
      <c r="C137">
        <v>7000</v>
      </c>
      <c r="D137" s="14">
        <v>0.03</v>
      </c>
      <c r="E137" s="3">
        <f t="shared" si="24"/>
        <v>598000</v>
      </c>
      <c r="F137" s="3">
        <f t="shared" si="25"/>
        <v>519800</v>
      </c>
      <c r="G137" s="2">
        <f t="shared" si="26"/>
        <v>0.18282608695652172</v>
      </c>
      <c r="H137" s="9">
        <f t="shared" si="27"/>
        <v>30000</v>
      </c>
      <c r="I137" s="9">
        <f t="shared" si="28"/>
        <v>870999.99999999988</v>
      </c>
      <c r="L137" s="9">
        <f t="shared" si="29"/>
        <v>6595800</v>
      </c>
      <c r="M137" s="9">
        <f t="shared" si="30"/>
        <v>7248131.8681318685</v>
      </c>
      <c r="N137" s="11">
        <f t="shared" si="31"/>
        <v>871000</v>
      </c>
      <c r="O137" s="12">
        <f t="shared" si="32"/>
        <v>0.12016889535765184</v>
      </c>
      <c r="P137" s="9">
        <f t="shared" si="33"/>
        <v>7852142.8571428573</v>
      </c>
      <c r="Q137" s="11">
        <f t="shared" si="34"/>
        <v>871000</v>
      </c>
      <c r="R137" s="12">
        <f t="shared" si="35"/>
        <v>0.110925134176294</v>
      </c>
    </row>
    <row r="138" spans="1:18" x14ac:dyDescent="0.3">
      <c r="A138" s="1">
        <v>4600001</v>
      </c>
      <c r="B138" s="1">
        <v>4650000</v>
      </c>
      <c r="C138">
        <v>7000</v>
      </c>
      <c r="D138" s="14">
        <v>0.03</v>
      </c>
      <c r="E138" s="3">
        <f t="shared" si="24"/>
        <v>604500</v>
      </c>
      <c r="F138" s="3">
        <f t="shared" si="25"/>
        <v>525450</v>
      </c>
      <c r="G138" s="2">
        <f t="shared" si="26"/>
        <v>0.18279569892473119</v>
      </c>
      <c r="H138" s="9">
        <f t="shared" si="27"/>
        <v>30000</v>
      </c>
      <c r="I138" s="9">
        <f t="shared" si="28"/>
        <v>880000</v>
      </c>
      <c r="L138" s="9">
        <f t="shared" si="29"/>
        <v>6666950</v>
      </c>
      <c r="M138" s="9">
        <f t="shared" si="30"/>
        <v>7326318.6813186817</v>
      </c>
      <c r="N138" s="11">
        <f t="shared" si="31"/>
        <v>880000</v>
      </c>
      <c r="O138" s="12">
        <f t="shared" si="32"/>
        <v>0.12011489511695753</v>
      </c>
      <c r="P138" s="9">
        <f t="shared" si="33"/>
        <v>7936845.2380952388</v>
      </c>
      <c r="Q138" s="11">
        <f t="shared" si="34"/>
        <v>880000</v>
      </c>
      <c r="R138" s="12">
        <f t="shared" si="35"/>
        <v>0.11087528780026848</v>
      </c>
    </row>
    <row r="139" spans="1:18" x14ac:dyDescent="0.3">
      <c r="A139" s="1">
        <v>4650001</v>
      </c>
      <c r="B139" s="1">
        <v>4700000</v>
      </c>
      <c r="C139">
        <v>7000</v>
      </c>
      <c r="D139" s="14">
        <v>0.03</v>
      </c>
      <c r="E139" s="3">
        <f t="shared" si="24"/>
        <v>611000</v>
      </c>
      <c r="F139" s="3">
        <f t="shared" si="25"/>
        <v>531100</v>
      </c>
      <c r="G139" s="2">
        <f t="shared" si="26"/>
        <v>0.18276595744680851</v>
      </c>
      <c r="H139" s="9">
        <f t="shared" si="27"/>
        <v>30000</v>
      </c>
      <c r="I139" s="9">
        <f t="shared" si="28"/>
        <v>889000</v>
      </c>
      <c r="L139" s="9">
        <f t="shared" si="29"/>
        <v>6738100</v>
      </c>
      <c r="M139" s="9">
        <f t="shared" si="30"/>
        <v>7404505.4945054948</v>
      </c>
      <c r="N139" s="11">
        <f t="shared" si="31"/>
        <v>889000</v>
      </c>
      <c r="O139" s="12">
        <f t="shared" si="32"/>
        <v>0.12006203529184785</v>
      </c>
      <c r="P139" s="9">
        <f t="shared" si="33"/>
        <v>8021547.6190476194</v>
      </c>
      <c r="Q139" s="11">
        <f t="shared" si="34"/>
        <v>889000</v>
      </c>
      <c r="R139" s="12">
        <f t="shared" si="35"/>
        <v>0.11082649411555186</v>
      </c>
    </row>
    <row r="140" spans="1:18" x14ac:dyDescent="0.3">
      <c r="A140" s="1">
        <v>4700001</v>
      </c>
      <c r="B140" s="1">
        <v>4750000</v>
      </c>
      <c r="C140">
        <v>7000</v>
      </c>
      <c r="D140" s="14">
        <v>0.03</v>
      </c>
      <c r="E140" s="3">
        <f t="shared" si="24"/>
        <v>617500</v>
      </c>
      <c r="F140" s="3">
        <f t="shared" si="25"/>
        <v>536750</v>
      </c>
      <c r="G140" s="2">
        <f t="shared" si="26"/>
        <v>0.18273684210526314</v>
      </c>
      <c r="H140" s="9">
        <f t="shared" si="27"/>
        <v>30000</v>
      </c>
      <c r="I140" s="9">
        <f t="shared" si="28"/>
        <v>897999.99999999988</v>
      </c>
      <c r="L140" s="9">
        <f t="shared" si="29"/>
        <v>6809250</v>
      </c>
      <c r="M140" s="9">
        <f t="shared" si="30"/>
        <v>7482692.307692308</v>
      </c>
      <c r="N140" s="11">
        <f t="shared" si="31"/>
        <v>898000</v>
      </c>
      <c r="O140" s="12">
        <f t="shared" si="32"/>
        <v>0.12001028013364173</v>
      </c>
      <c r="P140" s="9">
        <f t="shared" si="33"/>
        <v>8106250</v>
      </c>
      <c r="Q140" s="11">
        <f t="shared" si="34"/>
        <v>898000</v>
      </c>
      <c r="R140" s="12">
        <f t="shared" si="35"/>
        <v>0.11077872012336161</v>
      </c>
    </row>
    <row r="141" spans="1:18" x14ac:dyDescent="0.3">
      <c r="A141" s="1">
        <v>4750001</v>
      </c>
      <c r="B141" s="1">
        <v>4800000</v>
      </c>
      <c r="C141">
        <v>7000</v>
      </c>
      <c r="D141" s="14">
        <v>0.03</v>
      </c>
      <c r="E141" s="3">
        <f t="shared" si="24"/>
        <v>624000</v>
      </c>
      <c r="F141" s="3">
        <f t="shared" si="25"/>
        <v>542400</v>
      </c>
      <c r="G141" s="2">
        <f t="shared" si="26"/>
        <v>0.18270833333333333</v>
      </c>
      <c r="H141" s="9">
        <f t="shared" si="27"/>
        <v>30000</v>
      </c>
      <c r="I141" s="9">
        <f t="shared" si="28"/>
        <v>907000</v>
      </c>
      <c r="L141" s="9">
        <f t="shared" si="29"/>
        <v>6880400</v>
      </c>
      <c r="M141" s="9">
        <f t="shared" si="30"/>
        <v>7560879.1208791211</v>
      </c>
      <c r="N141" s="11">
        <f t="shared" si="31"/>
        <v>907000</v>
      </c>
      <c r="O141" s="12">
        <f t="shared" si="32"/>
        <v>0.11995959537236207</v>
      </c>
      <c r="P141" s="9">
        <f t="shared" si="33"/>
        <v>8190952.3809523815</v>
      </c>
      <c r="Q141" s="11">
        <f t="shared" si="34"/>
        <v>907000</v>
      </c>
      <c r="R141" s="12">
        <f t="shared" si="35"/>
        <v>0.11073193418987268</v>
      </c>
    </row>
    <row r="142" spans="1:18" x14ac:dyDescent="0.3">
      <c r="A142" s="1">
        <v>4800001</v>
      </c>
      <c r="B142" s="1">
        <v>4850000</v>
      </c>
      <c r="C142">
        <v>7000</v>
      </c>
      <c r="D142" s="14">
        <v>0.03</v>
      </c>
      <c r="E142" s="3">
        <f t="shared" si="24"/>
        <v>630500</v>
      </c>
      <c r="F142" s="3">
        <f t="shared" si="25"/>
        <v>548050</v>
      </c>
      <c r="G142" s="2">
        <f t="shared" si="26"/>
        <v>0.18268041237113403</v>
      </c>
      <c r="H142" s="9">
        <f t="shared" si="27"/>
        <v>30000</v>
      </c>
      <c r="I142" s="9">
        <f t="shared" si="28"/>
        <v>916000</v>
      </c>
      <c r="L142" s="9">
        <f t="shared" si="29"/>
        <v>6951550</v>
      </c>
      <c r="M142" s="9">
        <f t="shared" si="30"/>
        <v>7639065.9340659352</v>
      </c>
      <c r="N142" s="11">
        <f t="shared" si="31"/>
        <v>916000</v>
      </c>
      <c r="O142" s="12">
        <f t="shared" si="32"/>
        <v>0.11990994814106205</v>
      </c>
      <c r="P142" s="9">
        <f t="shared" si="33"/>
        <v>8275654.7619047621</v>
      </c>
      <c r="Q142" s="11">
        <f t="shared" si="34"/>
        <v>916000</v>
      </c>
      <c r="R142" s="12">
        <f t="shared" si="35"/>
        <v>0.11068610597636498</v>
      </c>
    </row>
    <row r="143" spans="1:18" x14ac:dyDescent="0.3">
      <c r="A143" s="1">
        <v>4850001</v>
      </c>
      <c r="B143" s="1">
        <v>4900000</v>
      </c>
      <c r="C143">
        <v>7000</v>
      </c>
      <c r="D143" s="14">
        <v>0.03</v>
      </c>
      <c r="E143" s="3">
        <f t="shared" si="24"/>
        <v>637000</v>
      </c>
      <c r="F143" s="3">
        <f t="shared" si="25"/>
        <v>553700</v>
      </c>
      <c r="G143" s="2">
        <f t="shared" si="26"/>
        <v>0.18265306122448979</v>
      </c>
      <c r="H143" s="9">
        <f t="shared" si="27"/>
        <v>30000</v>
      </c>
      <c r="I143" s="9">
        <f t="shared" si="28"/>
        <v>925000</v>
      </c>
      <c r="L143" s="9">
        <f t="shared" si="29"/>
        <v>7022700</v>
      </c>
      <c r="M143" s="9">
        <f t="shared" si="30"/>
        <v>7717252.7472527483</v>
      </c>
      <c r="N143" s="11">
        <f t="shared" si="31"/>
        <v>925000</v>
      </c>
      <c r="O143" s="12">
        <f t="shared" si="32"/>
        <v>0.11986130690475172</v>
      </c>
      <c r="P143" s="9">
        <f t="shared" si="33"/>
        <v>8360357.1428571427</v>
      </c>
      <c r="Q143" s="11">
        <f t="shared" si="34"/>
        <v>925000</v>
      </c>
      <c r="R143" s="12">
        <f t="shared" si="35"/>
        <v>0.11064120637361699</v>
      </c>
    </row>
    <row r="144" spans="1:18" x14ac:dyDescent="0.3">
      <c r="A144" s="1">
        <v>4900001</v>
      </c>
      <c r="B144" s="1">
        <v>4950000</v>
      </c>
      <c r="C144">
        <v>7000</v>
      </c>
      <c r="D144" s="14">
        <v>0.03</v>
      </c>
      <c r="E144" s="3">
        <f t="shared" si="24"/>
        <v>643500</v>
      </c>
      <c r="F144" s="3">
        <f t="shared" si="25"/>
        <v>559350</v>
      </c>
      <c r="G144" s="2">
        <f t="shared" si="26"/>
        <v>0.18262626262626261</v>
      </c>
      <c r="H144" s="9">
        <f t="shared" si="27"/>
        <v>30000</v>
      </c>
      <c r="I144" s="9">
        <f t="shared" si="28"/>
        <v>933999.99999999988</v>
      </c>
      <c r="L144" s="9">
        <f t="shared" si="29"/>
        <v>7093850</v>
      </c>
      <c r="M144" s="9">
        <f t="shared" si="30"/>
        <v>7795439.5604395615</v>
      </c>
      <c r="N144" s="11">
        <f t="shared" si="31"/>
        <v>934000</v>
      </c>
      <c r="O144" s="12">
        <f t="shared" si="32"/>
        <v>0.11981364139360148</v>
      </c>
      <c r="P144" s="9">
        <f t="shared" si="33"/>
        <v>8445059.5238095243</v>
      </c>
      <c r="Q144" s="11">
        <f t="shared" si="34"/>
        <v>934000</v>
      </c>
      <c r="R144" s="12">
        <f t="shared" si="35"/>
        <v>0.11059720744024754</v>
      </c>
    </row>
    <row r="145" spans="1:18" x14ac:dyDescent="0.3">
      <c r="A145" s="1">
        <v>4950001</v>
      </c>
      <c r="B145" s="1">
        <v>5000000</v>
      </c>
      <c r="C145">
        <v>7000</v>
      </c>
      <c r="D145" s="14">
        <v>0.03</v>
      </c>
      <c r="E145" s="3">
        <f t="shared" si="24"/>
        <v>650000</v>
      </c>
      <c r="F145" s="3">
        <f t="shared" si="25"/>
        <v>565000</v>
      </c>
      <c r="G145" s="2">
        <f t="shared" si="26"/>
        <v>0.18259999999999998</v>
      </c>
      <c r="H145" s="9">
        <f t="shared" si="27"/>
        <v>30000</v>
      </c>
      <c r="I145" s="9">
        <f t="shared" si="28"/>
        <v>942999.99999999988</v>
      </c>
      <c r="L145" s="9">
        <f t="shared" si="29"/>
        <v>7165000</v>
      </c>
      <c r="M145" s="9">
        <f t="shared" si="30"/>
        <v>7873626.3736263746</v>
      </c>
      <c r="N145" s="11">
        <f t="shared" si="31"/>
        <v>943000</v>
      </c>
      <c r="O145" s="12">
        <f t="shared" si="32"/>
        <v>0.11976692254012559</v>
      </c>
      <c r="P145" s="9">
        <f t="shared" si="33"/>
        <v>8529761.9047619049</v>
      </c>
      <c r="Q145" s="11">
        <f t="shared" si="34"/>
        <v>943000</v>
      </c>
      <c r="R145" s="12">
        <f t="shared" si="35"/>
        <v>0.11055408234473132</v>
      </c>
    </row>
    <row r="146" spans="1:18" x14ac:dyDescent="0.3">
      <c r="A146" s="1">
        <v>5000001</v>
      </c>
      <c r="B146" s="1">
        <v>5050000</v>
      </c>
      <c r="C146">
        <v>7000</v>
      </c>
      <c r="D146" s="14">
        <v>0.03</v>
      </c>
      <c r="E146" s="3">
        <f t="shared" si="24"/>
        <v>656500</v>
      </c>
      <c r="F146" s="3">
        <f t="shared" si="25"/>
        <v>570650</v>
      </c>
      <c r="G146" s="2">
        <f t="shared" si="26"/>
        <v>0.18257425742574257</v>
      </c>
      <c r="H146" s="9">
        <f t="shared" si="27"/>
        <v>30000</v>
      </c>
      <c r="I146" s="9">
        <f t="shared" si="28"/>
        <v>952000</v>
      </c>
      <c r="L146" s="9">
        <f t="shared" si="29"/>
        <v>7236150</v>
      </c>
      <c r="M146" s="9">
        <f t="shared" si="30"/>
        <v>7951813.1868131878</v>
      </c>
      <c r="N146" s="11">
        <f t="shared" si="31"/>
        <v>952000</v>
      </c>
      <c r="O146" s="12">
        <f t="shared" si="32"/>
        <v>0.11972112242007144</v>
      </c>
      <c r="P146" s="9">
        <f t="shared" si="33"/>
        <v>8614464.2857142854</v>
      </c>
      <c r="Q146" s="11">
        <f t="shared" si="34"/>
        <v>951999.99999999907</v>
      </c>
      <c r="R146" s="12">
        <f t="shared" si="35"/>
        <v>0.11051180531083507</v>
      </c>
    </row>
    <row r="147" spans="1:18" x14ac:dyDescent="0.3">
      <c r="A147" s="1">
        <v>5050001</v>
      </c>
      <c r="B147" s="1">
        <v>5100000</v>
      </c>
      <c r="C147">
        <v>7000</v>
      </c>
      <c r="D147" s="14">
        <v>0.03</v>
      </c>
      <c r="E147" s="3">
        <f t="shared" si="24"/>
        <v>663000</v>
      </c>
      <c r="F147" s="3">
        <f t="shared" si="25"/>
        <v>576300</v>
      </c>
      <c r="G147" s="2">
        <f t="shared" si="26"/>
        <v>0.18254901960784314</v>
      </c>
      <c r="H147" s="9">
        <f t="shared" si="27"/>
        <v>30000</v>
      </c>
      <c r="I147" s="9">
        <f t="shared" si="28"/>
        <v>961000</v>
      </c>
      <c r="L147" s="9">
        <f t="shared" si="29"/>
        <v>7307300</v>
      </c>
      <c r="M147" s="9">
        <f t="shared" si="30"/>
        <v>8030000.0000000009</v>
      </c>
      <c r="N147" s="11">
        <f t="shared" si="31"/>
        <v>961000</v>
      </c>
      <c r="O147" s="12">
        <f t="shared" si="32"/>
        <v>0.11967621419676212</v>
      </c>
      <c r="P147" s="9">
        <f t="shared" si="33"/>
        <v>8699166.6666666679</v>
      </c>
      <c r="Q147" s="11">
        <f t="shared" si="34"/>
        <v>961000.00000000093</v>
      </c>
      <c r="R147" s="12">
        <f t="shared" si="35"/>
        <v>0.11047035156624208</v>
      </c>
    </row>
    <row r="148" spans="1:18" x14ac:dyDescent="0.3">
      <c r="A148" s="1">
        <v>5100001</v>
      </c>
      <c r="B148" s="1">
        <v>5150000</v>
      </c>
      <c r="C148">
        <v>7000</v>
      </c>
      <c r="D148" s="14">
        <v>0.03</v>
      </c>
      <c r="E148" s="3">
        <f t="shared" si="24"/>
        <v>669500</v>
      </c>
      <c r="F148" s="3">
        <f t="shared" si="25"/>
        <v>581950</v>
      </c>
      <c r="G148" s="2">
        <f t="shared" si="26"/>
        <v>0.18252427184466019</v>
      </c>
      <c r="H148" s="9">
        <f t="shared" si="27"/>
        <v>30000</v>
      </c>
      <c r="I148" s="9">
        <f t="shared" si="28"/>
        <v>970000</v>
      </c>
      <c r="L148" s="9">
        <f t="shared" si="29"/>
        <v>7378450</v>
      </c>
      <c r="M148" s="9">
        <f t="shared" si="30"/>
        <v>8108186.8131868141</v>
      </c>
      <c r="N148" s="11">
        <f t="shared" si="31"/>
        <v>970000</v>
      </c>
      <c r="O148" s="12">
        <f t="shared" si="32"/>
        <v>0.11963217206865939</v>
      </c>
      <c r="P148" s="9">
        <f t="shared" si="33"/>
        <v>8783869.0476190485</v>
      </c>
      <c r="Q148" s="11">
        <f t="shared" si="34"/>
        <v>970000.00000000093</v>
      </c>
      <c r="R148" s="12">
        <f t="shared" si="35"/>
        <v>0.11042969729414724</v>
      </c>
    </row>
    <row r="149" spans="1:18" x14ac:dyDescent="0.3">
      <c r="A149" s="1">
        <v>5150001</v>
      </c>
      <c r="B149" s="1">
        <v>5200000</v>
      </c>
      <c r="C149">
        <v>7000</v>
      </c>
      <c r="D149" s="14">
        <v>0.03</v>
      </c>
      <c r="E149" s="3">
        <f t="shared" si="24"/>
        <v>676000</v>
      </c>
      <c r="F149" s="3">
        <f t="shared" si="25"/>
        <v>587600</v>
      </c>
      <c r="G149" s="2">
        <f t="shared" si="26"/>
        <v>0.1825</v>
      </c>
      <c r="H149" s="9">
        <f t="shared" si="27"/>
        <v>30000</v>
      </c>
      <c r="I149" s="9">
        <f t="shared" si="28"/>
        <v>979000</v>
      </c>
      <c r="L149" s="9">
        <f t="shared" si="29"/>
        <v>7449600</v>
      </c>
      <c r="M149" s="9">
        <f t="shared" si="30"/>
        <v>8186373.6263736272</v>
      </c>
      <c r="N149" s="11">
        <f t="shared" si="31"/>
        <v>979000</v>
      </c>
      <c r="O149" s="12">
        <f t="shared" si="32"/>
        <v>0.11958897121993126</v>
      </c>
      <c r="P149" s="9">
        <f t="shared" si="33"/>
        <v>8868571.4285714291</v>
      </c>
      <c r="Q149" s="11">
        <f t="shared" si="34"/>
        <v>979000</v>
      </c>
      <c r="R149" s="12">
        <f t="shared" si="35"/>
        <v>0.11038981958762886</v>
      </c>
    </row>
    <row r="150" spans="1:18" x14ac:dyDescent="0.3">
      <c r="A150" s="1">
        <v>5200001</v>
      </c>
      <c r="B150" s="1">
        <v>5250000</v>
      </c>
      <c r="C150">
        <v>7000</v>
      </c>
      <c r="D150" s="14">
        <v>0.03</v>
      </c>
      <c r="E150" s="3">
        <f t="shared" si="24"/>
        <v>682500</v>
      </c>
      <c r="F150" s="3">
        <f t="shared" si="25"/>
        <v>593250</v>
      </c>
      <c r="G150" s="2">
        <f t="shared" si="26"/>
        <v>0.18247619047619046</v>
      </c>
      <c r="H150" s="9">
        <f t="shared" si="27"/>
        <v>30000</v>
      </c>
      <c r="I150" s="9">
        <f t="shared" si="28"/>
        <v>987999.99999999988</v>
      </c>
      <c r="L150" s="9">
        <f t="shared" si="29"/>
        <v>7520750</v>
      </c>
      <c r="M150" s="9">
        <f t="shared" si="30"/>
        <v>8264560.4395604404</v>
      </c>
      <c r="N150" s="11">
        <f t="shared" si="31"/>
        <v>988000</v>
      </c>
      <c r="O150" s="12">
        <f t="shared" si="32"/>
        <v>0.11954658777382574</v>
      </c>
      <c r="P150" s="9">
        <f t="shared" si="33"/>
        <v>8953273.8095238097</v>
      </c>
      <c r="Q150" s="11">
        <f t="shared" si="34"/>
        <v>988000</v>
      </c>
      <c r="R150" s="12">
        <f t="shared" si="35"/>
        <v>0.11035069640660838</v>
      </c>
    </row>
    <row r="151" spans="1:18" x14ac:dyDescent="0.3">
      <c r="A151" s="1">
        <v>5250001</v>
      </c>
      <c r="B151" s="1">
        <v>5300000</v>
      </c>
      <c r="C151">
        <v>7000</v>
      </c>
      <c r="D151" s="14">
        <v>0.03</v>
      </c>
      <c r="E151" s="3">
        <f t="shared" si="24"/>
        <v>689000</v>
      </c>
      <c r="F151" s="3">
        <f t="shared" si="25"/>
        <v>598900</v>
      </c>
      <c r="G151" s="2">
        <f t="shared" si="26"/>
        <v>0.18245283018867925</v>
      </c>
      <c r="H151" s="9">
        <f t="shared" si="27"/>
        <v>30000</v>
      </c>
      <c r="I151" s="9">
        <f t="shared" si="28"/>
        <v>997000</v>
      </c>
      <c r="L151" s="9">
        <f t="shared" si="29"/>
        <v>7591900</v>
      </c>
      <c r="M151" s="9">
        <f t="shared" si="30"/>
        <v>8342747.2527472535</v>
      </c>
      <c r="N151" s="11">
        <f t="shared" si="31"/>
        <v>997000</v>
      </c>
      <c r="O151" s="12">
        <f t="shared" si="32"/>
        <v>0.11950499874866632</v>
      </c>
      <c r="P151" s="9">
        <f t="shared" si="33"/>
        <v>9037976.1904761903</v>
      </c>
      <c r="Q151" s="11">
        <f t="shared" si="34"/>
        <v>997000</v>
      </c>
      <c r="R151" s="12">
        <f t="shared" si="35"/>
        <v>0.11031230653723047</v>
      </c>
    </row>
    <row r="152" spans="1:18" x14ac:dyDescent="0.3">
      <c r="A152" s="1">
        <v>5300001</v>
      </c>
      <c r="B152" s="1">
        <v>5350000</v>
      </c>
      <c r="C152">
        <v>7000</v>
      </c>
      <c r="D152" s="14">
        <v>0.03</v>
      </c>
      <c r="E152" s="3">
        <f t="shared" si="24"/>
        <v>695500</v>
      </c>
      <c r="F152" s="3">
        <f t="shared" si="25"/>
        <v>604550</v>
      </c>
      <c r="G152" s="2">
        <f t="shared" si="26"/>
        <v>0.18242990654205607</v>
      </c>
      <c r="H152" s="9">
        <f t="shared" si="27"/>
        <v>30000</v>
      </c>
      <c r="I152" s="9">
        <f t="shared" si="28"/>
        <v>1006000</v>
      </c>
      <c r="L152" s="9">
        <f t="shared" si="29"/>
        <v>7663050</v>
      </c>
      <c r="M152" s="9">
        <f t="shared" si="30"/>
        <v>8420934.0659340676</v>
      </c>
      <c r="N152" s="11">
        <f t="shared" si="31"/>
        <v>1006000.0000000009</v>
      </c>
      <c r="O152" s="12">
        <f t="shared" si="32"/>
        <v>0.11946418201629908</v>
      </c>
      <c r="P152" s="9">
        <f t="shared" si="33"/>
        <v>9122678.5714285709</v>
      </c>
      <c r="Q152" s="11">
        <f t="shared" si="34"/>
        <v>1005999.9999999991</v>
      </c>
      <c r="R152" s="12">
        <f t="shared" si="35"/>
        <v>0.11027462955350667</v>
      </c>
    </row>
    <row r="153" spans="1:18" x14ac:dyDescent="0.3">
      <c r="A153" s="1">
        <v>5350001</v>
      </c>
      <c r="B153" s="1">
        <v>5400000</v>
      </c>
      <c r="C153">
        <v>7000</v>
      </c>
      <c r="D153" s="14">
        <v>0.03</v>
      </c>
      <c r="E153" s="3">
        <f t="shared" si="24"/>
        <v>702000</v>
      </c>
      <c r="F153" s="3">
        <f t="shared" si="25"/>
        <v>610200</v>
      </c>
      <c r="G153" s="2">
        <f t="shared" si="26"/>
        <v>0.18240740740740741</v>
      </c>
      <c r="H153" s="9">
        <f t="shared" si="27"/>
        <v>30000</v>
      </c>
      <c r="I153" s="9">
        <f t="shared" si="28"/>
        <v>1015000</v>
      </c>
      <c r="L153" s="9">
        <f t="shared" si="29"/>
        <v>7734200</v>
      </c>
      <c r="M153" s="9">
        <f t="shared" si="30"/>
        <v>8499120.8791208807</v>
      </c>
      <c r="N153" s="11">
        <f t="shared" si="31"/>
        <v>1015000.0000000009</v>
      </c>
      <c r="O153" s="12">
        <f t="shared" si="32"/>
        <v>0.1194241162628327</v>
      </c>
      <c r="P153" s="9">
        <f t="shared" si="33"/>
        <v>9207380.9523809534</v>
      </c>
      <c r="Q153" s="11">
        <f t="shared" si="34"/>
        <v>1015000.0000000009</v>
      </c>
      <c r="R153" s="12">
        <f t="shared" si="35"/>
        <v>0.11023764578107635</v>
      </c>
    </row>
    <row r="154" spans="1:18" x14ac:dyDescent="0.3">
      <c r="A154" s="1">
        <v>5400001</v>
      </c>
      <c r="B154" s="1">
        <v>5450000</v>
      </c>
      <c r="C154">
        <v>7000</v>
      </c>
      <c r="D154" s="14">
        <v>0.03</v>
      </c>
      <c r="E154" s="3">
        <f t="shared" si="24"/>
        <v>708500</v>
      </c>
      <c r="F154" s="3">
        <f t="shared" si="25"/>
        <v>615850</v>
      </c>
      <c r="G154" s="2">
        <f t="shared" si="26"/>
        <v>0.18238532110091743</v>
      </c>
      <c r="H154" s="9">
        <f t="shared" si="27"/>
        <v>30000</v>
      </c>
      <c r="I154" s="9">
        <f t="shared" si="28"/>
        <v>1024000</v>
      </c>
      <c r="L154" s="9">
        <f t="shared" si="29"/>
        <v>7805350</v>
      </c>
      <c r="M154" s="9">
        <f t="shared" si="30"/>
        <v>8577307.6923076939</v>
      </c>
      <c r="N154" s="11">
        <f t="shared" si="31"/>
        <v>1024000.0000000009</v>
      </c>
      <c r="O154" s="12">
        <f t="shared" si="32"/>
        <v>0.11938478095152692</v>
      </c>
      <c r="P154" s="9">
        <f t="shared" si="33"/>
        <v>9292083.333333334</v>
      </c>
      <c r="Q154" s="11">
        <f t="shared" si="34"/>
        <v>1024000</v>
      </c>
      <c r="R154" s="12">
        <f t="shared" si="35"/>
        <v>0.11020133626294784</v>
      </c>
    </row>
    <row r="155" spans="1:18" x14ac:dyDescent="0.3">
      <c r="A155" s="1">
        <v>5450001</v>
      </c>
      <c r="B155" s="1">
        <v>5500000</v>
      </c>
      <c r="C155">
        <v>7000</v>
      </c>
      <c r="D155" s="14">
        <v>0.03</v>
      </c>
      <c r="E155" s="3">
        <f t="shared" si="24"/>
        <v>715000</v>
      </c>
      <c r="F155" s="3">
        <f t="shared" si="25"/>
        <v>621500</v>
      </c>
      <c r="G155" s="2">
        <f t="shared" si="26"/>
        <v>0.18236363636363637</v>
      </c>
      <c r="H155" s="9">
        <f t="shared" si="27"/>
        <v>30000</v>
      </c>
      <c r="I155" s="9">
        <f t="shared" si="28"/>
        <v>1033000</v>
      </c>
      <c r="L155" s="9">
        <f t="shared" si="29"/>
        <v>7876500</v>
      </c>
      <c r="M155" s="9">
        <f t="shared" si="30"/>
        <v>8655494.505494507</v>
      </c>
      <c r="N155" s="11">
        <f t="shared" si="31"/>
        <v>1033000.0000000009</v>
      </c>
      <c r="O155" s="12">
        <f t="shared" si="32"/>
        <v>0.11934615628769132</v>
      </c>
      <c r="P155" s="9">
        <f t="shared" si="33"/>
        <v>9376785.7142857146</v>
      </c>
      <c r="Q155" s="11">
        <f t="shared" si="34"/>
        <v>1033000</v>
      </c>
      <c r="R155" s="12">
        <f t="shared" si="35"/>
        <v>0.1101656827270996</v>
      </c>
    </row>
    <row r="156" spans="1:18" x14ac:dyDescent="0.3">
      <c r="A156" s="1">
        <v>5500001</v>
      </c>
      <c r="B156" s="1">
        <v>5550000</v>
      </c>
      <c r="C156">
        <v>7000</v>
      </c>
      <c r="D156" s="14">
        <v>0.03</v>
      </c>
      <c r="E156" s="3">
        <f t="shared" si="24"/>
        <v>721500</v>
      </c>
      <c r="F156" s="3">
        <f t="shared" si="25"/>
        <v>627150</v>
      </c>
      <c r="G156" s="2">
        <f t="shared" si="26"/>
        <v>0.18234234234234234</v>
      </c>
      <c r="H156" s="9">
        <f t="shared" si="27"/>
        <v>30000</v>
      </c>
      <c r="I156" s="9">
        <f t="shared" si="28"/>
        <v>1042000</v>
      </c>
      <c r="L156" s="9">
        <f t="shared" si="29"/>
        <v>7947650</v>
      </c>
      <c r="M156" s="9">
        <f t="shared" si="30"/>
        <v>8733681.3186813202</v>
      </c>
      <c r="N156" s="11">
        <f t="shared" si="31"/>
        <v>1042000.0000000009</v>
      </c>
      <c r="O156" s="12">
        <f t="shared" si="32"/>
        <v>0.11930822318547001</v>
      </c>
      <c r="P156" s="9">
        <f t="shared" si="33"/>
        <v>9461488.0952380951</v>
      </c>
      <c r="Q156" s="11">
        <f t="shared" si="34"/>
        <v>1042000</v>
      </c>
      <c r="R156" s="12">
        <f t="shared" si="35"/>
        <v>0.11013066755581839</v>
      </c>
    </row>
    <row r="157" spans="1:18" x14ac:dyDescent="0.3">
      <c r="A157" s="1">
        <v>5550001</v>
      </c>
      <c r="B157" s="1">
        <v>5600000</v>
      </c>
      <c r="C157">
        <v>7000</v>
      </c>
      <c r="D157" s="14">
        <v>0.03</v>
      </c>
      <c r="E157" s="3">
        <f t="shared" si="24"/>
        <v>728000</v>
      </c>
      <c r="F157" s="3">
        <f t="shared" si="25"/>
        <v>632800</v>
      </c>
      <c r="G157" s="2">
        <f t="shared" si="26"/>
        <v>0.18232142857142858</v>
      </c>
      <c r="H157" s="9">
        <f t="shared" si="27"/>
        <v>30000</v>
      </c>
      <c r="I157" s="9">
        <f t="shared" si="28"/>
        <v>1051000</v>
      </c>
      <c r="L157" s="9">
        <f t="shared" si="29"/>
        <v>8018800</v>
      </c>
      <c r="M157" s="9">
        <f t="shared" si="30"/>
        <v>8811868.1318681333</v>
      </c>
      <c r="N157" s="11">
        <f t="shared" si="31"/>
        <v>1051000.0000000009</v>
      </c>
      <c r="O157" s="12">
        <f t="shared" si="32"/>
        <v>0.11927096323639456</v>
      </c>
      <c r="P157" s="9">
        <f t="shared" si="33"/>
        <v>9546190.4761904757</v>
      </c>
      <c r="Q157" s="11">
        <f t="shared" si="34"/>
        <v>1050999.9999999991</v>
      </c>
      <c r="R157" s="12">
        <f t="shared" si="35"/>
        <v>0.11009627375667173</v>
      </c>
    </row>
    <row r="158" spans="1:18" x14ac:dyDescent="0.3">
      <c r="A158" s="1">
        <v>5600001</v>
      </c>
      <c r="B158" s="1">
        <v>5650000</v>
      </c>
      <c r="C158">
        <v>7000</v>
      </c>
      <c r="D158" s="14">
        <v>0.03</v>
      </c>
      <c r="E158" s="3">
        <f t="shared" si="24"/>
        <v>734500</v>
      </c>
      <c r="F158" s="3">
        <f t="shared" si="25"/>
        <v>638450</v>
      </c>
      <c r="G158" s="2">
        <f t="shared" si="26"/>
        <v>0.1823008849557522</v>
      </c>
      <c r="H158" s="9">
        <f t="shared" si="27"/>
        <v>30000</v>
      </c>
      <c r="I158" s="9">
        <f t="shared" si="28"/>
        <v>1060000</v>
      </c>
      <c r="L158" s="9">
        <f t="shared" si="29"/>
        <v>8089950</v>
      </c>
      <c r="M158" s="9">
        <f t="shared" si="30"/>
        <v>8890054.9450549465</v>
      </c>
      <c r="N158" s="11">
        <f t="shared" si="31"/>
        <v>1060000.0000000009</v>
      </c>
      <c r="O158" s="12">
        <f t="shared" si="32"/>
        <v>0.11923435867959638</v>
      </c>
      <c r="P158" s="9">
        <f t="shared" si="33"/>
        <v>9630892.8571428582</v>
      </c>
      <c r="Q158" s="11">
        <f t="shared" si="34"/>
        <v>1060000.0000000009</v>
      </c>
      <c r="R158" s="12">
        <f t="shared" si="35"/>
        <v>0.11006248493501204</v>
      </c>
    </row>
    <row r="159" spans="1:18" x14ac:dyDescent="0.3">
      <c r="A159" s="1">
        <v>5650001</v>
      </c>
      <c r="B159" s="1">
        <v>5700000</v>
      </c>
      <c r="C159">
        <v>7000</v>
      </c>
      <c r="D159" s="14">
        <v>0.03</v>
      </c>
      <c r="E159" s="3">
        <f t="shared" si="24"/>
        <v>741000</v>
      </c>
      <c r="F159" s="3">
        <f t="shared" si="25"/>
        <v>644100</v>
      </c>
      <c r="G159" s="2">
        <f t="shared" si="26"/>
        <v>0.18228070175438596</v>
      </c>
      <c r="H159" s="9">
        <f t="shared" si="27"/>
        <v>30000</v>
      </c>
      <c r="I159" s="9">
        <f t="shared" si="28"/>
        <v>1069000</v>
      </c>
      <c r="L159" s="9">
        <f t="shared" si="29"/>
        <v>8161100</v>
      </c>
      <c r="M159" s="9">
        <f t="shared" si="30"/>
        <v>8968241.7582417596</v>
      </c>
      <c r="N159" s="11">
        <f t="shared" si="31"/>
        <v>1069000.0000000009</v>
      </c>
      <c r="O159" s="12">
        <f t="shared" si="32"/>
        <v>0.11919839237357718</v>
      </c>
      <c r="P159" s="9">
        <f t="shared" si="33"/>
        <v>9715595.2380952388</v>
      </c>
      <c r="Q159" s="11">
        <f t="shared" si="34"/>
        <v>1069000</v>
      </c>
      <c r="R159" s="12">
        <f t="shared" si="35"/>
        <v>0.1100292852679173</v>
      </c>
    </row>
    <row r="160" spans="1:18" x14ac:dyDescent="0.3">
      <c r="A160" s="1">
        <v>5700001</v>
      </c>
      <c r="B160" s="1">
        <v>5750000</v>
      </c>
      <c r="C160">
        <v>7000</v>
      </c>
      <c r="D160" s="14">
        <v>0.03</v>
      </c>
      <c r="E160" s="3">
        <f t="shared" si="24"/>
        <v>747500</v>
      </c>
      <c r="F160" s="3">
        <f t="shared" si="25"/>
        <v>649750</v>
      </c>
      <c r="G160" s="2">
        <f t="shared" si="26"/>
        <v>0.18226086956521739</v>
      </c>
      <c r="H160" s="9">
        <f t="shared" si="27"/>
        <v>30000</v>
      </c>
      <c r="I160" s="9">
        <f t="shared" si="28"/>
        <v>1078000</v>
      </c>
      <c r="L160" s="9">
        <f t="shared" si="29"/>
        <v>8232250</v>
      </c>
      <c r="M160" s="9">
        <f t="shared" si="30"/>
        <v>9046428.5714285728</v>
      </c>
      <c r="N160" s="11">
        <f t="shared" si="31"/>
        <v>1078000.0000000009</v>
      </c>
      <c r="O160" s="12">
        <f t="shared" si="32"/>
        <v>0.11916304776944343</v>
      </c>
      <c r="P160" s="9">
        <f t="shared" si="33"/>
        <v>9800297.6190476194</v>
      </c>
      <c r="Q160" s="11">
        <f t="shared" si="34"/>
        <v>1078000</v>
      </c>
      <c r="R160" s="12">
        <f t="shared" si="35"/>
        <v>0.10999665947948617</v>
      </c>
    </row>
    <row r="161" spans="1:18" x14ac:dyDescent="0.3">
      <c r="A161" s="1">
        <v>5750001</v>
      </c>
      <c r="B161" s="1">
        <v>5800000</v>
      </c>
      <c r="C161">
        <v>7000</v>
      </c>
      <c r="D161" s="14">
        <v>0.03</v>
      </c>
      <c r="E161" s="3">
        <f t="shared" ref="E161:E224" si="36">B161*13%</f>
        <v>754000</v>
      </c>
      <c r="F161" s="3">
        <f t="shared" ref="F161:F224" si="37">(B161+E161)*10%</f>
        <v>655400</v>
      </c>
      <c r="G161" s="2">
        <f t="shared" si="26"/>
        <v>0.18224137931034481</v>
      </c>
      <c r="H161" s="9">
        <f t="shared" si="27"/>
        <v>30000</v>
      </c>
      <c r="I161" s="9">
        <f t="shared" si="28"/>
        <v>1087000</v>
      </c>
      <c r="L161" s="9">
        <f t="shared" si="29"/>
        <v>8303400</v>
      </c>
      <c r="M161" s="9">
        <f t="shared" si="30"/>
        <v>9124615.3846153859</v>
      </c>
      <c r="N161" s="11">
        <f t="shared" si="31"/>
        <v>1087000</v>
      </c>
      <c r="O161" s="12">
        <f t="shared" si="32"/>
        <v>0.11912830888551676</v>
      </c>
      <c r="P161" s="9">
        <f t="shared" si="33"/>
        <v>9885000</v>
      </c>
      <c r="Q161" s="11">
        <f t="shared" si="34"/>
        <v>1087000</v>
      </c>
      <c r="R161" s="12">
        <f t="shared" si="35"/>
        <v>0.10996459281740011</v>
      </c>
    </row>
    <row r="162" spans="1:18" x14ac:dyDescent="0.3">
      <c r="A162" s="1">
        <v>5800001</v>
      </c>
      <c r="B162" s="1">
        <v>5850000</v>
      </c>
      <c r="C162">
        <v>7000</v>
      </c>
      <c r="D162" s="14">
        <v>0.03</v>
      </c>
      <c r="E162" s="3">
        <f t="shared" si="36"/>
        <v>760500</v>
      </c>
      <c r="F162" s="3">
        <f t="shared" si="37"/>
        <v>661050</v>
      </c>
      <c r="G162" s="2">
        <f t="shared" si="26"/>
        <v>0.1822222222222222</v>
      </c>
      <c r="H162" s="9">
        <f t="shared" si="27"/>
        <v>30000</v>
      </c>
      <c r="I162" s="9">
        <f t="shared" si="28"/>
        <v>1095999.9999999998</v>
      </c>
      <c r="L162" s="9">
        <f t="shared" si="29"/>
        <v>8374550</v>
      </c>
      <c r="M162" s="9">
        <f t="shared" si="30"/>
        <v>9202802.1978021991</v>
      </c>
      <c r="N162" s="11">
        <f t="shared" si="31"/>
        <v>1096000</v>
      </c>
      <c r="O162" s="12">
        <f t="shared" si="32"/>
        <v>0.11909416028323909</v>
      </c>
      <c r="P162" s="9">
        <f t="shared" si="33"/>
        <v>9969702.3809523806</v>
      </c>
      <c r="Q162" s="11">
        <f t="shared" si="34"/>
        <v>1095999.9999999991</v>
      </c>
      <c r="R162" s="12">
        <f t="shared" si="35"/>
        <v>0.10993307103068216</v>
      </c>
    </row>
    <row r="163" spans="1:18" x14ac:dyDescent="0.3">
      <c r="A163" s="1">
        <v>5850001</v>
      </c>
      <c r="B163" s="1">
        <v>5900000</v>
      </c>
      <c r="C163">
        <v>7000</v>
      </c>
      <c r="D163" s="14">
        <v>0.03</v>
      </c>
      <c r="E163" s="3">
        <f t="shared" si="36"/>
        <v>767000</v>
      </c>
      <c r="F163" s="3">
        <f t="shared" si="37"/>
        <v>666700</v>
      </c>
      <c r="G163" s="2">
        <f t="shared" si="26"/>
        <v>0.18220338983050846</v>
      </c>
      <c r="H163" s="9">
        <f t="shared" si="27"/>
        <v>30000</v>
      </c>
      <c r="I163" s="9">
        <f t="shared" si="28"/>
        <v>1105000</v>
      </c>
      <c r="L163" s="9">
        <f t="shared" si="29"/>
        <v>8445700</v>
      </c>
      <c r="M163" s="9">
        <f t="shared" si="30"/>
        <v>9280989.0109890122</v>
      </c>
      <c r="N163" s="11">
        <f t="shared" si="31"/>
        <v>1105000</v>
      </c>
      <c r="O163" s="12">
        <f t="shared" si="32"/>
        <v>0.11906058704429472</v>
      </c>
      <c r="P163" s="9">
        <f t="shared" si="33"/>
        <v>10054404.761904763</v>
      </c>
      <c r="Q163" s="11">
        <f t="shared" si="34"/>
        <v>1105000</v>
      </c>
      <c r="R163" s="12">
        <f t="shared" si="35"/>
        <v>0.10990208034857973</v>
      </c>
    </row>
    <row r="164" spans="1:18" x14ac:dyDescent="0.3">
      <c r="A164" s="1">
        <v>5900001</v>
      </c>
      <c r="B164" s="1">
        <v>5950000</v>
      </c>
      <c r="C164">
        <v>7000</v>
      </c>
      <c r="D164" s="14">
        <v>0.03</v>
      </c>
      <c r="E164" s="3">
        <f t="shared" si="36"/>
        <v>773500</v>
      </c>
      <c r="F164" s="3">
        <f t="shared" si="37"/>
        <v>672350</v>
      </c>
      <c r="G164" s="2">
        <f t="shared" si="26"/>
        <v>0.18218487394957983</v>
      </c>
      <c r="H164" s="9">
        <f t="shared" si="27"/>
        <v>30000</v>
      </c>
      <c r="I164" s="9">
        <f t="shared" si="28"/>
        <v>1114000</v>
      </c>
      <c r="L164" s="9">
        <f t="shared" si="29"/>
        <v>8516850</v>
      </c>
      <c r="M164" s="9">
        <f t="shared" si="30"/>
        <v>9359175.8241758253</v>
      </c>
      <c r="N164" s="11">
        <f t="shared" si="31"/>
        <v>1114000</v>
      </c>
      <c r="O164" s="12">
        <f t="shared" si="32"/>
        <v>0.11902757474888015</v>
      </c>
      <c r="P164" s="9">
        <f t="shared" si="33"/>
        <v>10139107.142857144</v>
      </c>
      <c r="Q164" s="11">
        <f t="shared" si="34"/>
        <v>1114000</v>
      </c>
      <c r="R164" s="12">
        <f t="shared" si="35"/>
        <v>0.10987160746050476</v>
      </c>
    </row>
    <row r="165" spans="1:18" x14ac:dyDescent="0.3">
      <c r="A165" s="1">
        <v>5950001</v>
      </c>
      <c r="B165" s="1">
        <v>6000000</v>
      </c>
      <c r="C165">
        <v>7000</v>
      </c>
      <c r="D165" s="14">
        <v>0.03</v>
      </c>
      <c r="E165" s="3">
        <f t="shared" si="36"/>
        <v>780000</v>
      </c>
      <c r="F165" s="3">
        <f t="shared" si="37"/>
        <v>678000</v>
      </c>
      <c r="G165" s="2">
        <f t="shared" si="26"/>
        <v>0.18216666666666667</v>
      </c>
      <c r="H165" s="9">
        <f t="shared" si="27"/>
        <v>30000</v>
      </c>
      <c r="I165" s="9">
        <f t="shared" si="28"/>
        <v>1123000</v>
      </c>
      <c r="L165" s="9">
        <f t="shared" si="29"/>
        <v>8588000</v>
      </c>
      <c r="M165" s="9">
        <f t="shared" si="30"/>
        <v>9437362.6373626385</v>
      </c>
      <c r="N165" s="11">
        <f t="shared" si="31"/>
        <v>1123000</v>
      </c>
      <c r="O165" s="12">
        <f t="shared" si="32"/>
        <v>0.11899510945505355</v>
      </c>
      <c r="P165" s="9">
        <f t="shared" si="33"/>
        <v>10223809.523809524</v>
      </c>
      <c r="Q165" s="11">
        <f t="shared" si="34"/>
        <v>1123000</v>
      </c>
      <c r="R165" s="12">
        <f t="shared" si="35"/>
        <v>0.10984163949697251</v>
      </c>
    </row>
    <row r="166" spans="1:18" x14ac:dyDescent="0.3">
      <c r="A166" s="1">
        <v>6000001</v>
      </c>
      <c r="B166" s="1">
        <v>6050000</v>
      </c>
      <c r="C166">
        <v>7000</v>
      </c>
      <c r="D166" s="14">
        <v>0.03</v>
      </c>
      <c r="E166" s="3">
        <f t="shared" si="36"/>
        <v>786500</v>
      </c>
      <c r="F166" s="3">
        <f t="shared" si="37"/>
        <v>683650</v>
      </c>
      <c r="G166" s="2">
        <f t="shared" si="26"/>
        <v>0.1821487603305785</v>
      </c>
      <c r="H166" s="9">
        <f t="shared" si="27"/>
        <v>30000</v>
      </c>
      <c r="I166" s="9">
        <f t="shared" si="28"/>
        <v>1132000</v>
      </c>
      <c r="L166" s="9">
        <f t="shared" si="29"/>
        <v>8659150</v>
      </c>
      <c r="M166" s="9">
        <f t="shared" si="30"/>
        <v>9515549.4505494516</v>
      </c>
      <c r="N166" s="11">
        <f t="shared" si="31"/>
        <v>1132000</v>
      </c>
      <c r="O166" s="12">
        <f t="shared" si="32"/>
        <v>0.11896317767910244</v>
      </c>
      <c r="P166" s="9">
        <f t="shared" si="33"/>
        <v>10308511.904761905</v>
      </c>
      <c r="Q166" s="11">
        <f t="shared" si="34"/>
        <v>1132000</v>
      </c>
      <c r="R166" s="12">
        <f t="shared" si="35"/>
        <v>0.10981216401147918</v>
      </c>
    </row>
    <row r="167" spans="1:18" x14ac:dyDescent="0.3">
      <c r="A167" s="1">
        <v>6050001</v>
      </c>
      <c r="B167" s="1">
        <v>6100000</v>
      </c>
      <c r="C167">
        <v>7000</v>
      </c>
      <c r="D167" s="14">
        <v>0.03</v>
      </c>
      <c r="E167" s="3">
        <f t="shared" si="36"/>
        <v>793000</v>
      </c>
      <c r="F167" s="3">
        <f t="shared" si="37"/>
        <v>689300</v>
      </c>
      <c r="G167" s="2">
        <f t="shared" si="26"/>
        <v>0.18213114754098361</v>
      </c>
      <c r="H167" s="9">
        <f t="shared" si="27"/>
        <v>30000</v>
      </c>
      <c r="I167" s="9">
        <f t="shared" si="28"/>
        <v>1141000</v>
      </c>
      <c r="L167" s="9">
        <f t="shared" si="29"/>
        <v>8730300</v>
      </c>
      <c r="M167" s="9">
        <f t="shared" si="30"/>
        <v>9593736.2637362648</v>
      </c>
      <c r="N167" s="11">
        <f t="shared" si="31"/>
        <v>1141000</v>
      </c>
      <c r="O167" s="12">
        <f t="shared" si="32"/>
        <v>0.11893176637687135</v>
      </c>
      <c r="P167" s="9">
        <f t="shared" si="33"/>
        <v>10393214.285714285</v>
      </c>
      <c r="Q167" s="11">
        <f t="shared" si="34"/>
        <v>1141000</v>
      </c>
      <c r="R167" s="12">
        <f t="shared" si="35"/>
        <v>0.10978316896326587</v>
      </c>
    </row>
    <row r="168" spans="1:18" x14ac:dyDescent="0.3">
      <c r="A168" s="1">
        <v>6100001</v>
      </c>
      <c r="B168" s="1">
        <v>6150000</v>
      </c>
      <c r="C168">
        <v>7000</v>
      </c>
      <c r="D168" s="14">
        <v>0.03</v>
      </c>
      <c r="E168" s="3">
        <f t="shared" si="36"/>
        <v>799500</v>
      </c>
      <c r="F168" s="3">
        <f t="shared" si="37"/>
        <v>694950</v>
      </c>
      <c r="G168" s="2">
        <f t="shared" si="26"/>
        <v>0.18211382113821137</v>
      </c>
      <c r="H168" s="9">
        <f t="shared" si="27"/>
        <v>30000</v>
      </c>
      <c r="I168" s="9">
        <f t="shared" si="28"/>
        <v>1150000</v>
      </c>
      <c r="L168" s="9">
        <f t="shared" si="29"/>
        <v>8801450</v>
      </c>
      <c r="M168" s="9">
        <f t="shared" si="30"/>
        <v>9671923.0769230779</v>
      </c>
      <c r="N168" s="11">
        <f t="shared" si="31"/>
        <v>1150000</v>
      </c>
      <c r="O168" s="12">
        <f t="shared" si="32"/>
        <v>0.11890086292599514</v>
      </c>
      <c r="P168" s="9">
        <f t="shared" si="33"/>
        <v>10477916.666666668</v>
      </c>
      <c r="Q168" s="11">
        <f t="shared" si="34"/>
        <v>1150000</v>
      </c>
      <c r="R168" s="12">
        <f t="shared" si="35"/>
        <v>0.10975464270091859</v>
      </c>
    </row>
    <row r="169" spans="1:18" x14ac:dyDescent="0.3">
      <c r="A169" s="1">
        <v>6150001</v>
      </c>
      <c r="B169" s="1">
        <v>6200000</v>
      </c>
      <c r="C169">
        <v>7000</v>
      </c>
      <c r="D169" s="14">
        <v>0.03</v>
      </c>
      <c r="E169" s="3">
        <f t="shared" si="36"/>
        <v>806000</v>
      </c>
      <c r="F169" s="3">
        <f t="shared" si="37"/>
        <v>700600</v>
      </c>
      <c r="G169" s="2">
        <f t="shared" si="26"/>
        <v>0.18209677419354839</v>
      </c>
      <c r="H169" s="9">
        <f t="shared" si="27"/>
        <v>30000</v>
      </c>
      <c r="I169" s="9">
        <f t="shared" si="28"/>
        <v>1159000</v>
      </c>
      <c r="L169" s="9">
        <f t="shared" si="29"/>
        <v>8872600</v>
      </c>
      <c r="M169" s="9">
        <f t="shared" si="30"/>
        <v>9750109.8901098911</v>
      </c>
      <c r="N169" s="11">
        <f t="shared" si="31"/>
        <v>1159000</v>
      </c>
      <c r="O169" s="12">
        <f t="shared" si="32"/>
        <v>0.11887045510898721</v>
      </c>
      <c r="P169" s="9">
        <f t="shared" si="33"/>
        <v>10562619.047619049</v>
      </c>
      <c r="Q169" s="11">
        <f t="shared" si="34"/>
        <v>1159000</v>
      </c>
      <c r="R169" s="12">
        <f t="shared" si="35"/>
        <v>0.10972657394675743</v>
      </c>
    </row>
    <row r="170" spans="1:18" x14ac:dyDescent="0.3">
      <c r="A170" s="1">
        <v>6200001</v>
      </c>
      <c r="B170" s="1">
        <v>6250000</v>
      </c>
      <c r="C170">
        <v>7000</v>
      </c>
      <c r="D170" s="14">
        <v>0.03</v>
      </c>
      <c r="E170" s="3">
        <f t="shared" si="36"/>
        <v>812500</v>
      </c>
      <c r="F170" s="3">
        <f t="shared" si="37"/>
        <v>706250</v>
      </c>
      <c r="G170" s="2">
        <f t="shared" si="26"/>
        <v>0.18207999999999999</v>
      </c>
      <c r="H170" s="9">
        <f t="shared" si="27"/>
        <v>30000</v>
      </c>
      <c r="I170" s="9">
        <f t="shared" si="28"/>
        <v>1168000</v>
      </c>
      <c r="L170" s="9">
        <f t="shared" si="29"/>
        <v>8943750</v>
      </c>
      <c r="M170" s="9">
        <f t="shared" si="30"/>
        <v>9828296.7032967042</v>
      </c>
      <c r="N170" s="11">
        <f t="shared" si="31"/>
        <v>1168000</v>
      </c>
      <c r="O170" s="12">
        <f t="shared" si="32"/>
        <v>0.11884053109713485</v>
      </c>
      <c r="P170" s="9">
        <f t="shared" si="33"/>
        <v>10647321.428571429</v>
      </c>
      <c r="Q170" s="11">
        <f t="shared" si="34"/>
        <v>1168000</v>
      </c>
      <c r="R170" s="12">
        <f t="shared" si="35"/>
        <v>0.10969895178197064</v>
      </c>
    </row>
    <row r="171" spans="1:18" x14ac:dyDescent="0.3">
      <c r="A171" s="1">
        <v>6250001</v>
      </c>
      <c r="B171" s="1">
        <v>6300000</v>
      </c>
      <c r="C171">
        <v>7000</v>
      </c>
      <c r="D171" s="14">
        <v>0.03</v>
      </c>
      <c r="E171" s="3">
        <f t="shared" si="36"/>
        <v>819000</v>
      </c>
      <c r="F171" s="3">
        <f t="shared" si="37"/>
        <v>711900</v>
      </c>
      <c r="G171" s="2">
        <f t="shared" si="26"/>
        <v>0.18206349206349207</v>
      </c>
      <c r="H171" s="9">
        <f t="shared" si="27"/>
        <v>30000</v>
      </c>
      <c r="I171" s="9">
        <f t="shared" si="28"/>
        <v>1177000</v>
      </c>
      <c r="L171" s="9">
        <f t="shared" si="29"/>
        <v>9014900</v>
      </c>
      <c r="M171" s="9">
        <f t="shared" si="30"/>
        <v>9906483.5164835174</v>
      </c>
      <c r="N171" s="11">
        <f t="shared" si="31"/>
        <v>1177000</v>
      </c>
      <c r="O171" s="12">
        <f t="shared" si="32"/>
        <v>0.11881107943515734</v>
      </c>
      <c r="P171" s="9">
        <f t="shared" si="33"/>
        <v>10732023.80952381</v>
      </c>
      <c r="Q171" s="11">
        <f t="shared" si="34"/>
        <v>1177000</v>
      </c>
      <c r="R171" s="12">
        <f t="shared" si="35"/>
        <v>0.10967176563245294</v>
      </c>
    </row>
    <row r="172" spans="1:18" x14ac:dyDescent="0.3">
      <c r="A172" s="1">
        <v>6300001</v>
      </c>
      <c r="B172" s="1">
        <v>6350000</v>
      </c>
      <c r="C172">
        <v>7000</v>
      </c>
      <c r="D172" s="14">
        <v>0.03</v>
      </c>
      <c r="E172" s="3">
        <f t="shared" si="36"/>
        <v>825500</v>
      </c>
      <c r="F172" s="3">
        <f t="shared" si="37"/>
        <v>717550</v>
      </c>
      <c r="G172" s="2">
        <f t="shared" si="26"/>
        <v>0.18204724409448819</v>
      </c>
      <c r="H172" s="9">
        <f t="shared" si="27"/>
        <v>30000</v>
      </c>
      <c r="I172" s="9">
        <f t="shared" si="28"/>
        <v>1186000</v>
      </c>
      <c r="L172" s="9">
        <f t="shared" si="29"/>
        <v>9086050</v>
      </c>
      <c r="M172" s="9">
        <f t="shared" si="30"/>
        <v>9984670.3296703305</v>
      </c>
      <c r="N172" s="11">
        <f t="shared" si="31"/>
        <v>1186000</v>
      </c>
      <c r="O172" s="12">
        <f t="shared" si="32"/>
        <v>0.1187820890265847</v>
      </c>
      <c r="P172" s="9">
        <f t="shared" si="33"/>
        <v>10816726.19047619</v>
      </c>
      <c r="Q172" s="11">
        <f t="shared" si="34"/>
        <v>1186000</v>
      </c>
      <c r="R172" s="12">
        <f t="shared" si="35"/>
        <v>0.10964500525530896</v>
      </c>
    </row>
    <row r="173" spans="1:18" x14ac:dyDescent="0.3">
      <c r="A173" s="1">
        <v>6350001</v>
      </c>
      <c r="B173" s="1">
        <v>6400000</v>
      </c>
      <c r="C173">
        <v>7000</v>
      </c>
      <c r="D173" s="14">
        <v>0.03</v>
      </c>
      <c r="E173" s="3">
        <f t="shared" si="36"/>
        <v>832000</v>
      </c>
      <c r="F173" s="3">
        <f t="shared" si="37"/>
        <v>723200</v>
      </c>
      <c r="G173" s="2">
        <f t="shared" si="26"/>
        <v>0.18203125000000001</v>
      </c>
      <c r="H173" s="9">
        <f t="shared" si="27"/>
        <v>30000</v>
      </c>
      <c r="I173" s="9">
        <f t="shared" si="28"/>
        <v>1195000</v>
      </c>
      <c r="L173" s="9">
        <f t="shared" si="29"/>
        <v>9157200</v>
      </c>
      <c r="M173" s="9">
        <f t="shared" si="30"/>
        <v>10062857.142857144</v>
      </c>
      <c r="N173" s="11">
        <f t="shared" si="31"/>
        <v>1195000</v>
      </c>
      <c r="O173" s="12">
        <f t="shared" si="32"/>
        <v>0.11875354911981828</v>
      </c>
      <c r="P173" s="9">
        <f t="shared" si="33"/>
        <v>10901428.571428573</v>
      </c>
      <c r="Q173" s="11">
        <f t="shared" si="34"/>
        <v>1195000</v>
      </c>
      <c r="R173" s="12">
        <f t="shared" si="35"/>
        <v>0.1096186607259861</v>
      </c>
    </row>
    <row r="174" spans="1:18" x14ac:dyDescent="0.3">
      <c r="A174" s="1">
        <v>6400001</v>
      </c>
      <c r="B174" s="1">
        <v>6450000</v>
      </c>
      <c r="C174">
        <v>7000</v>
      </c>
      <c r="D174" s="14">
        <v>0.03</v>
      </c>
      <c r="E174" s="3">
        <f t="shared" si="36"/>
        <v>838500</v>
      </c>
      <c r="F174" s="3">
        <f t="shared" si="37"/>
        <v>728850</v>
      </c>
      <c r="G174" s="2">
        <f t="shared" si="26"/>
        <v>0.18201550387596899</v>
      </c>
      <c r="H174" s="9">
        <f t="shared" si="27"/>
        <v>30000</v>
      </c>
      <c r="I174" s="9">
        <f t="shared" si="28"/>
        <v>1204000</v>
      </c>
      <c r="L174" s="9">
        <f t="shared" si="29"/>
        <v>9228350</v>
      </c>
      <c r="M174" s="9">
        <f t="shared" si="30"/>
        <v>10141043.956043957</v>
      </c>
      <c r="N174" s="11">
        <f t="shared" si="31"/>
        <v>1204000</v>
      </c>
      <c r="O174" s="12">
        <f t="shared" si="32"/>
        <v>0.11872544929483601</v>
      </c>
      <c r="P174" s="9">
        <f t="shared" si="33"/>
        <v>10986130.952380953</v>
      </c>
      <c r="Q174" s="11">
        <f t="shared" si="34"/>
        <v>1204000</v>
      </c>
      <c r="R174" s="12">
        <f t="shared" si="35"/>
        <v>0.10959272242600247</v>
      </c>
    </row>
    <row r="175" spans="1:18" x14ac:dyDescent="0.3">
      <c r="A175" s="1">
        <v>6450001</v>
      </c>
      <c r="B175" s="1">
        <v>6500000</v>
      </c>
      <c r="C175">
        <v>7000</v>
      </c>
      <c r="D175" s="14">
        <v>0.03</v>
      </c>
      <c r="E175" s="3">
        <f t="shared" si="36"/>
        <v>845000</v>
      </c>
      <c r="F175" s="3">
        <f t="shared" si="37"/>
        <v>734500</v>
      </c>
      <c r="G175" s="2">
        <f t="shared" si="26"/>
        <v>0.182</v>
      </c>
      <c r="H175" s="9">
        <f t="shared" si="27"/>
        <v>30000</v>
      </c>
      <c r="I175" s="9">
        <f t="shared" si="28"/>
        <v>1213000</v>
      </c>
      <c r="L175" s="9">
        <f t="shared" si="29"/>
        <v>9299500</v>
      </c>
      <c r="M175" s="9">
        <f t="shared" si="30"/>
        <v>10219230.76923077</v>
      </c>
      <c r="N175" s="11">
        <f t="shared" si="31"/>
        <v>1213000</v>
      </c>
      <c r="O175" s="12">
        <f t="shared" si="32"/>
        <v>0.11869777945050808</v>
      </c>
      <c r="P175" s="9">
        <f t="shared" si="33"/>
        <v>11070833.333333334</v>
      </c>
      <c r="Q175" s="11">
        <f t="shared" si="34"/>
        <v>1213000</v>
      </c>
      <c r="R175" s="12">
        <f t="shared" si="35"/>
        <v>0.10956718103123823</v>
      </c>
    </row>
    <row r="176" spans="1:18" x14ac:dyDescent="0.3">
      <c r="A176" s="1">
        <v>6500001</v>
      </c>
      <c r="B176" s="1">
        <v>6550000</v>
      </c>
      <c r="C176">
        <v>7000</v>
      </c>
      <c r="D176" s="14">
        <v>0.03</v>
      </c>
      <c r="E176" s="3">
        <f t="shared" si="36"/>
        <v>851500</v>
      </c>
      <c r="F176" s="3">
        <f t="shared" si="37"/>
        <v>740150</v>
      </c>
      <c r="G176" s="2">
        <f t="shared" si="26"/>
        <v>0.18198473282442748</v>
      </c>
      <c r="H176" s="9">
        <f t="shared" si="27"/>
        <v>30000</v>
      </c>
      <c r="I176" s="9">
        <f t="shared" si="28"/>
        <v>1222000</v>
      </c>
      <c r="L176" s="9">
        <f t="shared" si="29"/>
        <v>9370650</v>
      </c>
      <c r="M176" s="9">
        <f t="shared" si="30"/>
        <v>10297417.582417583</v>
      </c>
      <c r="N176" s="11">
        <f t="shared" si="31"/>
        <v>1222000</v>
      </c>
      <c r="O176" s="12">
        <f t="shared" si="32"/>
        <v>0.11867052979249038</v>
      </c>
      <c r="P176" s="9">
        <f t="shared" si="33"/>
        <v>11155535.714285715</v>
      </c>
      <c r="Q176" s="11">
        <f t="shared" si="34"/>
        <v>1222000</v>
      </c>
      <c r="R176" s="12">
        <f t="shared" si="35"/>
        <v>0.10954202750076035</v>
      </c>
    </row>
    <row r="177" spans="1:18" x14ac:dyDescent="0.3">
      <c r="A177" s="1">
        <v>6550001</v>
      </c>
      <c r="B177" s="1">
        <v>6600000</v>
      </c>
      <c r="C177">
        <v>7000</v>
      </c>
      <c r="D177" s="14">
        <v>0.03</v>
      </c>
      <c r="E177" s="3">
        <f t="shared" si="36"/>
        <v>858000</v>
      </c>
      <c r="F177" s="3">
        <f t="shared" si="37"/>
        <v>745800</v>
      </c>
      <c r="G177" s="2">
        <f t="shared" si="26"/>
        <v>0.18196969696969698</v>
      </c>
      <c r="H177" s="9">
        <f t="shared" si="27"/>
        <v>30000</v>
      </c>
      <c r="I177" s="9">
        <f t="shared" si="28"/>
        <v>1231000</v>
      </c>
      <c r="L177" s="9">
        <f t="shared" si="29"/>
        <v>9441800</v>
      </c>
      <c r="M177" s="9">
        <f t="shared" si="30"/>
        <v>10375604.395604396</v>
      </c>
      <c r="N177" s="11">
        <f t="shared" si="31"/>
        <v>1231000</v>
      </c>
      <c r="O177" s="12">
        <f t="shared" si="32"/>
        <v>0.11864369082166536</v>
      </c>
      <c r="P177" s="9">
        <f t="shared" si="33"/>
        <v>11240238.095238095</v>
      </c>
      <c r="Q177" s="11">
        <f t="shared" si="34"/>
        <v>1231000</v>
      </c>
      <c r="R177" s="12">
        <f t="shared" si="35"/>
        <v>0.10951725306615265</v>
      </c>
    </row>
    <row r="178" spans="1:18" x14ac:dyDescent="0.3">
      <c r="A178" s="1">
        <v>6600001</v>
      </c>
      <c r="B178" s="1">
        <v>6650000</v>
      </c>
      <c r="C178">
        <v>7000</v>
      </c>
      <c r="D178" s="14">
        <v>0.03</v>
      </c>
      <c r="E178" s="3">
        <f t="shared" si="36"/>
        <v>864500</v>
      </c>
      <c r="F178" s="3">
        <f t="shared" si="37"/>
        <v>751450</v>
      </c>
      <c r="G178" s="2">
        <f t="shared" si="26"/>
        <v>0.18195488721804512</v>
      </c>
      <c r="H178" s="9">
        <f t="shared" si="27"/>
        <v>30000</v>
      </c>
      <c r="I178" s="9">
        <f t="shared" si="28"/>
        <v>1240000</v>
      </c>
      <c r="L178" s="9">
        <f t="shared" si="29"/>
        <v>9512950</v>
      </c>
      <c r="M178" s="9">
        <f t="shared" si="30"/>
        <v>10453791.208791209</v>
      </c>
      <c r="N178" s="11">
        <f t="shared" si="31"/>
        <v>1240000</v>
      </c>
      <c r="O178" s="12">
        <f t="shared" si="32"/>
        <v>0.11861725332310166</v>
      </c>
      <c r="P178" s="9">
        <f t="shared" si="33"/>
        <v>11324940.476190476</v>
      </c>
      <c r="Q178" s="11">
        <f t="shared" si="34"/>
        <v>1240000</v>
      </c>
      <c r="R178" s="12">
        <f t="shared" si="35"/>
        <v>0.10949284922132461</v>
      </c>
    </row>
    <row r="179" spans="1:18" x14ac:dyDescent="0.3">
      <c r="A179" s="1">
        <v>6650001</v>
      </c>
      <c r="B179" s="1">
        <v>6700000</v>
      </c>
      <c r="C179">
        <v>7000</v>
      </c>
      <c r="D179" s="14">
        <v>0.03</v>
      </c>
      <c r="E179" s="3">
        <f t="shared" si="36"/>
        <v>871000</v>
      </c>
      <c r="F179" s="3">
        <f t="shared" si="37"/>
        <v>757100</v>
      </c>
      <c r="G179" s="2">
        <f t="shared" si="26"/>
        <v>0.18194029850746268</v>
      </c>
      <c r="H179" s="9">
        <f t="shared" si="27"/>
        <v>30000</v>
      </c>
      <c r="I179" s="9">
        <f t="shared" si="28"/>
        <v>1249000</v>
      </c>
      <c r="L179" s="9">
        <f t="shared" si="29"/>
        <v>9584100</v>
      </c>
      <c r="M179" s="9">
        <f t="shared" si="30"/>
        <v>10531978.021978023</v>
      </c>
      <c r="N179" s="11">
        <f t="shared" si="31"/>
        <v>1249000</v>
      </c>
      <c r="O179" s="12">
        <f t="shared" si="32"/>
        <v>0.11859120835550546</v>
      </c>
      <c r="P179" s="9">
        <f t="shared" si="33"/>
        <v>11409642.857142858</v>
      </c>
      <c r="Q179" s="11">
        <f t="shared" si="34"/>
        <v>1249000</v>
      </c>
      <c r="R179" s="12">
        <f t="shared" si="35"/>
        <v>0.10946880771277427</v>
      </c>
    </row>
    <row r="180" spans="1:18" x14ac:dyDescent="0.3">
      <c r="A180" s="1">
        <v>6700001</v>
      </c>
      <c r="B180" s="1">
        <v>6750000</v>
      </c>
      <c r="C180">
        <v>7000</v>
      </c>
      <c r="D180" s="14">
        <v>0.03</v>
      </c>
      <c r="E180" s="3">
        <f t="shared" si="36"/>
        <v>877500</v>
      </c>
      <c r="F180" s="3">
        <f t="shared" si="37"/>
        <v>762750</v>
      </c>
      <c r="G180" s="2">
        <f t="shared" si="26"/>
        <v>0.18192592592592591</v>
      </c>
      <c r="H180" s="9">
        <f t="shared" si="27"/>
        <v>30000</v>
      </c>
      <c r="I180" s="9">
        <f t="shared" si="28"/>
        <v>1257999.9999999998</v>
      </c>
      <c r="L180" s="9">
        <f t="shared" si="29"/>
        <v>9655250</v>
      </c>
      <c r="M180" s="9">
        <f t="shared" si="30"/>
        <v>10610164.835164836</v>
      </c>
      <c r="N180" s="11">
        <f t="shared" si="31"/>
        <v>1258000</v>
      </c>
      <c r="O180" s="12">
        <f t="shared" si="32"/>
        <v>0.11856554724113824</v>
      </c>
      <c r="P180" s="9">
        <f t="shared" si="33"/>
        <v>11494345.238095239</v>
      </c>
      <c r="Q180" s="11">
        <f t="shared" si="34"/>
        <v>1258000</v>
      </c>
      <c r="R180" s="12">
        <f t="shared" si="35"/>
        <v>0.10944512053028145</v>
      </c>
    </row>
    <row r="181" spans="1:18" x14ac:dyDescent="0.3">
      <c r="A181" s="1">
        <v>6750001</v>
      </c>
      <c r="B181" s="1">
        <v>6800000</v>
      </c>
      <c r="C181">
        <v>7000</v>
      </c>
      <c r="D181" s="14">
        <v>0.03</v>
      </c>
      <c r="E181" s="3">
        <f t="shared" si="36"/>
        <v>884000</v>
      </c>
      <c r="F181" s="3">
        <f t="shared" si="37"/>
        <v>768400</v>
      </c>
      <c r="G181" s="2">
        <f t="shared" si="26"/>
        <v>0.18191176470588236</v>
      </c>
      <c r="H181" s="9">
        <f t="shared" si="27"/>
        <v>30000</v>
      </c>
      <c r="I181" s="9">
        <f t="shared" si="28"/>
        <v>1267000</v>
      </c>
      <c r="L181" s="9">
        <f t="shared" si="29"/>
        <v>9726400</v>
      </c>
      <c r="M181" s="9">
        <f t="shared" si="30"/>
        <v>10688351.648351649</v>
      </c>
      <c r="N181" s="11">
        <f t="shared" si="31"/>
        <v>1267000</v>
      </c>
      <c r="O181" s="12">
        <f t="shared" si="32"/>
        <v>0.118540261556177</v>
      </c>
      <c r="P181" s="9">
        <f t="shared" si="33"/>
        <v>11579047.619047619</v>
      </c>
      <c r="Q181" s="11">
        <f t="shared" si="34"/>
        <v>1267000</v>
      </c>
      <c r="R181" s="12">
        <f t="shared" si="35"/>
        <v>0.10942177989800954</v>
      </c>
    </row>
    <row r="182" spans="1:18" x14ac:dyDescent="0.3">
      <c r="A182" s="1">
        <v>6800001</v>
      </c>
      <c r="B182" s="1">
        <v>6850000</v>
      </c>
      <c r="C182">
        <v>7000</v>
      </c>
      <c r="D182" s="14">
        <v>0.03</v>
      </c>
      <c r="E182" s="3">
        <f t="shared" si="36"/>
        <v>890500</v>
      </c>
      <c r="F182" s="3">
        <f t="shared" si="37"/>
        <v>774050</v>
      </c>
      <c r="G182" s="2">
        <f t="shared" si="26"/>
        <v>0.18189781021897811</v>
      </c>
      <c r="H182" s="9">
        <f t="shared" si="27"/>
        <v>30000</v>
      </c>
      <c r="I182" s="9">
        <f t="shared" si="28"/>
        <v>1276000</v>
      </c>
      <c r="L182" s="9">
        <f t="shared" si="29"/>
        <v>9797550</v>
      </c>
      <c r="M182" s="9">
        <f t="shared" si="30"/>
        <v>10766538.461538462</v>
      </c>
      <c r="N182" s="11">
        <f t="shared" si="31"/>
        <v>1276000</v>
      </c>
      <c r="O182" s="12">
        <f t="shared" si="32"/>
        <v>0.11851534312149466</v>
      </c>
      <c r="P182" s="9">
        <f t="shared" si="33"/>
        <v>11663750</v>
      </c>
      <c r="Q182" s="11">
        <f t="shared" si="34"/>
        <v>1276000</v>
      </c>
      <c r="R182" s="12">
        <f t="shared" si="35"/>
        <v>0.10939877826599508</v>
      </c>
    </row>
    <row r="183" spans="1:18" x14ac:dyDescent="0.3">
      <c r="A183" s="1">
        <v>6850001</v>
      </c>
      <c r="B183" s="1">
        <v>6900000</v>
      </c>
      <c r="C183">
        <v>7000</v>
      </c>
      <c r="D183" s="14">
        <v>0.03</v>
      </c>
      <c r="E183" s="3">
        <f t="shared" si="36"/>
        <v>897000</v>
      </c>
      <c r="F183" s="3">
        <f t="shared" si="37"/>
        <v>779700</v>
      </c>
      <c r="G183" s="2">
        <f t="shared" si="26"/>
        <v>0.18188405797101448</v>
      </c>
      <c r="H183" s="9">
        <f t="shared" si="27"/>
        <v>30000</v>
      </c>
      <c r="I183" s="9">
        <f t="shared" si="28"/>
        <v>1285000</v>
      </c>
      <c r="L183" s="9">
        <f t="shared" si="29"/>
        <v>9868700</v>
      </c>
      <c r="M183" s="9">
        <f t="shared" si="30"/>
        <v>10844725.274725275</v>
      </c>
      <c r="N183" s="11">
        <f t="shared" si="31"/>
        <v>1285000</v>
      </c>
      <c r="O183" s="12">
        <f t="shared" si="32"/>
        <v>0.1184907839938391</v>
      </c>
      <c r="P183" s="9">
        <f t="shared" si="33"/>
        <v>11748452.380952381</v>
      </c>
      <c r="Q183" s="11">
        <f t="shared" si="34"/>
        <v>1285000</v>
      </c>
      <c r="R183" s="12">
        <f t="shared" si="35"/>
        <v>0.10937610830200534</v>
      </c>
    </row>
    <row r="184" spans="1:18" x14ac:dyDescent="0.3">
      <c r="A184" s="1">
        <v>6900001</v>
      </c>
      <c r="B184" s="1">
        <v>6950000</v>
      </c>
      <c r="C184">
        <v>7000</v>
      </c>
      <c r="D184" s="14">
        <v>0.03</v>
      </c>
      <c r="E184" s="3">
        <f t="shared" si="36"/>
        <v>903500</v>
      </c>
      <c r="F184" s="3">
        <f t="shared" si="37"/>
        <v>785350</v>
      </c>
      <c r="G184" s="2">
        <f t="shared" si="26"/>
        <v>0.18187050359712228</v>
      </c>
      <c r="H184" s="9">
        <f t="shared" si="27"/>
        <v>30000</v>
      </c>
      <c r="I184" s="9">
        <f t="shared" si="28"/>
        <v>1293999.9999999998</v>
      </c>
      <c r="L184" s="9">
        <f t="shared" si="29"/>
        <v>9939850</v>
      </c>
      <c r="M184" s="9">
        <f t="shared" si="30"/>
        <v>10922912.087912088</v>
      </c>
      <c r="N184" s="11">
        <f t="shared" si="31"/>
        <v>1294000</v>
      </c>
      <c r="O184" s="12">
        <f t="shared" si="32"/>
        <v>0.1184665764573912</v>
      </c>
      <c r="P184" s="9">
        <f t="shared" si="33"/>
        <v>11833154.761904763</v>
      </c>
      <c r="Q184" s="11">
        <f t="shared" si="34"/>
        <v>1294000</v>
      </c>
      <c r="R184" s="12">
        <f t="shared" si="35"/>
        <v>0.10935376288374572</v>
      </c>
    </row>
    <row r="185" spans="1:18" x14ac:dyDescent="0.3">
      <c r="A185" s="1">
        <v>6950001</v>
      </c>
      <c r="B185" s="1">
        <v>7000000</v>
      </c>
      <c r="C185">
        <v>7000</v>
      </c>
      <c r="D185" s="14">
        <v>0.03</v>
      </c>
      <c r="E185" s="3">
        <f t="shared" si="36"/>
        <v>910000</v>
      </c>
      <c r="F185" s="3">
        <f t="shared" si="37"/>
        <v>791000</v>
      </c>
      <c r="G185" s="2">
        <f t="shared" si="26"/>
        <v>0.18185714285714286</v>
      </c>
      <c r="H185" s="9">
        <f t="shared" si="27"/>
        <v>30000</v>
      </c>
      <c r="I185" s="9">
        <f t="shared" si="28"/>
        <v>1303000</v>
      </c>
      <c r="L185" s="9">
        <f t="shared" si="29"/>
        <v>10011000</v>
      </c>
      <c r="M185" s="9">
        <f t="shared" si="30"/>
        <v>11001098.901098901</v>
      </c>
      <c r="N185" s="11">
        <f t="shared" si="31"/>
        <v>1303000</v>
      </c>
      <c r="O185" s="12">
        <f t="shared" si="32"/>
        <v>0.11844271301568275</v>
      </c>
      <c r="P185" s="9">
        <f t="shared" si="33"/>
        <v>11917857.142857144</v>
      </c>
      <c r="Q185" s="11">
        <f t="shared" si="34"/>
        <v>1303000</v>
      </c>
      <c r="R185" s="12">
        <f t="shared" si="35"/>
        <v>0.10933173509139946</v>
      </c>
    </row>
    <row r="186" spans="1:18" x14ac:dyDescent="0.3">
      <c r="A186" s="1">
        <v>7000001</v>
      </c>
      <c r="B186" s="1">
        <v>7050000</v>
      </c>
      <c r="C186">
        <v>7000</v>
      </c>
      <c r="D186" s="14">
        <v>0.03</v>
      </c>
      <c r="E186" s="3">
        <f t="shared" si="36"/>
        <v>916500</v>
      </c>
      <c r="F186" s="3">
        <f t="shared" si="37"/>
        <v>796650</v>
      </c>
      <c r="G186" s="2">
        <f t="shared" si="26"/>
        <v>0.18184397163120566</v>
      </c>
      <c r="H186" s="9">
        <f t="shared" si="27"/>
        <v>30000</v>
      </c>
      <c r="I186" s="9">
        <f t="shared" si="28"/>
        <v>1312000</v>
      </c>
      <c r="L186" s="9">
        <f t="shared" si="29"/>
        <v>10082150</v>
      </c>
      <c r="M186" s="9">
        <f t="shared" si="30"/>
        <v>11079285.714285715</v>
      </c>
      <c r="N186" s="11">
        <f t="shared" si="31"/>
        <v>1312000</v>
      </c>
      <c r="O186" s="12">
        <f t="shared" si="32"/>
        <v>0.11841918638385661</v>
      </c>
      <c r="P186" s="9">
        <f t="shared" si="33"/>
        <v>12002559.523809524</v>
      </c>
      <c r="Q186" s="11">
        <f t="shared" si="34"/>
        <v>1312000</v>
      </c>
      <c r="R186" s="12">
        <f t="shared" si="35"/>
        <v>0.10931001820048303</v>
      </c>
    </row>
    <row r="187" spans="1:18" x14ac:dyDescent="0.3">
      <c r="A187" s="1">
        <v>7050001</v>
      </c>
      <c r="B187" s="1">
        <v>7100000</v>
      </c>
      <c r="C187">
        <v>7000</v>
      </c>
      <c r="D187" s="14">
        <v>0.03</v>
      </c>
      <c r="E187" s="3">
        <f t="shared" si="36"/>
        <v>923000</v>
      </c>
      <c r="F187" s="3">
        <f t="shared" si="37"/>
        <v>802300</v>
      </c>
      <c r="G187" s="2">
        <f t="shared" si="26"/>
        <v>0.18183098591549296</v>
      </c>
      <c r="H187" s="9">
        <f t="shared" si="27"/>
        <v>30000</v>
      </c>
      <c r="I187" s="9">
        <f t="shared" si="28"/>
        <v>1321000</v>
      </c>
      <c r="L187" s="9">
        <f t="shared" si="29"/>
        <v>10153300</v>
      </c>
      <c r="M187" s="9">
        <f t="shared" si="30"/>
        <v>11157472.527472528</v>
      </c>
      <c r="N187" s="11">
        <f t="shared" si="31"/>
        <v>1321000</v>
      </c>
      <c r="O187" s="12">
        <f t="shared" si="32"/>
        <v>0.11839598948125239</v>
      </c>
      <c r="P187" s="9">
        <f t="shared" si="33"/>
        <v>12087261.904761905</v>
      </c>
      <c r="Q187" s="11">
        <f t="shared" si="34"/>
        <v>1321000</v>
      </c>
      <c r="R187" s="12">
        <f t="shared" si="35"/>
        <v>0.10928860567500222</v>
      </c>
    </row>
    <row r="188" spans="1:18" x14ac:dyDescent="0.3">
      <c r="A188" s="1">
        <v>7100001</v>
      </c>
      <c r="B188" s="1">
        <v>7150000</v>
      </c>
      <c r="C188">
        <v>7000</v>
      </c>
      <c r="D188" s="14">
        <v>0.03</v>
      </c>
      <c r="E188" s="3">
        <f t="shared" si="36"/>
        <v>929500</v>
      </c>
      <c r="F188" s="3">
        <f t="shared" si="37"/>
        <v>807950</v>
      </c>
      <c r="G188" s="2">
        <f t="shared" si="26"/>
        <v>0.18181818181818182</v>
      </c>
      <c r="H188" s="9">
        <f t="shared" si="27"/>
        <v>30000</v>
      </c>
      <c r="I188" s="9">
        <f t="shared" si="28"/>
        <v>1330000</v>
      </c>
      <c r="L188" s="9">
        <f t="shared" si="29"/>
        <v>10224450</v>
      </c>
      <c r="M188" s="9">
        <f t="shared" si="30"/>
        <v>11235659.340659341</v>
      </c>
      <c r="N188" s="11">
        <f t="shared" si="31"/>
        <v>1330000</v>
      </c>
      <c r="O188" s="12">
        <f t="shared" si="32"/>
        <v>0.11837311542430155</v>
      </c>
      <c r="P188" s="9">
        <f t="shared" si="33"/>
        <v>12171964.285714285</v>
      </c>
      <c r="Q188" s="11">
        <f t="shared" si="34"/>
        <v>1330000</v>
      </c>
      <c r="R188" s="12">
        <f t="shared" si="35"/>
        <v>0.10926749116089374</v>
      </c>
    </row>
    <row r="189" spans="1:18" x14ac:dyDescent="0.3">
      <c r="A189" s="1">
        <v>7150001</v>
      </c>
      <c r="B189" s="1">
        <v>7200000</v>
      </c>
      <c r="C189">
        <v>7000</v>
      </c>
      <c r="D189" s="14">
        <v>0.03</v>
      </c>
      <c r="E189" s="3">
        <f t="shared" si="36"/>
        <v>936000</v>
      </c>
      <c r="F189" s="3">
        <f t="shared" si="37"/>
        <v>813600</v>
      </c>
      <c r="G189" s="2">
        <f t="shared" si="26"/>
        <v>0.18180555555555555</v>
      </c>
      <c r="H189" s="9">
        <f t="shared" si="27"/>
        <v>30000</v>
      </c>
      <c r="I189" s="9">
        <f t="shared" si="28"/>
        <v>1339000</v>
      </c>
      <c r="L189" s="9">
        <f t="shared" si="29"/>
        <v>10295600</v>
      </c>
      <c r="M189" s="9">
        <f t="shared" si="30"/>
        <v>11313846.153846154</v>
      </c>
      <c r="N189" s="11">
        <f t="shared" si="31"/>
        <v>1339000</v>
      </c>
      <c r="O189" s="12">
        <f t="shared" si="32"/>
        <v>0.11835055751971715</v>
      </c>
      <c r="P189" s="9">
        <f t="shared" si="33"/>
        <v>12256666.666666668</v>
      </c>
      <c r="Q189" s="11">
        <f t="shared" si="34"/>
        <v>1339000</v>
      </c>
      <c r="R189" s="12">
        <f t="shared" si="35"/>
        <v>0.10924666847973891</v>
      </c>
    </row>
    <row r="190" spans="1:18" x14ac:dyDescent="0.3">
      <c r="A190" s="1">
        <v>7200001</v>
      </c>
      <c r="B190" s="1">
        <v>7250000</v>
      </c>
      <c r="C190">
        <v>7000</v>
      </c>
      <c r="D190" s="14">
        <v>0.03</v>
      </c>
      <c r="E190" s="3">
        <f t="shared" si="36"/>
        <v>942500</v>
      </c>
      <c r="F190" s="3">
        <f t="shared" si="37"/>
        <v>819250</v>
      </c>
      <c r="G190" s="2">
        <f t="shared" si="26"/>
        <v>0.18179310344827584</v>
      </c>
      <c r="H190" s="9">
        <f t="shared" si="27"/>
        <v>30000</v>
      </c>
      <c r="I190" s="9">
        <f t="shared" si="28"/>
        <v>1347999.9999999998</v>
      </c>
      <c r="L190" s="9">
        <f t="shared" si="29"/>
        <v>10366750</v>
      </c>
      <c r="M190" s="9">
        <f t="shared" si="30"/>
        <v>11392032.967032967</v>
      </c>
      <c r="N190" s="11">
        <f t="shared" si="31"/>
        <v>1348000</v>
      </c>
      <c r="O190" s="12">
        <f t="shared" si="32"/>
        <v>0.11832830925796416</v>
      </c>
      <c r="P190" s="9">
        <f t="shared" si="33"/>
        <v>12341369.047619049</v>
      </c>
      <c r="Q190" s="11">
        <f t="shared" si="34"/>
        <v>1348000</v>
      </c>
      <c r="R190" s="12">
        <f t="shared" si="35"/>
        <v>0.10922613162273614</v>
      </c>
    </row>
    <row r="191" spans="1:18" x14ac:dyDescent="0.3">
      <c r="A191" s="1">
        <v>7250001</v>
      </c>
      <c r="B191" s="1">
        <v>7300000</v>
      </c>
      <c r="C191">
        <v>7000</v>
      </c>
      <c r="D191" s="14">
        <v>0.03</v>
      </c>
      <c r="E191" s="3">
        <f t="shared" si="36"/>
        <v>949000</v>
      </c>
      <c r="F191" s="3">
        <f t="shared" si="37"/>
        <v>824900</v>
      </c>
      <c r="G191" s="2">
        <f t="shared" si="26"/>
        <v>0.1817808219178082</v>
      </c>
      <c r="H191" s="9">
        <f t="shared" si="27"/>
        <v>30000</v>
      </c>
      <c r="I191" s="9">
        <f t="shared" si="28"/>
        <v>1356999.9999999998</v>
      </c>
      <c r="L191" s="9">
        <f t="shared" si="29"/>
        <v>10437900</v>
      </c>
      <c r="M191" s="9">
        <f t="shared" si="30"/>
        <v>11470219.780219782</v>
      </c>
      <c r="N191" s="11">
        <f t="shared" si="31"/>
        <v>1357000</v>
      </c>
      <c r="O191" s="12">
        <f t="shared" si="32"/>
        <v>0.11830636430699659</v>
      </c>
      <c r="P191" s="9">
        <f t="shared" si="33"/>
        <v>12426071.428571429</v>
      </c>
      <c r="Q191" s="11">
        <f t="shared" si="34"/>
        <v>1357000</v>
      </c>
      <c r="R191" s="12">
        <f t="shared" si="35"/>
        <v>0.10920587474491995</v>
      </c>
    </row>
    <row r="192" spans="1:18" x14ac:dyDescent="0.3">
      <c r="A192" s="1">
        <v>7300001</v>
      </c>
      <c r="B192" s="1">
        <v>7350000</v>
      </c>
      <c r="C192">
        <v>7000</v>
      </c>
      <c r="D192" s="14">
        <v>0.03</v>
      </c>
      <c r="E192" s="3">
        <f t="shared" si="36"/>
        <v>955500</v>
      </c>
      <c r="F192" s="3">
        <f t="shared" si="37"/>
        <v>830550</v>
      </c>
      <c r="G192" s="2">
        <f t="shared" si="26"/>
        <v>0.1817687074829932</v>
      </c>
      <c r="H192" s="9">
        <f t="shared" si="27"/>
        <v>30000</v>
      </c>
      <c r="I192" s="9">
        <f t="shared" si="28"/>
        <v>1366000</v>
      </c>
      <c r="L192" s="9">
        <f t="shared" si="29"/>
        <v>10509050</v>
      </c>
      <c r="M192" s="9">
        <f t="shared" si="30"/>
        <v>11548406.593406595</v>
      </c>
      <c r="N192" s="11">
        <f t="shared" si="31"/>
        <v>1366000</v>
      </c>
      <c r="O192" s="12">
        <f t="shared" si="32"/>
        <v>0.11828471650624936</v>
      </c>
      <c r="P192" s="9">
        <f t="shared" si="33"/>
        <v>12510773.80952381</v>
      </c>
      <c r="Q192" s="11">
        <f t="shared" si="34"/>
        <v>1366000</v>
      </c>
      <c r="R192" s="12">
        <f t="shared" si="35"/>
        <v>0.1091858921596148</v>
      </c>
    </row>
    <row r="193" spans="1:18" x14ac:dyDescent="0.3">
      <c r="A193" s="1">
        <v>7350001</v>
      </c>
      <c r="B193" s="1">
        <v>7400000</v>
      </c>
      <c r="C193">
        <v>7000</v>
      </c>
      <c r="D193" s="14">
        <v>0.03</v>
      </c>
      <c r="E193" s="3">
        <f t="shared" si="36"/>
        <v>962000</v>
      </c>
      <c r="F193" s="3">
        <f t="shared" si="37"/>
        <v>836200</v>
      </c>
      <c r="G193" s="2">
        <f t="shared" si="26"/>
        <v>0.18175675675675676</v>
      </c>
      <c r="H193" s="9">
        <f t="shared" si="27"/>
        <v>30000</v>
      </c>
      <c r="I193" s="9">
        <f t="shared" si="28"/>
        <v>1375000</v>
      </c>
      <c r="L193" s="9">
        <f t="shared" si="29"/>
        <v>10580200</v>
      </c>
      <c r="M193" s="9">
        <f t="shared" si="30"/>
        <v>11626593.406593408</v>
      </c>
      <c r="N193" s="11">
        <f t="shared" si="31"/>
        <v>1375000</v>
      </c>
      <c r="O193" s="12">
        <f t="shared" si="32"/>
        <v>0.11826335986087218</v>
      </c>
      <c r="P193" s="9">
        <f t="shared" si="33"/>
        <v>12595476.19047619</v>
      </c>
      <c r="Q193" s="11">
        <f t="shared" si="34"/>
        <v>1375000</v>
      </c>
      <c r="R193" s="12">
        <f t="shared" si="35"/>
        <v>0.1091661783331128</v>
      </c>
    </row>
    <row r="194" spans="1:18" x14ac:dyDescent="0.3">
      <c r="A194" s="1">
        <v>7400001</v>
      </c>
      <c r="B194" s="1">
        <v>7450000</v>
      </c>
      <c r="C194">
        <v>7000</v>
      </c>
      <c r="D194" s="14">
        <v>0.03</v>
      </c>
      <c r="E194" s="3">
        <f t="shared" si="36"/>
        <v>968500</v>
      </c>
      <c r="F194" s="3">
        <f t="shared" si="37"/>
        <v>841850</v>
      </c>
      <c r="G194" s="2">
        <f t="shared" si="26"/>
        <v>0.18174496644295302</v>
      </c>
      <c r="H194" s="9">
        <f t="shared" si="27"/>
        <v>30000</v>
      </c>
      <c r="I194" s="9">
        <f t="shared" si="28"/>
        <v>1384000</v>
      </c>
      <c r="L194" s="9">
        <f t="shared" si="29"/>
        <v>10651350</v>
      </c>
      <c r="M194" s="9">
        <f t="shared" si="30"/>
        <v>11704780.219780222</v>
      </c>
      <c r="N194" s="11">
        <f t="shared" si="31"/>
        <v>1384000</v>
      </c>
      <c r="O194" s="12">
        <f t="shared" si="32"/>
        <v>0.11824228853619492</v>
      </c>
      <c r="P194" s="9">
        <f t="shared" si="33"/>
        <v>12680178.571428573</v>
      </c>
      <c r="Q194" s="11">
        <f t="shared" si="34"/>
        <v>1384000</v>
      </c>
      <c r="R194" s="12">
        <f t="shared" si="35"/>
        <v>0.10914672787956455</v>
      </c>
    </row>
    <row r="195" spans="1:18" x14ac:dyDescent="0.3">
      <c r="A195" s="1">
        <v>7450001</v>
      </c>
      <c r="B195" s="1">
        <v>7500000</v>
      </c>
      <c r="C195">
        <v>7000</v>
      </c>
      <c r="D195" s="14">
        <v>0.03</v>
      </c>
      <c r="E195" s="3">
        <f t="shared" si="36"/>
        <v>975000</v>
      </c>
      <c r="F195" s="3">
        <f t="shared" si="37"/>
        <v>847500</v>
      </c>
      <c r="G195" s="2">
        <f t="shared" ref="G195:G258" si="38">MIN($K$2,MAX($K$3,$K$4/B195+$K$3))</f>
        <v>0.18173333333333333</v>
      </c>
      <c r="H195" s="9">
        <f t="shared" ref="H195:H258" si="39">MIN($K$11,$K$9+$K$10*(B195-$B$2))</f>
        <v>30000</v>
      </c>
      <c r="I195" s="9">
        <f t="shared" ref="I195:I258" si="40">B195*G195+H195</f>
        <v>1393000</v>
      </c>
      <c r="L195" s="9">
        <f t="shared" ref="L195:L258" si="41">B195+C195+E195+F195+I195</f>
        <v>10722500</v>
      </c>
      <c r="M195" s="9">
        <f t="shared" ref="M195:M258" si="42">L195/(1-$K$14-D195)</f>
        <v>11782967.032967035</v>
      </c>
      <c r="N195" s="11">
        <f t="shared" ref="N195:N258" si="43">M195*(1-$K$14-D195)-B195-C195-E195-F195</f>
        <v>1393000</v>
      </c>
      <c r="O195" s="12">
        <f t="shared" ref="O195:O258" si="44">N195/M195</f>
        <v>0.11822149685241314</v>
      </c>
      <c r="P195" s="9">
        <f t="shared" ref="P195:P258" si="45">L195/(1-$K$15-D195)</f>
        <v>12764880.952380953</v>
      </c>
      <c r="Q195" s="11">
        <f t="shared" ref="Q195:Q258" si="46">P195*(1-$K$15-D195)-B195-C195-E195-F195</f>
        <v>1393000</v>
      </c>
      <c r="R195" s="12">
        <f t="shared" ref="R195:R258" si="47">Q195/P195</f>
        <v>0.10912753555607367</v>
      </c>
    </row>
    <row r="196" spans="1:18" x14ac:dyDescent="0.3">
      <c r="A196" s="1">
        <v>7500001</v>
      </c>
      <c r="B196" s="1">
        <v>7550000</v>
      </c>
      <c r="C196">
        <v>7000</v>
      </c>
      <c r="D196" s="14">
        <v>0.03</v>
      </c>
      <c r="E196" s="3">
        <f t="shared" si="36"/>
        <v>981500</v>
      </c>
      <c r="F196" s="3">
        <f t="shared" si="37"/>
        <v>853150</v>
      </c>
      <c r="G196" s="2">
        <f t="shared" si="38"/>
        <v>0.18172185430463575</v>
      </c>
      <c r="H196" s="9">
        <f t="shared" si="39"/>
        <v>30000</v>
      </c>
      <c r="I196" s="9">
        <f t="shared" si="40"/>
        <v>1402000</v>
      </c>
      <c r="L196" s="9">
        <f t="shared" si="41"/>
        <v>10793650</v>
      </c>
      <c r="M196" s="9">
        <f t="shared" si="42"/>
        <v>11861153.846153848</v>
      </c>
      <c r="N196" s="11">
        <f t="shared" si="43"/>
        <v>1402000</v>
      </c>
      <c r="O196" s="12">
        <f t="shared" si="44"/>
        <v>0.11820097927948375</v>
      </c>
      <c r="P196" s="9">
        <f t="shared" si="45"/>
        <v>12849583.333333334</v>
      </c>
      <c r="Q196" s="11">
        <f t="shared" si="46"/>
        <v>1402000</v>
      </c>
      <c r="R196" s="12">
        <f t="shared" si="47"/>
        <v>0.10910859625798501</v>
      </c>
    </row>
    <row r="197" spans="1:18" x14ac:dyDescent="0.3">
      <c r="A197" s="1">
        <v>7550001</v>
      </c>
      <c r="B197" s="1">
        <v>7600000</v>
      </c>
      <c r="C197">
        <v>7000</v>
      </c>
      <c r="D197" s="14">
        <v>0.03</v>
      </c>
      <c r="E197" s="3">
        <f t="shared" si="36"/>
        <v>988000</v>
      </c>
      <c r="F197" s="3">
        <f t="shared" si="37"/>
        <v>858800</v>
      </c>
      <c r="G197" s="2">
        <f t="shared" si="38"/>
        <v>0.18171052631578946</v>
      </c>
      <c r="H197" s="9">
        <f t="shared" si="39"/>
        <v>30000</v>
      </c>
      <c r="I197" s="9">
        <f t="shared" si="40"/>
        <v>1411000</v>
      </c>
      <c r="L197" s="9">
        <f t="shared" si="41"/>
        <v>10864800</v>
      </c>
      <c r="M197" s="9">
        <f t="shared" si="42"/>
        <v>11939340.659340661</v>
      </c>
      <c r="N197" s="11">
        <f t="shared" si="43"/>
        <v>1411000</v>
      </c>
      <c r="O197" s="12">
        <f t="shared" si="44"/>
        <v>0.11818073043222146</v>
      </c>
      <c r="P197" s="9">
        <f t="shared" si="45"/>
        <v>12934285.714285715</v>
      </c>
      <c r="Q197" s="11">
        <f t="shared" si="46"/>
        <v>1411000</v>
      </c>
      <c r="R197" s="12">
        <f t="shared" si="47"/>
        <v>0.10908990501435829</v>
      </c>
    </row>
    <row r="198" spans="1:18" x14ac:dyDescent="0.3">
      <c r="A198" s="1">
        <v>7600001</v>
      </c>
      <c r="B198" s="1">
        <v>7650000</v>
      </c>
      <c r="C198">
        <v>7000</v>
      </c>
      <c r="D198" s="14">
        <v>0.03</v>
      </c>
      <c r="E198" s="3">
        <f t="shared" si="36"/>
        <v>994500</v>
      </c>
      <c r="F198" s="3">
        <f t="shared" si="37"/>
        <v>864450</v>
      </c>
      <c r="G198" s="2">
        <f t="shared" si="38"/>
        <v>0.18169934640522875</v>
      </c>
      <c r="H198" s="9">
        <f t="shared" si="39"/>
        <v>30000</v>
      </c>
      <c r="I198" s="9">
        <f t="shared" si="40"/>
        <v>1420000</v>
      </c>
      <c r="L198" s="9">
        <f t="shared" si="41"/>
        <v>10935950</v>
      </c>
      <c r="M198" s="9">
        <f t="shared" si="42"/>
        <v>12017527.472527474</v>
      </c>
      <c r="N198" s="11">
        <f t="shared" si="43"/>
        <v>1420000</v>
      </c>
      <c r="O198" s="12">
        <f t="shared" si="44"/>
        <v>0.11816074506558642</v>
      </c>
      <c r="P198" s="9">
        <f t="shared" si="45"/>
        <v>13018988.095238095</v>
      </c>
      <c r="Q198" s="11">
        <f t="shared" si="46"/>
        <v>1420000</v>
      </c>
      <c r="R198" s="12">
        <f t="shared" si="47"/>
        <v>0.10907145698361825</v>
      </c>
    </row>
    <row r="199" spans="1:18" x14ac:dyDescent="0.3">
      <c r="A199" s="1">
        <v>7650001</v>
      </c>
      <c r="B199" s="1">
        <v>7700000</v>
      </c>
      <c r="C199">
        <v>7000</v>
      </c>
      <c r="D199" s="14">
        <v>0.03</v>
      </c>
      <c r="E199" s="3">
        <f t="shared" si="36"/>
        <v>1001000</v>
      </c>
      <c r="F199" s="3">
        <f t="shared" si="37"/>
        <v>870100</v>
      </c>
      <c r="G199" s="2">
        <f t="shared" si="38"/>
        <v>0.18168831168831168</v>
      </c>
      <c r="H199" s="9">
        <f t="shared" si="39"/>
        <v>30000</v>
      </c>
      <c r="I199" s="9">
        <f t="shared" si="40"/>
        <v>1429000</v>
      </c>
      <c r="L199" s="9">
        <f t="shared" si="41"/>
        <v>11007100</v>
      </c>
      <c r="M199" s="9">
        <f t="shared" si="42"/>
        <v>12095714.285714287</v>
      </c>
      <c r="N199" s="11">
        <f t="shared" si="43"/>
        <v>1429000</v>
      </c>
      <c r="O199" s="12">
        <f t="shared" si="44"/>
        <v>0.1181410180701547</v>
      </c>
      <c r="P199" s="9">
        <f t="shared" si="45"/>
        <v>13103690.476190476</v>
      </c>
      <c r="Q199" s="11">
        <f t="shared" si="46"/>
        <v>1429000</v>
      </c>
      <c r="R199" s="12">
        <f t="shared" si="47"/>
        <v>0.10905324744937359</v>
      </c>
    </row>
    <row r="200" spans="1:18" x14ac:dyDescent="0.3">
      <c r="A200" s="1">
        <v>7700001</v>
      </c>
      <c r="B200" s="1">
        <v>7750000</v>
      </c>
      <c r="C200">
        <v>7000</v>
      </c>
      <c r="D200" s="14">
        <v>0.03</v>
      </c>
      <c r="E200" s="3">
        <f t="shared" si="36"/>
        <v>1007500</v>
      </c>
      <c r="F200" s="3">
        <f t="shared" si="37"/>
        <v>875750</v>
      </c>
      <c r="G200" s="2">
        <f t="shared" si="38"/>
        <v>0.18167741935483869</v>
      </c>
      <c r="H200" s="9">
        <f t="shared" si="39"/>
        <v>30000</v>
      </c>
      <c r="I200" s="9">
        <f t="shared" si="40"/>
        <v>1437999.9999999998</v>
      </c>
      <c r="L200" s="9">
        <f t="shared" si="41"/>
        <v>11078250</v>
      </c>
      <c r="M200" s="9">
        <f t="shared" si="42"/>
        <v>12173901.0989011</v>
      </c>
      <c r="N200" s="11">
        <f t="shared" si="43"/>
        <v>1438000</v>
      </c>
      <c r="O200" s="12">
        <f t="shared" si="44"/>
        <v>0.11812154446776339</v>
      </c>
      <c r="P200" s="9">
        <f t="shared" si="45"/>
        <v>13188392.857142858</v>
      </c>
      <c r="Q200" s="11">
        <f t="shared" si="46"/>
        <v>1438000</v>
      </c>
      <c r="R200" s="12">
        <f t="shared" si="47"/>
        <v>0.10903527181639698</v>
      </c>
    </row>
    <row r="201" spans="1:18" x14ac:dyDescent="0.3">
      <c r="A201" s="1">
        <v>7750001</v>
      </c>
      <c r="B201" s="1">
        <v>7800000</v>
      </c>
      <c r="C201">
        <v>7000</v>
      </c>
      <c r="D201" s="14">
        <v>0.03</v>
      </c>
      <c r="E201" s="3">
        <f t="shared" si="36"/>
        <v>1014000</v>
      </c>
      <c r="F201" s="3">
        <f t="shared" si="37"/>
        <v>881400</v>
      </c>
      <c r="G201" s="2">
        <f t="shared" si="38"/>
        <v>0.18166666666666667</v>
      </c>
      <c r="H201" s="9">
        <f t="shared" si="39"/>
        <v>30000</v>
      </c>
      <c r="I201" s="9">
        <f t="shared" si="40"/>
        <v>1447000</v>
      </c>
      <c r="L201" s="9">
        <f t="shared" si="41"/>
        <v>11149400</v>
      </c>
      <c r="M201" s="9">
        <f t="shared" si="42"/>
        <v>12252087.912087914</v>
      </c>
      <c r="N201" s="11">
        <f t="shared" si="43"/>
        <v>1447000</v>
      </c>
      <c r="O201" s="12">
        <f t="shared" si="44"/>
        <v>0.11810231940732235</v>
      </c>
      <c r="P201" s="9">
        <f t="shared" si="45"/>
        <v>13273095.238095239</v>
      </c>
      <c r="Q201" s="11">
        <f t="shared" si="46"/>
        <v>1447000</v>
      </c>
      <c r="R201" s="12">
        <f t="shared" si="47"/>
        <v>0.10901752560675911</v>
      </c>
    </row>
    <row r="202" spans="1:18" x14ac:dyDescent="0.3">
      <c r="A202" s="1">
        <v>7800001</v>
      </c>
      <c r="B202" s="1">
        <v>7850000</v>
      </c>
      <c r="C202">
        <v>7000</v>
      </c>
      <c r="D202" s="14">
        <v>0.03</v>
      </c>
      <c r="E202" s="3">
        <f t="shared" si="36"/>
        <v>1020500</v>
      </c>
      <c r="F202" s="3">
        <f t="shared" si="37"/>
        <v>887050</v>
      </c>
      <c r="G202" s="2">
        <f t="shared" si="38"/>
        <v>0.18165605095541401</v>
      </c>
      <c r="H202" s="9">
        <f t="shared" si="39"/>
        <v>30000</v>
      </c>
      <c r="I202" s="9">
        <f t="shared" si="40"/>
        <v>1456000</v>
      </c>
      <c r="L202" s="9">
        <f t="shared" si="41"/>
        <v>11220550</v>
      </c>
      <c r="M202" s="9">
        <f t="shared" si="42"/>
        <v>12330274.725274727</v>
      </c>
      <c r="N202" s="11">
        <f t="shared" si="43"/>
        <v>1456000</v>
      </c>
      <c r="O202" s="12">
        <f t="shared" si="44"/>
        <v>0.11808333816078533</v>
      </c>
      <c r="P202" s="9">
        <f t="shared" si="45"/>
        <v>13357797.619047619</v>
      </c>
      <c r="Q202" s="11">
        <f t="shared" si="46"/>
        <v>1456000</v>
      </c>
      <c r="R202" s="12">
        <f t="shared" si="47"/>
        <v>0.10900000445610955</v>
      </c>
    </row>
    <row r="203" spans="1:18" x14ac:dyDescent="0.3">
      <c r="A203" s="1">
        <v>7850001</v>
      </c>
      <c r="B203" s="1">
        <v>7900000</v>
      </c>
      <c r="C203">
        <v>7000</v>
      </c>
      <c r="D203" s="14">
        <v>0.03</v>
      </c>
      <c r="E203" s="3">
        <f t="shared" si="36"/>
        <v>1027000</v>
      </c>
      <c r="F203" s="3">
        <f t="shared" si="37"/>
        <v>892700</v>
      </c>
      <c r="G203" s="2">
        <f t="shared" si="38"/>
        <v>0.18164556962025316</v>
      </c>
      <c r="H203" s="9">
        <f t="shared" si="39"/>
        <v>30000</v>
      </c>
      <c r="I203" s="9">
        <f t="shared" si="40"/>
        <v>1465000</v>
      </c>
      <c r="L203" s="9">
        <f t="shared" si="41"/>
        <v>11291700</v>
      </c>
      <c r="M203" s="9">
        <f t="shared" si="42"/>
        <v>12408461.53846154</v>
      </c>
      <c r="N203" s="11">
        <f t="shared" si="43"/>
        <v>1465000</v>
      </c>
      <c r="O203" s="12">
        <f t="shared" si="44"/>
        <v>0.11806459611927343</v>
      </c>
      <c r="P203" s="9">
        <f t="shared" si="45"/>
        <v>13442500</v>
      </c>
      <c r="Q203" s="11">
        <f t="shared" si="46"/>
        <v>1465000</v>
      </c>
      <c r="R203" s="12">
        <f t="shared" si="47"/>
        <v>0.10898270411009857</v>
      </c>
    </row>
    <row r="204" spans="1:18" x14ac:dyDescent="0.3">
      <c r="A204" s="1">
        <v>7900001</v>
      </c>
      <c r="B204" s="1">
        <v>7950000</v>
      </c>
      <c r="C204">
        <v>7000</v>
      </c>
      <c r="D204" s="14">
        <v>0.03</v>
      </c>
      <c r="E204" s="3">
        <f t="shared" si="36"/>
        <v>1033500</v>
      </c>
      <c r="F204" s="3">
        <f t="shared" si="37"/>
        <v>898350</v>
      </c>
      <c r="G204" s="2">
        <f t="shared" si="38"/>
        <v>0.18163522012578615</v>
      </c>
      <c r="H204" s="9">
        <f t="shared" si="39"/>
        <v>30000</v>
      </c>
      <c r="I204" s="9">
        <f t="shared" si="40"/>
        <v>1473999.9999999998</v>
      </c>
      <c r="L204" s="9">
        <f t="shared" si="41"/>
        <v>11362850</v>
      </c>
      <c r="M204" s="9">
        <f t="shared" si="42"/>
        <v>12486648.351648353</v>
      </c>
      <c r="N204" s="11">
        <f t="shared" si="43"/>
        <v>1474000</v>
      </c>
      <c r="O204" s="12">
        <f t="shared" si="44"/>
        <v>0.11804608878934421</v>
      </c>
      <c r="P204" s="9">
        <f t="shared" si="45"/>
        <v>13527202.380952381</v>
      </c>
      <c r="Q204" s="11">
        <f t="shared" si="46"/>
        <v>1474000</v>
      </c>
      <c r="R204" s="12">
        <f t="shared" si="47"/>
        <v>0.10896562042093313</v>
      </c>
    </row>
    <row r="205" spans="1:18" x14ac:dyDescent="0.3">
      <c r="A205" s="1">
        <v>7950001</v>
      </c>
      <c r="B205" s="1">
        <v>8000000</v>
      </c>
      <c r="C205">
        <v>7000</v>
      </c>
      <c r="D205" s="14">
        <v>0.03</v>
      </c>
      <c r="E205" s="3">
        <f t="shared" si="36"/>
        <v>1040000</v>
      </c>
      <c r="F205" s="3">
        <f t="shared" si="37"/>
        <v>904000</v>
      </c>
      <c r="G205" s="2">
        <f t="shared" si="38"/>
        <v>0.18162499999999998</v>
      </c>
      <c r="H205" s="9">
        <f t="shared" si="39"/>
        <v>30000</v>
      </c>
      <c r="I205" s="9">
        <f t="shared" si="40"/>
        <v>1482999.9999999998</v>
      </c>
      <c r="L205" s="9">
        <f t="shared" si="41"/>
        <v>11434000</v>
      </c>
      <c r="M205" s="9">
        <f t="shared" si="42"/>
        <v>12564835.164835166</v>
      </c>
      <c r="N205" s="11">
        <f t="shared" si="43"/>
        <v>1483000</v>
      </c>
      <c r="O205" s="12">
        <f t="shared" si="44"/>
        <v>0.11802781178940003</v>
      </c>
      <c r="P205" s="9">
        <f t="shared" si="45"/>
        <v>13611904.761904763</v>
      </c>
      <c r="Q205" s="11">
        <f t="shared" si="46"/>
        <v>1483000</v>
      </c>
      <c r="R205" s="12">
        <f t="shared" si="47"/>
        <v>0.10894874934406157</v>
      </c>
    </row>
    <row r="206" spans="1:18" x14ac:dyDescent="0.3">
      <c r="A206" s="1">
        <v>8000001</v>
      </c>
      <c r="B206" s="1">
        <v>8050000</v>
      </c>
      <c r="C206">
        <v>7000</v>
      </c>
      <c r="D206" s="14">
        <v>0.03</v>
      </c>
      <c r="E206" s="3">
        <f t="shared" si="36"/>
        <v>1046500</v>
      </c>
      <c r="F206" s="3">
        <f t="shared" si="37"/>
        <v>909650</v>
      </c>
      <c r="G206" s="2">
        <f t="shared" si="38"/>
        <v>0.18161490683229814</v>
      </c>
      <c r="H206" s="9">
        <f t="shared" si="39"/>
        <v>30000</v>
      </c>
      <c r="I206" s="9">
        <f t="shared" si="40"/>
        <v>1492000</v>
      </c>
      <c r="L206" s="9">
        <f t="shared" si="41"/>
        <v>11505150</v>
      </c>
      <c r="M206" s="9">
        <f t="shared" si="42"/>
        <v>12643021.978021979</v>
      </c>
      <c r="N206" s="11">
        <f t="shared" si="43"/>
        <v>1492000</v>
      </c>
      <c r="O206" s="12">
        <f t="shared" si="44"/>
        <v>0.11800976084622972</v>
      </c>
      <c r="P206" s="9">
        <f t="shared" si="45"/>
        <v>13696607.142857144</v>
      </c>
      <c r="Q206" s="11">
        <f t="shared" si="46"/>
        <v>1492000</v>
      </c>
      <c r="R206" s="12">
        <f t="shared" si="47"/>
        <v>0.10893208693498128</v>
      </c>
    </row>
    <row r="207" spans="1:18" x14ac:dyDescent="0.3">
      <c r="A207" s="1">
        <v>8050001</v>
      </c>
      <c r="B207" s="1">
        <v>8100000</v>
      </c>
      <c r="C207">
        <v>7000</v>
      </c>
      <c r="D207" s="14">
        <v>0.03</v>
      </c>
      <c r="E207" s="3">
        <f t="shared" si="36"/>
        <v>1053000</v>
      </c>
      <c r="F207" s="3">
        <f t="shared" si="37"/>
        <v>915300</v>
      </c>
      <c r="G207" s="2">
        <f t="shared" si="38"/>
        <v>0.18160493827160493</v>
      </c>
      <c r="H207" s="9">
        <f t="shared" si="39"/>
        <v>30000</v>
      </c>
      <c r="I207" s="9">
        <f t="shared" si="40"/>
        <v>1501000</v>
      </c>
      <c r="L207" s="9">
        <f t="shared" si="41"/>
        <v>11576300</v>
      </c>
      <c r="M207" s="9">
        <f t="shared" si="42"/>
        <v>12721208.791208792</v>
      </c>
      <c r="N207" s="11">
        <f t="shared" si="43"/>
        <v>1501000</v>
      </c>
      <c r="O207" s="12">
        <f t="shared" si="44"/>
        <v>0.11799193179167781</v>
      </c>
      <c r="P207" s="9">
        <f t="shared" si="45"/>
        <v>13781309.523809524</v>
      </c>
      <c r="Q207" s="11">
        <f t="shared" si="46"/>
        <v>1501000</v>
      </c>
      <c r="R207" s="12">
        <f t="shared" si="47"/>
        <v>0.10891562934616414</v>
      </c>
    </row>
    <row r="208" spans="1:18" x14ac:dyDescent="0.3">
      <c r="A208" s="1">
        <v>8100001</v>
      </c>
      <c r="B208" s="1">
        <v>8150000</v>
      </c>
      <c r="C208">
        <v>7000</v>
      </c>
      <c r="D208" s="14">
        <v>0.03</v>
      </c>
      <c r="E208" s="3">
        <f t="shared" si="36"/>
        <v>1059500</v>
      </c>
      <c r="F208" s="3">
        <f t="shared" si="37"/>
        <v>920950</v>
      </c>
      <c r="G208" s="2">
        <f t="shared" si="38"/>
        <v>0.18159509202453988</v>
      </c>
      <c r="H208" s="9">
        <f t="shared" si="39"/>
        <v>30000</v>
      </c>
      <c r="I208" s="9">
        <f t="shared" si="40"/>
        <v>1510000</v>
      </c>
      <c r="L208" s="9">
        <f t="shared" si="41"/>
        <v>11647450</v>
      </c>
      <c r="M208" s="9">
        <f t="shared" si="42"/>
        <v>12799395.604395606</v>
      </c>
      <c r="N208" s="11">
        <f t="shared" si="43"/>
        <v>1510000</v>
      </c>
      <c r="O208" s="12">
        <f t="shared" si="44"/>
        <v>0.11797432055943574</v>
      </c>
      <c r="P208" s="9">
        <f t="shared" si="45"/>
        <v>13866011.904761905</v>
      </c>
      <c r="Q208" s="11">
        <f t="shared" si="46"/>
        <v>1510000</v>
      </c>
      <c r="R208" s="12">
        <f t="shared" si="47"/>
        <v>0.10889937282409454</v>
      </c>
    </row>
    <row r="209" spans="1:18" x14ac:dyDescent="0.3">
      <c r="A209" s="1">
        <v>8150001</v>
      </c>
      <c r="B209" s="1">
        <v>8200000</v>
      </c>
      <c r="C209">
        <v>7000</v>
      </c>
      <c r="D209" s="14">
        <v>0.03</v>
      </c>
      <c r="E209" s="3">
        <f t="shared" si="36"/>
        <v>1066000</v>
      </c>
      <c r="F209" s="3">
        <f t="shared" si="37"/>
        <v>926600</v>
      </c>
      <c r="G209" s="2">
        <f t="shared" si="38"/>
        <v>0.18158536585365853</v>
      </c>
      <c r="H209" s="9">
        <f t="shared" si="39"/>
        <v>30000</v>
      </c>
      <c r="I209" s="9">
        <f t="shared" si="40"/>
        <v>1519000</v>
      </c>
      <c r="L209" s="9">
        <f t="shared" si="41"/>
        <v>11718600</v>
      </c>
      <c r="M209" s="9">
        <f t="shared" si="42"/>
        <v>12877582.417582419</v>
      </c>
      <c r="N209" s="11">
        <f t="shared" si="43"/>
        <v>1519000</v>
      </c>
      <c r="O209" s="12">
        <f t="shared" si="44"/>
        <v>0.11795692318195006</v>
      </c>
      <c r="P209" s="9">
        <f t="shared" si="45"/>
        <v>13950714.285714285</v>
      </c>
      <c r="Q209" s="11">
        <f t="shared" si="46"/>
        <v>1519000</v>
      </c>
      <c r="R209" s="12">
        <f t="shared" si="47"/>
        <v>0.10888331370641545</v>
      </c>
    </row>
    <row r="210" spans="1:18" x14ac:dyDescent="0.3">
      <c r="A210" s="1">
        <v>8200001</v>
      </c>
      <c r="B210" s="1">
        <v>8250000</v>
      </c>
      <c r="C210">
        <v>7000</v>
      </c>
      <c r="D210" s="14">
        <v>0.03</v>
      </c>
      <c r="E210" s="3">
        <f t="shared" si="36"/>
        <v>1072500</v>
      </c>
      <c r="F210" s="3">
        <f t="shared" si="37"/>
        <v>932250</v>
      </c>
      <c r="G210" s="2">
        <f t="shared" si="38"/>
        <v>0.18157575757575756</v>
      </c>
      <c r="H210" s="9">
        <f t="shared" si="39"/>
        <v>30000</v>
      </c>
      <c r="I210" s="9">
        <f t="shared" si="40"/>
        <v>1527999.9999999998</v>
      </c>
      <c r="L210" s="9">
        <f t="shared" si="41"/>
        <v>11789750</v>
      </c>
      <c r="M210" s="9">
        <f t="shared" si="42"/>
        <v>12955769.230769232</v>
      </c>
      <c r="N210" s="11">
        <f t="shared" si="43"/>
        <v>1528000</v>
      </c>
      <c r="O210" s="12">
        <f t="shared" si="44"/>
        <v>0.11793973578744248</v>
      </c>
      <c r="P210" s="9">
        <f t="shared" si="45"/>
        <v>14035416.666666668</v>
      </c>
      <c r="Q210" s="11">
        <f t="shared" si="46"/>
        <v>1528000</v>
      </c>
      <c r="R210" s="12">
        <f t="shared" si="47"/>
        <v>0.10886744841917767</v>
      </c>
    </row>
    <row r="211" spans="1:18" x14ac:dyDescent="0.3">
      <c r="A211" s="1">
        <v>8250001</v>
      </c>
      <c r="B211" s="1">
        <v>8300000</v>
      </c>
      <c r="C211">
        <v>7000</v>
      </c>
      <c r="D211" s="14">
        <v>0.03</v>
      </c>
      <c r="E211" s="3">
        <f t="shared" si="36"/>
        <v>1079000</v>
      </c>
      <c r="F211" s="3">
        <f t="shared" si="37"/>
        <v>937900</v>
      </c>
      <c r="G211" s="2">
        <f t="shared" si="38"/>
        <v>0.18156626506024096</v>
      </c>
      <c r="H211" s="9">
        <f t="shared" si="39"/>
        <v>30000</v>
      </c>
      <c r="I211" s="9">
        <f t="shared" si="40"/>
        <v>1537000</v>
      </c>
      <c r="L211" s="9">
        <f t="shared" si="41"/>
        <v>11860900</v>
      </c>
      <c r="M211" s="9">
        <f t="shared" si="42"/>
        <v>13033956.043956045</v>
      </c>
      <c r="N211" s="11">
        <f t="shared" si="43"/>
        <v>1537000</v>
      </c>
      <c r="O211" s="12">
        <f t="shared" si="44"/>
        <v>0.11792275459703731</v>
      </c>
      <c r="P211" s="9">
        <f t="shared" si="45"/>
        <v>14120119.047619049</v>
      </c>
      <c r="Q211" s="11">
        <f t="shared" si="46"/>
        <v>1537000</v>
      </c>
      <c r="R211" s="12">
        <f t="shared" si="47"/>
        <v>0.1088517734741883</v>
      </c>
    </row>
    <row r="212" spans="1:18" x14ac:dyDescent="0.3">
      <c r="A212" s="1">
        <v>8300001</v>
      </c>
      <c r="B212" s="1">
        <v>8350000</v>
      </c>
      <c r="C212">
        <v>7000</v>
      </c>
      <c r="D212" s="14">
        <v>0.03</v>
      </c>
      <c r="E212" s="3">
        <f t="shared" si="36"/>
        <v>1085500</v>
      </c>
      <c r="F212" s="3">
        <f t="shared" si="37"/>
        <v>943550</v>
      </c>
      <c r="G212" s="2">
        <f t="shared" si="38"/>
        <v>0.1815568862275449</v>
      </c>
      <c r="H212" s="9">
        <f t="shared" si="39"/>
        <v>30000</v>
      </c>
      <c r="I212" s="9">
        <f t="shared" si="40"/>
        <v>1546000</v>
      </c>
      <c r="L212" s="9">
        <f t="shared" si="41"/>
        <v>11932050</v>
      </c>
      <c r="M212" s="9">
        <f t="shared" si="42"/>
        <v>13112142.857142858</v>
      </c>
      <c r="N212" s="11">
        <f t="shared" si="43"/>
        <v>1546000</v>
      </c>
      <c r="O212" s="12">
        <f t="shared" si="44"/>
        <v>0.1179059759219916</v>
      </c>
      <c r="P212" s="9">
        <f t="shared" si="45"/>
        <v>14204821.428571429</v>
      </c>
      <c r="Q212" s="11">
        <f t="shared" si="46"/>
        <v>1546000</v>
      </c>
      <c r="R212" s="12">
        <f t="shared" si="47"/>
        <v>0.1088362854664538</v>
      </c>
    </row>
    <row r="213" spans="1:18" x14ac:dyDescent="0.3">
      <c r="A213" s="1">
        <v>8350001</v>
      </c>
      <c r="B213" s="1">
        <v>8400000</v>
      </c>
      <c r="C213">
        <v>7000</v>
      </c>
      <c r="D213" s="14">
        <v>0.03</v>
      </c>
      <c r="E213" s="3">
        <f t="shared" si="36"/>
        <v>1092000</v>
      </c>
      <c r="F213" s="3">
        <f t="shared" si="37"/>
        <v>949200</v>
      </c>
      <c r="G213" s="2">
        <f t="shared" si="38"/>
        <v>0.18154761904761904</v>
      </c>
      <c r="H213" s="9">
        <f t="shared" si="39"/>
        <v>30000</v>
      </c>
      <c r="I213" s="9">
        <f t="shared" si="40"/>
        <v>1555000</v>
      </c>
      <c r="L213" s="9">
        <f t="shared" si="41"/>
        <v>12003200</v>
      </c>
      <c r="M213" s="9">
        <f t="shared" si="42"/>
        <v>13190329.670329671</v>
      </c>
      <c r="N213" s="11">
        <f t="shared" si="43"/>
        <v>1555000</v>
      </c>
      <c r="O213" s="12">
        <f t="shared" si="44"/>
        <v>0.11788939616102372</v>
      </c>
      <c r="P213" s="9">
        <f t="shared" si="45"/>
        <v>14289523.80952381</v>
      </c>
      <c r="Q213" s="11">
        <f t="shared" si="46"/>
        <v>1555000</v>
      </c>
      <c r="R213" s="12">
        <f t="shared" si="47"/>
        <v>0.10882098107171422</v>
      </c>
    </row>
    <row r="214" spans="1:18" x14ac:dyDescent="0.3">
      <c r="A214" s="1">
        <v>8400001</v>
      </c>
      <c r="B214" s="1">
        <v>8450000</v>
      </c>
      <c r="C214">
        <v>7000</v>
      </c>
      <c r="D214" s="14">
        <v>0.03</v>
      </c>
      <c r="E214" s="3">
        <f t="shared" si="36"/>
        <v>1098500</v>
      </c>
      <c r="F214" s="3">
        <f t="shared" si="37"/>
        <v>954850</v>
      </c>
      <c r="G214" s="2">
        <f t="shared" si="38"/>
        <v>0.18153846153846154</v>
      </c>
      <c r="H214" s="9">
        <f t="shared" si="39"/>
        <v>30000</v>
      </c>
      <c r="I214" s="9">
        <f t="shared" si="40"/>
        <v>1564000</v>
      </c>
      <c r="L214" s="9">
        <f t="shared" si="41"/>
        <v>12074350</v>
      </c>
      <c r="M214" s="9">
        <f t="shared" si="42"/>
        <v>13268516.483516484</v>
      </c>
      <c r="N214" s="11">
        <f t="shared" si="43"/>
        <v>1564000</v>
      </c>
      <c r="O214" s="12">
        <f t="shared" si="44"/>
        <v>0.11787301179773652</v>
      </c>
      <c r="P214" s="9">
        <f t="shared" si="45"/>
        <v>14374226.19047619</v>
      </c>
      <c r="Q214" s="11">
        <f t="shared" si="46"/>
        <v>1564000</v>
      </c>
      <c r="R214" s="12">
        <f t="shared" si="47"/>
        <v>0.10880585704406448</v>
      </c>
    </row>
    <row r="215" spans="1:18" x14ac:dyDescent="0.3">
      <c r="A215" s="1">
        <v>8450001</v>
      </c>
      <c r="B215" s="1">
        <v>8500000</v>
      </c>
      <c r="C215">
        <v>7000</v>
      </c>
      <c r="D215" s="14">
        <v>0.03</v>
      </c>
      <c r="E215" s="3">
        <f t="shared" si="36"/>
        <v>1105000</v>
      </c>
      <c r="F215" s="3">
        <f t="shared" si="37"/>
        <v>960500</v>
      </c>
      <c r="G215" s="2">
        <f t="shared" si="38"/>
        <v>0.18152941176470588</v>
      </c>
      <c r="H215" s="9">
        <f t="shared" si="39"/>
        <v>30000</v>
      </c>
      <c r="I215" s="9">
        <f t="shared" si="40"/>
        <v>1573000</v>
      </c>
      <c r="L215" s="9">
        <f t="shared" si="41"/>
        <v>12145500</v>
      </c>
      <c r="M215" s="9">
        <f t="shared" si="42"/>
        <v>13346703.296703298</v>
      </c>
      <c r="N215" s="11">
        <f t="shared" si="43"/>
        <v>1573000</v>
      </c>
      <c r="O215" s="12">
        <f t="shared" si="44"/>
        <v>0.11785681939813099</v>
      </c>
      <c r="P215" s="9">
        <f t="shared" si="45"/>
        <v>14458928.571428573</v>
      </c>
      <c r="Q215" s="11">
        <f t="shared" si="46"/>
        <v>1573000</v>
      </c>
      <c r="R215" s="12">
        <f t="shared" si="47"/>
        <v>0.10879091021365937</v>
      </c>
    </row>
    <row r="216" spans="1:18" x14ac:dyDescent="0.3">
      <c r="A216" s="1">
        <v>8500001</v>
      </c>
      <c r="B216" s="1">
        <v>8550000</v>
      </c>
      <c r="C216">
        <v>7000</v>
      </c>
      <c r="D216" s="14">
        <v>0.03</v>
      </c>
      <c r="E216" s="3">
        <f t="shared" si="36"/>
        <v>1111500</v>
      </c>
      <c r="F216" s="3">
        <f t="shared" si="37"/>
        <v>966150</v>
      </c>
      <c r="G216" s="2">
        <f t="shared" si="38"/>
        <v>0.1815204678362573</v>
      </c>
      <c r="H216" s="9">
        <f t="shared" si="39"/>
        <v>30000</v>
      </c>
      <c r="I216" s="9">
        <f t="shared" si="40"/>
        <v>1582000</v>
      </c>
      <c r="L216" s="9">
        <f t="shared" si="41"/>
        <v>12216650</v>
      </c>
      <c r="M216" s="9">
        <f t="shared" si="42"/>
        <v>13424890.109890111</v>
      </c>
      <c r="N216" s="11">
        <f t="shared" si="43"/>
        <v>1582000</v>
      </c>
      <c r="O216" s="12">
        <f t="shared" si="44"/>
        <v>0.11784081560820682</v>
      </c>
      <c r="P216" s="9">
        <f t="shared" si="45"/>
        <v>14543630.952380953</v>
      </c>
      <c r="Q216" s="11">
        <f t="shared" si="46"/>
        <v>1582000</v>
      </c>
      <c r="R216" s="12">
        <f t="shared" si="47"/>
        <v>0.1087761374844986</v>
      </c>
    </row>
    <row r="217" spans="1:18" x14ac:dyDescent="0.3">
      <c r="A217" s="1">
        <v>8550001</v>
      </c>
      <c r="B217" s="1">
        <v>8600000</v>
      </c>
      <c r="C217">
        <v>7000</v>
      </c>
      <c r="D217" s="14">
        <v>0.03</v>
      </c>
      <c r="E217" s="3">
        <f t="shared" si="36"/>
        <v>1118000</v>
      </c>
      <c r="F217" s="3">
        <f t="shared" si="37"/>
        <v>971800</v>
      </c>
      <c r="G217" s="2">
        <f t="shared" si="38"/>
        <v>0.18151162790697672</v>
      </c>
      <c r="H217" s="9">
        <f t="shared" si="39"/>
        <v>30000</v>
      </c>
      <c r="I217" s="9">
        <f t="shared" si="40"/>
        <v>1590999.9999999998</v>
      </c>
      <c r="L217" s="9">
        <f t="shared" si="41"/>
        <v>12287800</v>
      </c>
      <c r="M217" s="9">
        <f t="shared" si="42"/>
        <v>13503076.923076924</v>
      </c>
      <c r="N217" s="11">
        <f t="shared" si="43"/>
        <v>1591000</v>
      </c>
      <c r="O217" s="12">
        <f t="shared" si="44"/>
        <v>0.11782499715164634</v>
      </c>
      <c r="P217" s="9">
        <f t="shared" si="45"/>
        <v>14628333.333333334</v>
      </c>
      <c r="Q217" s="11">
        <f t="shared" si="46"/>
        <v>1591000</v>
      </c>
      <c r="R217" s="12">
        <f t="shared" si="47"/>
        <v>0.10876153583228894</v>
      </c>
    </row>
    <row r="218" spans="1:18" x14ac:dyDescent="0.3">
      <c r="A218" s="1">
        <v>8600001</v>
      </c>
      <c r="B218" s="1">
        <v>8650000</v>
      </c>
      <c r="C218">
        <v>7000</v>
      </c>
      <c r="D218" s="14">
        <v>0.03</v>
      </c>
      <c r="E218" s="3">
        <f t="shared" si="36"/>
        <v>1124500</v>
      </c>
      <c r="F218" s="3">
        <f t="shared" si="37"/>
        <v>977450</v>
      </c>
      <c r="G218" s="2">
        <f t="shared" si="38"/>
        <v>0.1815028901734104</v>
      </c>
      <c r="H218" s="9">
        <f t="shared" si="39"/>
        <v>30000</v>
      </c>
      <c r="I218" s="9">
        <f t="shared" si="40"/>
        <v>1600000</v>
      </c>
      <c r="L218" s="9">
        <f t="shared" si="41"/>
        <v>12358950</v>
      </c>
      <c r="M218" s="9">
        <f t="shared" si="42"/>
        <v>13581263.736263737</v>
      </c>
      <c r="N218" s="11">
        <f t="shared" si="43"/>
        <v>1600000</v>
      </c>
      <c r="O218" s="12">
        <f t="shared" si="44"/>
        <v>0.11780936082757838</v>
      </c>
      <c r="P218" s="9">
        <f t="shared" si="45"/>
        <v>14713035.714285715</v>
      </c>
      <c r="Q218" s="11">
        <f t="shared" si="46"/>
        <v>1600000</v>
      </c>
      <c r="R218" s="12">
        <f t="shared" si="47"/>
        <v>0.10874710230238005</v>
      </c>
    </row>
    <row r="219" spans="1:18" x14ac:dyDescent="0.3">
      <c r="A219" s="1">
        <v>8650001</v>
      </c>
      <c r="B219" s="1">
        <v>8700000</v>
      </c>
      <c r="C219">
        <v>7000</v>
      </c>
      <c r="D219" s="14">
        <v>0.03</v>
      </c>
      <c r="E219" s="3">
        <f t="shared" si="36"/>
        <v>1131000</v>
      </c>
      <c r="F219" s="3">
        <f t="shared" si="37"/>
        <v>983100</v>
      </c>
      <c r="G219" s="2">
        <f t="shared" si="38"/>
        <v>0.18149425287356322</v>
      </c>
      <c r="H219" s="9">
        <f t="shared" si="39"/>
        <v>30000</v>
      </c>
      <c r="I219" s="9">
        <f t="shared" si="40"/>
        <v>1609000</v>
      </c>
      <c r="L219" s="9">
        <f t="shared" si="41"/>
        <v>12430100</v>
      </c>
      <c r="M219" s="9">
        <f t="shared" si="42"/>
        <v>13659450.54945055</v>
      </c>
      <c r="N219" s="11">
        <f t="shared" si="43"/>
        <v>1609000</v>
      </c>
      <c r="O219" s="12">
        <f t="shared" si="44"/>
        <v>0.11779390350841908</v>
      </c>
      <c r="P219" s="9">
        <f t="shared" si="45"/>
        <v>14797738.095238095</v>
      </c>
      <c r="Q219" s="11">
        <f t="shared" si="46"/>
        <v>1609000</v>
      </c>
      <c r="R219" s="12">
        <f t="shared" si="47"/>
        <v>0.10873283400777146</v>
      </c>
    </row>
    <row r="220" spans="1:18" x14ac:dyDescent="0.3">
      <c r="A220" s="1">
        <v>8700001</v>
      </c>
      <c r="B220" s="1">
        <v>8750000</v>
      </c>
      <c r="C220">
        <v>7000</v>
      </c>
      <c r="D220" s="14">
        <v>0.03</v>
      </c>
      <c r="E220" s="3">
        <f t="shared" si="36"/>
        <v>1137500</v>
      </c>
      <c r="F220" s="3">
        <f t="shared" si="37"/>
        <v>988750</v>
      </c>
      <c r="G220" s="2">
        <f t="shared" si="38"/>
        <v>0.18148571428571428</v>
      </c>
      <c r="H220" s="9">
        <f t="shared" si="39"/>
        <v>30000</v>
      </c>
      <c r="I220" s="9">
        <f t="shared" si="40"/>
        <v>1618000</v>
      </c>
      <c r="L220" s="9">
        <f t="shared" si="41"/>
        <v>12501250</v>
      </c>
      <c r="M220" s="9">
        <f t="shared" si="42"/>
        <v>13737637.362637363</v>
      </c>
      <c r="N220" s="11">
        <f t="shared" si="43"/>
        <v>1618000</v>
      </c>
      <c r="O220" s="12">
        <f t="shared" si="44"/>
        <v>0.11777862213778621</v>
      </c>
      <c r="P220" s="9">
        <f t="shared" si="45"/>
        <v>14882440.476190478</v>
      </c>
      <c r="Q220" s="11">
        <f t="shared" si="46"/>
        <v>1618000</v>
      </c>
      <c r="R220" s="12">
        <f t="shared" si="47"/>
        <v>0.10871872812718728</v>
      </c>
    </row>
    <row r="221" spans="1:18" x14ac:dyDescent="0.3">
      <c r="A221" s="1">
        <v>8750001</v>
      </c>
      <c r="B221" s="1">
        <v>8800000</v>
      </c>
      <c r="C221">
        <v>7000</v>
      </c>
      <c r="D221" s="14">
        <v>0.03</v>
      </c>
      <c r="E221" s="3">
        <f t="shared" si="36"/>
        <v>1144000</v>
      </c>
      <c r="F221" s="3">
        <f t="shared" si="37"/>
        <v>994400</v>
      </c>
      <c r="G221" s="2">
        <f t="shared" si="38"/>
        <v>0.18147727272727271</v>
      </c>
      <c r="H221" s="9">
        <f t="shared" si="39"/>
        <v>30000</v>
      </c>
      <c r="I221" s="9">
        <f t="shared" si="40"/>
        <v>1626999.9999999998</v>
      </c>
      <c r="L221" s="9">
        <f t="shared" si="41"/>
        <v>12572400</v>
      </c>
      <c r="M221" s="9">
        <f t="shared" si="42"/>
        <v>13815824.175824177</v>
      </c>
      <c r="N221" s="11">
        <f t="shared" si="43"/>
        <v>1627000</v>
      </c>
      <c r="O221" s="12">
        <f t="shared" si="44"/>
        <v>0.11776351372848461</v>
      </c>
      <c r="P221" s="9">
        <f t="shared" si="45"/>
        <v>14967142.857142858</v>
      </c>
      <c r="Q221" s="11">
        <f t="shared" si="46"/>
        <v>1627000</v>
      </c>
      <c r="R221" s="12">
        <f t="shared" si="47"/>
        <v>0.10870478190321656</v>
      </c>
    </row>
    <row r="222" spans="1:18" x14ac:dyDescent="0.3">
      <c r="A222" s="1">
        <v>8800001</v>
      </c>
      <c r="B222" s="1">
        <v>8850000</v>
      </c>
      <c r="C222">
        <v>7000</v>
      </c>
      <c r="D222" s="14">
        <v>0.03</v>
      </c>
      <c r="E222" s="3">
        <f t="shared" si="36"/>
        <v>1150500</v>
      </c>
      <c r="F222" s="3">
        <f t="shared" si="37"/>
        <v>1000050</v>
      </c>
      <c r="G222" s="2">
        <f t="shared" si="38"/>
        <v>0.18146892655367231</v>
      </c>
      <c r="H222" s="9">
        <f t="shared" si="39"/>
        <v>30000</v>
      </c>
      <c r="I222" s="9">
        <f t="shared" si="40"/>
        <v>1636000</v>
      </c>
      <c r="L222" s="9">
        <f t="shared" si="41"/>
        <v>12643550</v>
      </c>
      <c r="M222" s="9">
        <f t="shared" si="42"/>
        <v>13894010.98901099</v>
      </c>
      <c r="N222" s="11">
        <f t="shared" si="43"/>
        <v>1636000</v>
      </c>
      <c r="O222" s="12">
        <f t="shared" si="44"/>
        <v>0.11774857536055933</v>
      </c>
      <c r="P222" s="9">
        <f t="shared" si="45"/>
        <v>15051845.238095239</v>
      </c>
      <c r="Q222" s="11">
        <f t="shared" si="46"/>
        <v>1636000</v>
      </c>
      <c r="R222" s="12">
        <f t="shared" si="47"/>
        <v>0.10869099264051631</v>
      </c>
    </row>
    <row r="223" spans="1:18" x14ac:dyDescent="0.3">
      <c r="A223" s="1">
        <v>8850001</v>
      </c>
      <c r="B223" s="1">
        <v>8900000</v>
      </c>
      <c r="C223">
        <v>7000</v>
      </c>
      <c r="D223" s="14">
        <v>0.03</v>
      </c>
      <c r="E223" s="3">
        <f t="shared" si="36"/>
        <v>1157000</v>
      </c>
      <c r="F223" s="3">
        <f t="shared" si="37"/>
        <v>1005700</v>
      </c>
      <c r="G223" s="2">
        <f t="shared" si="38"/>
        <v>0.18146067415730335</v>
      </c>
      <c r="H223" s="9">
        <f t="shared" si="39"/>
        <v>30000</v>
      </c>
      <c r="I223" s="9">
        <f t="shared" si="40"/>
        <v>1644999.9999999998</v>
      </c>
      <c r="L223" s="9">
        <f t="shared" si="41"/>
        <v>12714700</v>
      </c>
      <c r="M223" s="9">
        <f t="shared" si="42"/>
        <v>13972197.802197803</v>
      </c>
      <c r="N223" s="11">
        <f t="shared" si="43"/>
        <v>1645000</v>
      </c>
      <c r="O223" s="12">
        <f t="shared" si="44"/>
        <v>0.11773380417941437</v>
      </c>
      <c r="P223" s="9">
        <f t="shared" si="45"/>
        <v>15136547.619047619</v>
      </c>
      <c r="Q223" s="11">
        <f t="shared" si="46"/>
        <v>1645000</v>
      </c>
      <c r="R223" s="12">
        <f t="shared" si="47"/>
        <v>0.10867735770407481</v>
      </c>
    </row>
    <row r="224" spans="1:18" x14ac:dyDescent="0.3">
      <c r="A224" s="1">
        <v>8900001</v>
      </c>
      <c r="B224" s="1">
        <v>8950000</v>
      </c>
      <c r="C224">
        <v>7000</v>
      </c>
      <c r="D224" s="14">
        <v>0.03</v>
      </c>
      <c r="E224" s="3">
        <f t="shared" si="36"/>
        <v>1163500</v>
      </c>
      <c r="F224" s="3">
        <f t="shared" si="37"/>
        <v>1011350</v>
      </c>
      <c r="G224" s="2">
        <f t="shared" si="38"/>
        <v>0.18145251396648043</v>
      </c>
      <c r="H224" s="9">
        <f t="shared" si="39"/>
        <v>30000</v>
      </c>
      <c r="I224" s="9">
        <f t="shared" si="40"/>
        <v>1653999.9999999998</v>
      </c>
      <c r="L224" s="9">
        <f t="shared" si="41"/>
        <v>12785850</v>
      </c>
      <c r="M224" s="9">
        <f t="shared" si="42"/>
        <v>14050384.615384616</v>
      </c>
      <c r="N224" s="11">
        <f t="shared" si="43"/>
        <v>1654000</v>
      </c>
      <c r="O224" s="12">
        <f t="shared" si="44"/>
        <v>0.11771919739399414</v>
      </c>
      <c r="P224" s="9">
        <f t="shared" si="45"/>
        <v>15221250</v>
      </c>
      <c r="Q224" s="11">
        <f t="shared" si="46"/>
        <v>1654000</v>
      </c>
      <c r="R224" s="12">
        <f t="shared" si="47"/>
        <v>0.10866387451753305</v>
      </c>
    </row>
    <row r="225" spans="1:18" x14ac:dyDescent="0.3">
      <c r="A225" s="1">
        <v>8950001</v>
      </c>
      <c r="B225" s="1">
        <v>9000000</v>
      </c>
      <c r="C225">
        <v>7000</v>
      </c>
      <c r="D225" s="14">
        <v>0.03</v>
      </c>
      <c r="E225" s="3">
        <f t="shared" ref="E225:E288" si="48">B225*13%</f>
        <v>1170000</v>
      </c>
      <c r="F225" s="3">
        <f t="shared" ref="F225:F288" si="49">(B225+E225)*10%</f>
        <v>1017000</v>
      </c>
      <c r="G225" s="2">
        <f t="shared" si="38"/>
        <v>0.18144444444444444</v>
      </c>
      <c r="H225" s="9">
        <f t="shared" si="39"/>
        <v>30000</v>
      </c>
      <c r="I225" s="9">
        <f t="shared" si="40"/>
        <v>1663000</v>
      </c>
      <c r="L225" s="9">
        <f t="shared" si="41"/>
        <v>12857000</v>
      </c>
      <c r="M225" s="9">
        <f t="shared" si="42"/>
        <v>14128571.428571429</v>
      </c>
      <c r="N225" s="11">
        <f t="shared" si="43"/>
        <v>1663000</v>
      </c>
      <c r="O225" s="12">
        <f t="shared" si="44"/>
        <v>0.11770475227502528</v>
      </c>
      <c r="P225" s="9">
        <f t="shared" si="45"/>
        <v>15305952.380952381</v>
      </c>
      <c r="Q225" s="11">
        <f t="shared" si="46"/>
        <v>1663000</v>
      </c>
      <c r="R225" s="12">
        <f t="shared" si="47"/>
        <v>0.1086505405615618</v>
      </c>
    </row>
    <row r="226" spans="1:18" x14ac:dyDescent="0.3">
      <c r="A226" s="1">
        <v>9000001</v>
      </c>
      <c r="B226" s="1">
        <v>9050000</v>
      </c>
      <c r="C226">
        <v>7000</v>
      </c>
      <c r="D226" s="14">
        <v>0.03</v>
      </c>
      <c r="E226" s="3">
        <f t="shared" si="48"/>
        <v>1176500</v>
      </c>
      <c r="F226" s="3">
        <f t="shared" si="49"/>
        <v>1022650</v>
      </c>
      <c r="G226" s="2">
        <f t="shared" si="38"/>
        <v>0.18143646408839778</v>
      </c>
      <c r="H226" s="9">
        <f t="shared" si="39"/>
        <v>30000</v>
      </c>
      <c r="I226" s="9">
        <f t="shared" si="40"/>
        <v>1672000</v>
      </c>
      <c r="L226" s="9">
        <f t="shared" si="41"/>
        <v>12928150</v>
      </c>
      <c r="M226" s="9">
        <f t="shared" si="42"/>
        <v>14206758.241758242</v>
      </c>
      <c r="N226" s="11">
        <f t="shared" si="43"/>
        <v>1672000</v>
      </c>
      <c r="O226" s="12">
        <f t="shared" si="44"/>
        <v>0.11769046615331659</v>
      </c>
      <c r="P226" s="9">
        <f t="shared" si="45"/>
        <v>15390654.761904763</v>
      </c>
      <c r="Q226" s="11">
        <f t="shared" si="46"/>
        <v>1672000</v>
      </c>
      <c r="R226" s="12">
        <f t="shared" si="47"/>
        <v>0.10863735337229224</v>
      </c>
    </row>
    <row r="227" spans="1:18" x14ac:dyDescent="0.3">
      <c r="A227" s="1">
        <v>9050001</v>
      </c>
      <c r="B227" s="1">
        <v>9100000</v>
      </c>
      <c r="C227">
        <v>7000</v>
      </c>
      <c r="D227" s="14">
        <v>0.03</v>
      </c>
      <c r="E227" s="3">
        <f t="shared" si="48"/>
        <v>1183000</v>
      </c>
      <c r="F227" s="3">
        <f t="shared" si="49"/>
        <v>1028300</v>
      </c>
      <c r="G227" s="2">
        <f t="shared" si="38"/>
        <v>0.18142857142857141</v>
      </c>
      <c r="H227" s="9">
        <f t="shared" si="39"/>
        <v>30000</v>
      </c>
      <c r="I227" s="9">
        <f t="shared" si="40"/>
        <v>1680999.9999999998</v>
      </c>
      <c r="L227" s="9">
        <f t="shared" si="41"/>
        <v>12999300</v>
      </c>
      <c r="M227" s="9">
        <f t="shared" si="42"/>
        <v>14284945.054945055</v>
      </c>
      <c r="N227" s="11">
        <f t="shared" si="43"/>
        <v>1681000</v>
      </c>
      <c r="O227" s="12">
        <f t="shared" si="44"/>
        <v>0.11767633641811481</v>
      </c>
      <c r="P227" s="9">
        <f t="shared" si="45"/>
        <v>15475357.142857144</v>
      </c>
      <c r="Q227" s="11">
        <f t="shared" si="46"/>
        <v>1681000</v>
      </c>
      <c r="R227" s="12">
        <f t="shared" si="47"/>
        <v>0.10862431053979829</v>
      </c>
    </row>
    <row r="228" spans="1:18" x14ac:dyDescent="0.3">
      <c r="A228" s="1">
        <v>9100001</v>
      </c>
      <c r="B228" s="1">
        <v>9150000</v>
      </c>
      <c r="C228">
        <v>7000</v>
      </c>
      <c r="D228" s="14">
        <v>0.03</v>
      </c>
      <c r="E228" s="3">
        <f t="shared" si="48"/>
        <v>1189500</v>
      </c>
      <c r="F228" s="3">
        <f t="shared" si="49"/>
        <v>1033950</v>
      </c>
      <c r="G228" s="2">
        <f t="shared" si="38"/>
        <v>0.18142076502732241</v>
      </c>
      <c r="H228" s="9">
        <f t="shared" si="39"/>
        <v>30000</v>
      </c>
      <c r="I228" s="9">
        <f t="shared" si="40"/>
        <v>1690000</v>
      </c>
      <c r="L228" s="9">
        <f t="shared" si="41"/>
        <v>13070450</v>
      </c>
      <c r="M228" s="9">
        <f t="shared" si="42"/>
        <v>14363131.868131869</v>
      </c>
      <c r="N228" s="11">
        <f t="shared" si="43"/>
        <v>1690000</v>
      </c>
      <c r="O228" s="12">
        <f t="shared" si="44"/>
        <v>0.117662360515514</v>
      </c>
      <c r="P228" s="9">
        <f t="shared" si="45"/>
        <v>15560059.523809524</v>
      </c>
      <c r="Q228" s="11">
        <f t="shared" si="46"/>
        <v>1690000</v>
      </c>
      <c r="R228" s="12">
        <f t="shared" si="47"/>
        <v>0.1086114097066283</v>
      </c>
    </row>
    <row r="229" spans="1:18" x14ac:dyDescent="0.3">
      <c r="A229" s="1">
        <v>9150001</v>
      </c>
      <c r="B229" s="1">
        <v>9200000</v>
      </c>
      <c r="C229">
        <v>7000</v>
      </c>
      <c r="D229" s="14">
        <v>0.03</v>
      </c>
      <c r="E229" s="3">
        <f t="shared" si="48"/>
        <v>1196000</v>
      </c>
      <c r="F229" s="3">
        <f t="shared" si="49"/>
        <v>1039600</v>
      </c>
      <c r="G229" s="2">
        <f t="shared" si="38"/>
        <v>0.18141304347826087</v>
      </c>
      <c r="H229" s="9">
        <f t="shared" si="39"/>
        <v>30000</v>
      </c>
      <c r="I229" s="9">
        <f t="shared" si="40"/>
        <v>1699000</v>
      </c>
      <c r="L229" s="9">
        <f t="shared" si="41"/>
        <v>13141600</v>
      </c>
      <c r="M229" s="9">
        <f t="shared" si="42"/>
        <v>14441318.681318682</v>
      </c>
      <c r="N229" s="11">
        <f t="shared" si="43"/>
        <v>1699000</v>
      </c>
      <c r="O229" s="12">
        <f t="shared" si="44"/>
        <v>0.11764853594691665</v>
      </c>
      <c r="P229" s="9">
        <f t="shared" si="45"/>
        <v>15644761.904761905</v>
      </c>
      <c r="Q229" s="11">
        <f t="shared" si="46"/>
        <v>1699000</v>
      </c>
      <c r="R229" s="12">
        <f t="shared" si="47"/>
        <v>0.10859864856638461</v>
      </c>
    </row>
    <row r="230" spans="1:18" x14ac:dyDescent="0.3">
      <c r="A230" s="1">
        <v>9200001</v>
      </c>
      <c r="B230" s="1">
        <v>9250000</v>
      </c>
      <c r="C230">
        <v>7000</v>
      </c>
      <c r="D230" s="14">
        <v>0.03</v>
      </c>
      <c r="E230" s="3">
        <f t="shared" si="48"/>
        <v>1202500</v>
      </c>
      <c r="F230" s="3">
        <f t="shared" si="49"/>
        <v>1045250</v>
      </c>
      <c r="G230" s="2">
        <f t="shared" si="38"/>
        <v>0.1814054054054054</v>
      </c>
      <c r="H230" s="9">
        <f t="shared" si="39"/>
        <v>30000</v>
      </c>
      <c r="I230" s="9">
        <f t="shared" si="40"/>
        <v>1708000</v>
      </c>
      <c r="L230" s="9">
        <f t="shared" si="41"/>
        <v>13212750</v>
      </c>
      <c r="M230" s="9">
        <f t="shared" si="42"/>
        <v>14519505.494505497</v>
      </c>
      <c r="N230" s="11">
        <f t="shared" si="43"/>
        <v>1708000</v>
      </c>
      <c r="O230" s="12">
        <f t="shared" si="44"/>
        <v>0.11763486026754459</v>
      </c>
      <c r="P230" s="9">
        <f t="shared" si="45"/>
        <v>15729464.285714285</v>
      </c>
      <c r="Q230" s="11">
        <f t="shared" si="46"/>
        <v>1708000</v>
      </c>
      <c r="R230" s="12">
        <f t="shared" si="47"/>
        <v>0.10858602486234888</v>
      </c>
    </row>
    <row r="231" spans="1:18" x14ac:dyDescent="0.3">
      <c r="A231" s="1">
        <v>9250001</v>
      </c>
      <c r="B231" s="1">
        <v>9300000</v>
      </c>
      <c r="C231">
        <v>7000</v>
      </c>
      <c r="D231" s="14">
        <v>0.03</v>
      </c>
      <c r="E231" s="3">
        <f t="shared" si="48"/>
        <v>1209000</v>
      </c>
      <c r="F231" s="3">
        <f t="shared" si="49"/>
        <v>1050900</v>
      </c>
      <c r="G231" s="2">
        <f t="shared" si="38"/>
        <v>0.18139784946236559</v>
      </c>
      <c r="H231" s="9">
        <f t="shared" si="39"/>
        <v>30000</v>
      </c>
      <c r="I231" s="9">
        <f t="shared" si="40"/>
        <v>1717000</v>
      </c>
      <c r="L231" s="9">
        <f t="shared" si="41"/>
        <v>13283900</v>
      </c>
      <c r="M231" s="9">
        <f t="shared" si="42"/>
        <v>14597692.30769231</v>
      </c>
      <c r="N231" s="11">
        <f t="shared" si="43"/>
        <v>1717000</v>
      </c>
      <c r="O231" s="12">
        <f t="shared" si="44"/>
        <v>0.11762133108499762</v>
      </c>
      <c r="P231" s="9">
        <f t="shared" si="45"/>
        <v>15814166.666666668</v>
      </c>
      <c r="Q231" s="11">
        <f t="shared" si="46"/>
        <v>1717000</v>
      </c>
      <c r="R231" s="12">
        <f t="shared" si="47"/>
        <v>0.10857353638615165</v>
      </c>
    </row>
    <row r="232" spans="1:18" x14ac:dyDescent="0.3">
      <c r="A232" s="1">
        <v>9300001</v>
      </c>
      <c r="B232" s="1">
        <v>9350000</v>
      </c>
      <c r="C232">
        <v>7000</v>
      </c>
      <c r="D232" s="14">
        <v>0.03</v>
      </c>
      <c r="E232" s="3">
        <f t="shared" si="48"/>
        <v>1215500</v>
      </c>
      <c r="F232" s="3">
        <f t="shared" si="49"/>
        <v>1056550</v>
      </c>
      <c r="G232" s="2">
        <f t="shared" si="38"/>
        <v>0.18139037433155081</v>
      </c>
      <c r="H232" s="9">
        <f t="shared" si="39"/>
        <v>30000</v>
      </c>
      <c r="I232" s="9">
        <f t="shared" si="40"/>
        <v>1726000</v>
      </c>
      <c r="L232" s="9">
        <f t="shared" si="41"/>
        <v>13355050</v>
      </c>
      <c r="M232" s="9">
        <f t="shared" si="42"/>
        <v>14675879.120879123</v>
      </c>
      <c r="N232" s="11">
        <f t="shared" si="43"/>
        <v>1726000</v>
      </c>
      <c r="O232" s="12">
        <f t="shared" si="44"/>
        <v>0.11760794605785825</v>
      </c>
      <c r="P232" s="9">
        <f t="shared" si="45"/>
        <v>15898869.047619049</v>
      </c>
      <c r="Q232" s="11">
        <f t="shared" si="46"/>
        <v>1726000</v>
      </c>
      <c r="R232" s="12">
        <f t="shared" si="47"/>
        <v>0.10856118097648454</v>
      </c>
    </row>
    <row r="233" spans="1:18" x14ac:dyDescent="0.3">
      <c r="A233" s="1">
        <v>9350001</v>
      </c>
      <c r="B233" s="1">
        <v>9400000</v>
      </c>
      <c r="C233">
        <v>7000</v>
      </c>
      <c r="D233" s="14">
        <v>0.03</v>
      </c>
      <c r="E233" s="3">
        <f t="shared" si="48"/>
        <v>1222000</v>
      </c>
      <c r="F233" s="3">
        <f t="shared" si="49"/>
        <v>1062200</v>
      </c>
      <c r="G233" s="2">
        <f t="shared" si="38"/>
        <v>0.18138297872340425</v>
      </c>
      <c r="H233" s="9">
        <f t="shared" si="39"/>
        <v>30000</v>
      </c>
      <c r="I233" s="9">
        <f t="shared" si="40"/>
        <v>1735000</v>
      </c>
      <c r="L233" s="9">
        <f t="shared" si="41"/>
        <v>13426200</v>
      </c>
      <c r="M233" s="9">
        <f t="shared" si="42"/>
        <v>14754065.934065936</v>
      </c>
      <c r="N233" s="11">
        <f t="shared" si="43"/>
        <v>1735000</v>
      </c>
      <c r="O233" s="12">
        <f t="shared" si="44"/>
        <v>0.1175947028943409</v>
      </c>
      <c r="P233" s="9">
        <f t="shared" si="45"/>
        <v>15983571.428571429</v>
      </c>
      <c r="Q233" s="11">
        <f t="shared" si="46"/>
        <v>1735000</v>
      </c>
      <c r="R233" s="12">
        <f t="shared" si="47"/>
        <v>0.10854895651785315</v>
      </c>
    </row>
    <row r="234" spans="1:18" x14ac:dyDescent="0.3">
      <c r="A234" s="1">
        <v>9400001</v>
      </c>
      <c r="B234" s="1">
        <v>9450000</v>
      </c>
      <c r="C234">
        <v>7000</v>
      </c>
      <c r="D234" s="14">
        <v>0.03</v>
      </c>
      <c r="E234" s="3">
        <f t="shared" si="48"/>
        <v>1228500</v>
      </c>
      <c r="F234" s="3">
        <f t="shared" si="49"/>
        <v>1067850</v>
      </c>
      <c r="G234" s="2">
        <f t="shared" si="38"/>
        <v>0.18137566137566136</v>
      </c>
      <c r="H234" s="9">
        <f t="shared" si="39"/>
        <v>30000</v>
      </c>
      <c r="I234" s="9">
        <f t="shared" si="40"/>
        <v>1743999.9999999998</v>
      </c>
      <c r="L234" s="9">
        <f t="shared" si="41"/>
        <v>13497350</v>
      </c>
      <c r="M234" s="9">
        <f t="shared" si="42"/>
        <v>14832252.747252749</v>
      </c>
      <c r="N234" s="11">
        <f t="shared" si="43"/>
        <v>1744000</v>
      </c>
      <c r="O234" s="12">
        <f t="shared" si="44"/>
        <v>0.1175815993509837</v>
      </c>
      <c r="P234" s="9">
        <f t="shared" si="45"/>
        <v>16068273.80952381</v>
      </c>
      <c r="Q234" s="11">
        <f t="shared" si="46"/>
        <v>1744000</v>
      </c>
      <c r="R234" s="12">
        <f t="shared" si="47"/>
        <v>0.10853686093936958</v>
      </c>
    </row>
    <row r="235" spans="1:18" x14ac:dyDescent="0.3">
      <c r="A235" s="1">
        <v>9450001</v>
      </c>
      <c r="B235" s="1">
        <v>9500000</v>
      </c>
      <c r="C235">
        <v>7000</v>
      </c>
      <c r="D235" s="14">
        <v>0.03</v>
      </c>
      <c r="E235" s="3">
        <f t="shared" si="48"/>
        <v>1235000</v>
      </c>
      <c r="F235" s="3">
        <f t="shared" si="49"/>
        <v>1073500</v>
      </c>
      <c r="G235" s="2">
        <f t="shared" si="38"/>
        <v>0.18136842105263157</v>
      </c>
      <c r="H235" s="9">
        <f t="shared" si="39"/>
        <v>30000</v>
      </c>
      <c r="I235" s="9">
        <f t="shared" si="40"/>
        <v>1753000</v>
      </c>
      <c r="L235" s="9">
        <f t="shared" si="41"/>
        <v>13568500</v>
      </c>
      <c r="M235" s="9">
        <f t="shared" si="42"/>
        <v>14910439.560439562</v>
      </c>
      <c r="N235" s="11">
        <f t="shared" si="43"/>
        <v>1753000</v>
      </c>
      <c r="O235" s="12">
        <f t="shared" si="44"/>
        <v>0.11756863323138149</v>
      </c>
      <c r="P235" s="9">
        <f t="shared" si="45"/>
        <v>16152976.19047619</v>
      </c>
      <c r="Q235" s="11">
        <f t="shared" si="46"/>
        <v>1753000</v>
      </c>
      <c r="R235" s="12">
        <f t="shared" si="47"/>
        <v>0.10852489221358293</v>
      </c>
    </row>
    <row r="236" spans="1:18" x14ac:dyDescent="0.3">
      <c r="A236" s="1">
        <v>9500001</v>
      </c>
      <c r="B236" s="1">
        <v>9550000</v>
      </c>
      <c r="C236">
        <v>7000</v>
      </c>
      <c r="D236" s="14">
        <v>0.03</v>
      </c>
      <c r="E236" s="3">
        <f t="shared" si="48"/>
        <v>1241500</v>
      </c>
      <c r="F236" s="3">
        <f t="shared" si="49"/>
        <v>1079150</v>
      </c>
      <c r="G236" s="2">
        <f t="shared" si="38"/>
        <v>0.18136125654450261</v>
      </c>
      <c r="H236" s="9">
        <f t="shared" si="39"/>
        <v>30000</v>
      </c>
      <c r="I236" s="9">
        <f t="shared" si="40"/>
        <v>1762000</v>
      </c>
      <c r="L236" s="9">
        <f t="shared" si="41"/>
        <v>13639650</v>
      </c>
      <c r="M236" s="9">
        <f t="shared" si="42"/>
        <v>14988626.373626376</v>
      </c>
      <c r="N236" s="11">
        <f t="shared" si="43"/>
        <v>1762000</v>
      </c>
      <c r="O236" s="12">
        <f t="shared" si="44"/>
        <v>0.11755580238495854</v>
      </c>
      <c r="P236" s="9">
        <f t="shared" si="45"/>
        <v>16237678.571428573</v>
      </c>
      <c r="Q236" s="11">
        <f t="shared" si="46"/>
        <v>1762000</v>
      </c>
      <c r="R236" s="12">
        <f t="shared" si="47"/>
        <v>0.10851304835534635</v>
      </c>
    </row>
    <row r="237" spans="1:18" x14ac:dyDescent="0.3">
      <c r="A237" s="1">
        <v>9550001</v>
      </c>
      <c r="B237" s="1">
        <v>9600000</v>
      </c>
      <c r="C237">
        <v>7000</v>
      </c>
      <c r="D237" s="14">
        <v>0.03</v>
      </c>
      <c r="E237" s="3">
        <f t="shared" si="48"/>
        <v>1248000</v>
      </c>
      <c r="F237" s="3">
        <f t="shared" si="49"/>
        <v>1084800</v>
      </c>
      <c r="G237" s="2">
        <f t="shared" si="38"/>
        <v>0.18135416666666665</v>
      </c>
      <c r="H237" s="9">
        <f t="shared" si="39"/>
        <v>30000</v>
      </c>
      <c r="I237" s="9">
        <f t="shared" si="40"/>
        <v>1770999.9999999998</v>
      </c>
      <c r="L237" s="9">
        <f t="shared" si="41"/>
        <v>13710800</v>
      </c>
      <c r="M237" s="9">
        <f t="shared" si="42"/>
        <v>15066813.186813189</v>
      </c>
      <c r="N237" s="11">
        <f t="shared" si="43"/>
        <v>1771000</v>
      </c>
      <c r="O237" s="12">
        <f t="shared" si="44"/>
        <v>0.11754310470577937</v>
      </c>
      <c r="P237" s="9">
        <f t="shared" si="45"/>
        <v>16322380.952380953</v>
      </c>
      <c r="Q237" s="11">
        <f t="shared" si="46"/>
        <v>1771000</v>
      </c>
      <c r="R237" s="12">
        <f t="shared" si="47"/>
        <v>0.10850132742071943</v>
      </c>
    </row>
    <row r="238" spans="1:18" x14ac:dyDescent="0.3">
      <c r="A238" s="1">
        <v>9600001</v>
      </c>
      <c r="B238" s="1">
        <v>9650000</v>
      </c>
      <c r="C238">
        <v>7000</v>
      </c>
      <c r="D238" s="14">
        <v>0.03</v>
      </c>
      <c r="E238" s="3">
        <f t="shared" si="48"/>
        <v>1254500</v>
      </c>
      <c r="F238" s="3">
        <f t="shared" si="49"/>
        <v>1090450</v>
      </c>
      <c r="G238" s="2">
        <f t="shared" si="38"/>
        <v>0.18134715025906736</v>
      </c>
      <c r="H238" s="9">
        <f t="shared" si="39"/>
        <v>30000</v>
      </c>
      <c r="I238" s="9">
        <f t="shared" si="40"/>
        <v>1780000</v>
      </c>
      <c r="L238" s="9">
        <f t="shared" si="41"/>
        <v>13781950</v>
      </c>
      <c r="M238" s="9">
        <f t="shared" si="42"/>
        <v>15145000.000000002</v>
      </c>
      <c r="N238" s="11">
        <f t="shared" si="43"/>
        <v>1780000</v>
      </c>
      <c r="O238" s="12">
        <f t="shared" si="44"/>
        <v>0.11753053813139648</v>
      </c>
      <c r="P238" s="9">
        <f t="shared" si="45"/>
        <v>16407083.333333334</v>
      </c>
      <c r="Q238" s="11">
        <f t="shared" si="46"/>
        <v>1780000</v>
      </c>
      <c r="R238" s="12">
        <f t="shared" si="47"/>
        <v>0.10848972750590445</v>
      </c>
    </row>
    <row r="239" spans="1:18" x14ac:dyDescent="0.3">
      <c r="A239" s="1">
        <v>9650001</v>
      </c>
      <c r="B239" s="1">
        <v>9700000</v>
      </c>
      <c r="C239">
        <v>7000</v>
      </c>
      <c r="D239" s="14">
        <v>0.03</v>
      </c>
      <c r="E239" s="3">
        <f t="shared" si="48"/>
        <v>1261000</v>
      </c>
      <c r="F239" s="3">
        <f t="shared" si="49"/>
        <v>1096100</v>
      </c>
      <c r="G239" s="2">
        <f t="shared" si="38"/>
        <v>0.18134020618556701</v>
      </c>
      <c r="H239" s="9">
        <f t="shared" si="39"/>
        <v>30000</v>
      </c>
      <c r="I239" s="9">
        <f t="shared" si="40"/>
        <v>1789000</v>
      </c>
      <c r="L239" s="9">
        <f t="shared" si="41"/>
        <v>13853100</v>
      </c>
      <c r="M239" s="9">
        <f t="shared" si="42"/>
        <v>15223186.813186815</v>
      </c>
      <c r="N239" s="11">
        <f t="shared" si="43"/>
        <v>1789000</v>
      </c>
      <c r="O239" s="12">
        <f t="shared" si="44"/>
        <v>0.11751810064173361</v>
      </c>
      <c r="P239" s="9">
        <f t="shared" si="45"/>
        <v>16491785.714285715</v>
      </c>
      <c r="Q239" s="11">
        <f t="shared" si="46"/>
        <v>1789000</v>
      </c>
      <c r="R239" s="12">
        <f t="shared" si="47"/>
        <v>0.10847824674621565</v>
      </c>
    </row>
    <row r="240" spans="1:18" x14ac:dyDescent="0.3">
      <c r="A240" s="1">
        <v>9700001</v>
      </c>
      <c r="B240" s="1">
        <v>9750000</v>
      </c>
      <c r="C240">
        <v>7000</v>
      </c>
      <c r="D240" s="14">
        <v>0.03</v>
      </c>
      <c r="E240" s="3">
        <f t="shared" si="48"/>
        <v>1267500</v>
      </c>
      <c r="F240" s="3">
        <f t="shared" si="49"/>
        <v>1101750</v>
      </c>
      <c r="G240" s="2">
        <f t="shared" si="38"/>
        <v>0.18133333333333332</v>
      </c>
      <c r="H240" s="9">
        <f t="shared" si="39"/>
        <v>30000</v>
      </c>
      <c r="I240" s="9">
        <f t="shared" si="40"/>
        <v>1797999.9999999998</v>
      </c>
      <c r="L240" s="9">
        <f t="shared" si="41"/>
        <v>13924250</v>
      </c>
      <c r="M240" s="9">
        <f t="shared" si="42"/>
        <v>15301373.626373628</v>
      </c>
      <c r="N240" s="11">
        <f t="shared" si="43"/>
        <v>1798000</v>
      </c>
      <c r="O240" s="12">
        <f t="shared" si="44"/>
        <v>0.1175057902580031</v>
      </c>
      <c r="P240" s="9">
        <f t="shared" si="45"/>
        <v>16576488.095238095</v>
      </c>
      <c r="Q240" s="11">
        <f t="shared" si="46"/>
        <v>1798000</v>
      </c>
      <c r="R240" s="12">
        <f t="shared" si="47"/>
        <v>0.10846688331507981</v>
      </c>
    </row>
    <row r="241" spans="1:18" x14ac:dyDescent="0.3">
      <c r="A241" s="1">
        <v>9750001</v>
      </c>
      <c r="B241" s="1">
        <v>9800000</v>
      </c>
      <c r="C241">
        <v>7000</v>
      </c>
      <c r="D241" s="14">
        <v>0.03</v>
      </c>
      <c r="E241" s="3">
        <f t="shared" si="48"/>
        <v>1274000</v>
      </c>
      <c r="F241" s="3">
        <f t="shared" si="49"/>
        <v>1107400</v>
      </c>
      <c r="G241" s="2">
        <f t="shared" si="38"/>
        <v>0.18132653061224488</v>
      </c>
      <c r="H241" s="9">
        <f t="shared" si="39"/>
        <v>30000</v>
      </c>
      <c r="I241" s="9">
        <f t="shared" si="40"/>
        <v>1806999.9999999998</v>
      </c>
      <c r="L241" s="9">
        <f t="shared" si="41"/>
        <v>13995400</v>
      </c>
      <c r="M241" s="9">
        <f t="shared" si="42"/>
        <v>15379560.439560441</v>
      </c>
      <c r="N241" s="11">
        <f t="shared" si="43"/>
        <v>1807000</v>
      </c>
      <c r="O241" s="12">
        <f t="shared" si="44"/>
        <v>0.11749360504165653</v>
      </c>
      <c r="P241" s="9">
        <f t="shared" si="45"/>
        <v>16661190.476190478</v>
      </c>
      <c r="Q241" s="11">
        <f t="shared" si="46"/>
        <v>1807000</v>
      </c>
      <c r="R241" s="12">
        <f t="shared" si="47"/>
        <v>0.10845563542306758</v>
      </c>
    </row>
    <row r="242" spans="1:18" x14ac:dyDescent="0.3">
      <c r="A242" s="1">
        <v>9800001</v>
      </c>
      <c r="B242" s="1">
        <v>9850000</v>
      </c>
      <c r="C242">
        <v>7000</v>
      </c>
      <c r="D242" s="14">
        <v>0.03</v>
      </c>
      <c r="E242" s="3">
        <f t="shared" si="48"/>
        <v>1280500</v>
      </c>
      <c r="F242" s="3">
        <f t="shared" si="49"/>
        <v>1113050</v>
      </c>
      <c r="G242" s="2">
        <f t="shared" si="38"/>
        <v>0.18131979695431472</v>
      </c>
      <c r="H242" s="9">
        <f t="shared" si="39"/>
        <v>30000</v>
      </c>
      <c r="I242" s="9">
        <f t="shared" si="40"/>
        <v>1816000</v>
      </c>
      <c r="L242" s="9">
        <f t="shared" si="41"/>
        <v>14066550</v>
      </c>
      <c r="M242" s="9">
        <f t="shared" si="42"/>
        <v>15457747.252747254</v>
      </c>
      <c r="N242" s="11">
        <f t="shared" si="43"/>
        <v>1816000</v>
      </c>
      <c r="O242" s="12">
        <f t="shared" si="44"/>
        <v>0.11748154309336688</v>
      </c>
      <c r="P242" s="9">
        <f t="shared" si="45"/>
        <v>16745892.857142858</v>
      </c>
      <c r="Q242" s="11">
        <f t="shared" si="46"/>
        <v>1816000</v>
      </c>
      <c r="R242" s="12">
        <f t="shared" si="47"/>
        <v>0.10844450131695405</v>
      </c>
    </row>
    <row r="243" spans="1:18" x14ac:dyDescent="0.3">
      <c r="A243" s="1">
        <v>9850001</v>
      </c>
      <c r="B243" s="1">
        <v>9900000</v>
      </c>
      <c r="C243">
        <v>7000</v>
      </c>
      <c r="D243" s="14">
        <v>0.03</v>
      </c>
      <c r="E243" s="3">
        <f t="shared" si="48"/>
        <v>1287000</v>
      </c>
      <c r="F243" s="3">
        <f t="shared" si="49"/>
        <v>1118700</v>
      </c>
      <c r="G243" s="2">
        <f t="shared" si="38"/>
        <v>0.18131313131313131</v>
      </c>
      <c r="H243" s="9">
        <f t="shared" si="39"/>
        <v>30000</v>
      </c>
      <c r="I243" s="9">
        <f t="shared" si="40"/>
        <v>1825000</v>
      </c>
      <c r="L243" s="9">
        <f t="shared" si="41"/>
        <v>14137700</v>
      </c>
      <c r="M243" s="9">
        <f t="shared" si="42"/>
        <v>15535934.065934068</v>
      </c>
      <c r="N243" s="11">
        <f t="shared" si="43"/>
        <v>1825000</v>
      </c>
      <c r="O243" s="12">
        <f t="shared" si="44"/>
        <v>0.1174696025520417</v>
      </c>
      <c r="P243" s="9">
        <f t="shared" si="45"/>
        <v>16830595.238095239</v>
      </c>
      <c r="Q243" s="11">
        <f t="shared" si="46"/>
        <v>1825000</v>
      </c>
      <c r="R243" s="12">
        <f t="shared" si="47"/>
        <v>0.10843347927880773</v>
      </c>
    </row>
    <row r="244" spans="1:18" x14ac:dyDescent="0.3">
      <c r="A244" s="1">
        <v>9900001</v>
      </c>
      <c r="B244" s="1">
        <v>9950000</v>
      </c>
      <c r="C244">
        <v>7000</v>
      </c>
      <c r="D244" s="14">
        <v>0.03</v>
      </c>
      <c r="E244" s="3">
        <f t="shared" si="48"/>
        <v>1293500</v>
      </c>
      <c r="F244" s="3">
        <f t="shared" si="49"/>
        <v>1124350</v>
      </c>
      <c r="G244" s="2">
        <f t="shared" si="38"/>
        <v>0.18130653266331659</v>
      </c>
      <c r="H244" s="9">
        <f t="shared" si="39"/>
        <v>30000</v>
      </c>
      <c r="I244" s="9">
        <f t="shared" si="40"/>
        <v>1834000</v>
      </c>
      <c r="L244" s="9">
        <f t="shared" si="41"/>
        <v>14208850</v>
      </c>
      <c r="M244" s="9">
        <f t="shared" si="42"/>
        <v>15614120.879120881</v>
      </c>
      <c r="N244" s="11">
        <f t="shared" si="43"/>
        <v>1834000</v>
      </c>
      <c r="O244" s="12">
        <f t="shared" si="44"/>
        <v>0.11745778159386579</v>
      </c>
      <c r="P244" s="9">
        <f t="shared" si="45"/>
        <v>16915297.619047619</v>
      </c>
      <c r="Q244" s="11">
        <f t="shared" si="46"/>
        <v>1834000</v>
      </c>
      <c r="R244" s="12">
        <f t="shared" si="47"/>
        <v>0.10842256762510688</v>
      </c>
    </row>
    <row r="245" spans="1:18" x14ac:dyDescent="0.3">
      <c r="A245" s="1">
        <v>9950001</v>
      </c>
      <c r="B245" s="1">
        <v>10000000</v>
      </c>
      <c r="C245">
        <v>7000</v>
      </c>
      <c r="D245" s="14">
        <v>0.03</v>
      </c>
      <c r="E245" s="3">
        <f t="shared" si="48"/>
        <v>1300000</v>
      </c>
      <c r="F245" s="3">
        <f t="shared" si="49"/>
        <v>1130000</v>
      </c>
      <c r="G245" s="2">
        <f t="shared" si="38"/>
        <v>0.18129999999999999</v>
      </c>
      <c r="H245" s="9">
        <f t="shared" si="39"/>
        <v>30000</v>
      </c>
      <c r="I245" s="9">
        <f t="shared" si="40"/>
        <v>1843000</v>
      </c>
      <c r="L245" s="9">
        <f t="shared" si="41"/>
        <v>14280000</v>
      </c>
      <c r="M245" s="9">
        <f t="shared" si="42"/>
        <v>15692307.692307694</v>
      </c>
      <c r="N245" s="11">
        <f t="shared" si="43"/>
        <v>1843000</v>
      </c>
      <c r="O245" s="12">
        <f t="shared" si="44"/>
        <v>0.11744607843137253</v>
      </c>
      <c r="P245" s="9">
        <f t="shared" si="45"/>
        <v>17000000</v>
      </c>
      <c r="Q245" s="11">
        <f t="shared" si="46"/>
        <v>1843000</v>
      </c>
      <c r="R245" s="12">
        <f t="shared" si="47"/>
        <v>0.10841176470588235</v>
      </c>
    </row>
    <row r="246" spans="1:18" x14ac:dyDescent="0.3">
      <c r="A246" s="1">
        <v>10000001</v>
      </c>
      <c r="B246" s="1">
        <v>10050000</v>
      </c>
      <c r="C246">
        <v>7000</v>
      </c>
      <c r="D246" s="14">
        <v>0.03</v>
      </c>
      <c r="E246" s="3">
        <f t="shared" si="48"/>
        <v>1306500</v>
      </c>
      <c r="F246" s="3">
        <f t="shared" si="49"/>
        <v>1135650</v>
      </c>
      <c r="G246" s="2">
        <f t="shared" si="38"/>
        <v>0.18129353233830844</v>
      </c>
      <c r="H246" s="9">
        <f t="shared" si="39"/>
        <v>30000</v>
      </c>
      <c r="I246" s="9">
        <f t="shared" si="40"/>
        <v>1851999.9999999998</v>
      </c>
      <c r="L246" s="9">
        <f t="shared" si="41"/>
        <v>14351150</v>
      </c>
      <c r="M246" s="9">
        <f t="shared" si="42"/>
        <v>15770494.505494507</v>
      </c>
      <c r="N246" s="11">
        <f t="shared" si="43"/>
        <v>1852000</v>
      </c>
      <c r="O246" s="12">
        <f t="shared" si="44"/>
        <v>0.11743449131254288</v>
      </c>
      <c r="P246" s="9">
        <f t="shared" si="45"/>
        <v>17084702.380952381</v>
      </c>
      <c r="Q246" s="11">
        <f t="shared" si="46"/>
        <v>1852000</v>
      </c>
      <c r="R246" s="12">
        <f t="shared" si="47"/>
        <v>0.10840106890388575</v>
      </c>
    </row>
    <row r="247" spans="1:18" x14ac:dyDescent="0.3">
      <c r="A247" s="1">
        <v>10050001</v>
      </c>
      <c r="B247" s="1">
        <v>10100000</v>
      </c>
      <c r="C247">
        <v>7000</v>
      </c>
      <c r="D247" s="14">
        <v>0.03</v>
      </c>
      <c r="E247" s="3">
        <f t="shared" si="48"/>
        <v>1313000</v>
      </c>
      <c r="F247" s="3">
        <f t="shared" si="49"/>
        <v>1141300</v>
      </c>
      <c r="G247" s="2">
        <f t="shared" si="38"/>
        <v>0.18128712871287128</v>
      </c>
      <c r="H247" s="9">
        <f t="shared" si="39"/>
        <v>30000</v>
      </c>
      <c r="I247" s="9">
        <f t="shared" si="40"/>
        <v>1861000</v>
      </c>
      <c r="L247" s="9">
        <f t="shared" si="41"/>
        <v>14422300</v>
      </c>
      <c r="M247" s="9">
        <f t="shared" si="42"/>
        <v>15848681.31868132</v>
      </c>
      <c r="N247" s="11">
        <f t="shared" si="43"/>
        <v>1861000</v>
      </c>
      <c r="O247" s="12">
        <f t="shared" si="44"/>
        <v>0.11742301851993094</v>
      </c>
      <c r="P247" s="9">
        <f t="shared" si="45"/>
        <v>17169404.761904761</v>
      </c>
      <c r="Q247" s="11">
        <f t="shared" si="46"/>
        <v>1860999.9999999981</v>
      </c>
      <c r="R247" s="12">
        <f t="shared" si="47"/>
        <v>0.1083904786337823</v>
      </c>
    </row>
    <row r="248" spans="1:18" x14ac:dyDescent="0.3">
      <c r="A248" s="1">
        <v>10100001</v>
      </c>
      <c r="B248" s="1">
        <v>10150000</v>
      </c>
      <c r="C248">
        <v>7000</v>
      </c>
      <c r="D248" s="14">
        <v>0.03</v>
      </c>
      <c r="E248" s="3">
        <f t="shared" si="48"/>
        <v>1319500</v>
      </c>
      <c r="F248" s="3">
        <f t="shared" si="49"/>
        <v>1146950</v>
      </c>
      <c r="G248" s="2">
        <f t="shared" si="38"/>
        <v>0.18128078817733989</v>
      </c>
      <c r="H248" s="9">
        <f t="shared" si="39"/>
        <v>30000</v>
      </c>
      <c r="I248" s="9">
        <f t="shared" si="40"/>
        <v>1870000</v>
      </c>
      <c r="L248" s="9">
        <f t="shared" si="41"/>
        <v>14493450</v>
      </c>
      <c r="M248" s="9">
        <f t="shared" si="42"/>
        <v>15926868.131868133</v>
      </c>
      <c r="N248" s="11">
        <f t="shared" si="43"/>
        <v>1870000</v>
      </c>
      <c r="O248" s="12">
        <f t="shared" si="44"/>
        <v>0.11741165836981532</v>
      </c>
      <c r="P248" s="9">
        <f t="shared" si="45"/>
        <v>17254107.142857142</v>
      </c>
      <c r="Q248" s="11">
        <f t="shared" si="46"/>
        <v>1869999.9999999981</v>
      </c>
      <c r="R248" s="12">
        <f t="shared" si="47"/>
        <v>0.1083799923413679</v>
      </c>
    </row>
    <row r="249" spans="1:18" x14ac:dyDescent="0.3">
      <c r="A249" s="1">
        <v>10150001</v>
      </c>
      <c r="B249" s="1">
        <v>10200000</v>
      </c>
      <c r="C249">
        <v>7000</v>
      </c>
      <c r="D249" s="14">
        <v>0.03</v>
      </c>
      <c r="E249" s="3">
        <f t="shared" si="48"/>
        <v>1326000</v>
      </c>
      <c r="F249" s="3">
        <f t="shared" si="49"/>
        <v>1152600</v>
      </c>
      <c r="G249" s="2">
        <f t="shared" si="38"/>
        <v>0.18127450980392157</v>
      </c>
      <c r="H249" s="9">
        <f t="shared" si="39"/>
        <v>30000</v>
      </c>
      <c r="I249" s="9">
        <f t="shared" si="40"/>
        <v>1879000</v>
      </c>
      <c r="L249" s="9">
        <f t="shared" si="41"/>
        <v>14564600</v>
      </c>
      <c r="M249" s="9">
        <f t="shared" si="42"/>
        <v>16005054.945054946</v>
      </c>
      <c r="N249" s="11">
        <f t="shared" si="43"/>
        <v>1879000</v>
      </c>
      <c r="O249" s="12">
        <f t="shared" si="44"/>
        <v>0.11740040921137551</v>
      </c>
      <c r="P249" s="9">
        <f t="shared" si="45"/>
        <v>17338809.523809526</v>
      </c>
      <c r="Q249" s="11">
        <f t="shared" si="46"/>
        <v>1879000.0000000019</v>
      </c>
      <c r="R249" s="12">
        <f t="shared" si="47"/>
        <v>0.10836960850280827</v>
      </c>
    </row>
    <row r="250" spans="1:18" x14ac:dyDescent="0.3">
      <c r="A250" s="1">
        <v>10200001</v>
      </c>
      <c r="B250" s="1">
        <v>10250000</v>
      </c>
      <c r="C250">
        <v>7000</v>
      </c>
      <c r="D250" s="14">
        <v>0.03</v>
      </c>
      <c r="E250" s="3">
        <f t="shared" si="48"/>
        <v>1332500</v>
      </c>
      <c r="F250" s="3">
        <f t="shared" si="49"/>
        <v>1158250</v>
      </c>
      <c r="G250" s="2">
        <f t="shared" si="38"/>
        <v>0.18126829268292682</v>
      </c>
      <c r="H250" s="9">
        <f t="shared" si="39"/>
        <v>30000</v>
      </c>
      <c r="I250" s="9">
        <f t="shared" si="40"/>
        <v>1888000</v>
      </c>
      <c r="L250" s="9">
        <f t="shared" si="41"/>
        <v>14635750</v>
      </c>
      <c r="M250" s="9">
        <f t="shared" si="42"/>
        <v>16083241.75824176</v>
      </c>
      <c r="N250" s="11">
        <f t="shared" si="43"/>
        <v>1888000</v>
      </c>
      <c r="O250" s="12">
        <f t="shared" si="44"/>
        <v>0.11738926942589208</v>
      </c>
      <c r="P250" s="9">
        <f t="shared" si="45"/>
        <v>17423511.904761907</v>
      </c>
      <c r="Q250" s="11">
        <f t="shared" si="46"/>
        <v>1888000.0000000019</v>
      </c>
      <c r="R250" s="12">
        <f t="shared" si="47"/>
        <v>0.10835932562390048</v>
      </c>
    </row>
    <row r="251" spans="1:18" x14ac:dyDescent="0.3">
      <c r="A251" s="1">
        <v>10250001</v>
      </c>
      <c r="B251" s="1">
        <v>10300000</v>
      </c>
      <c r="C251">
        <v>7000</v>
      </c>
      <c r="D251" s="14">
        <v>0.03</v>
      </c>
      <c r="E251" s="3">
        <f t="shared" si="48"/>
        <v>1339000</v>
      </c>
      <c r="F251" s="3">
        <f t="shared" si="49"/>
        <v>1163900</v>
      </c>
      <c r="G251" s="2">
        <f t="shared" si="38"/>
        <v>0.18126213592233009</v>
      </c>
      <c r="H251" s="9">
        <f t="shared" si="39"/>
        <v>30000</v>
      </c>
      <c r="I251" s="9">
        <f t="shared" si="40"/>
        <v>1897000</v>
      </c>
      <c r="L251" s="9">
        <f t="shared" si="41"/>
        <v>14706900</v>
      </c>
      <c r="M251" s="9">
        <f t="shared" si="42"/>
        <v>16161428.571428573</v>
      </c>
      <c r="N251" s="11">
        <f t="shared" si="43"/>
        <v>1897000</v>
      </c>
      <c r="O251" s="12">
        <f t="shared" si="44"/>
        <v>0.11737823742597012</v>
      </c>
      <c r="P251" s="9">
        <f t="shared" si="45"/>
        <v>17508214.285714287</v>
      </c>
      <c r="Q251" s="11">
        <f t="shared" si="46"/>
        <v>1897000</v>
      </c>
      <c r="R251" s="12">
        <f t="shared" si="47"/>
        <v>0.10834914223935703</v>
      </c>
    </row>
    <row r="252" spans="1:18" x14ac:dyDescent="0.3">
      <c r="A252" s="1">
        <v>10300001</v>
      </c>
      <c r="B252" s="1">
        <v>10350000</v>
      </c>
      <c r="C252">
        <v>7000</v>
      </c>
      <c r="D252" s="14">
        <v>0.03</v>
      </c>
      <c r="E252" s="3">
        <f t="shared" si="48"/>
        <v>1345500</v>
      </c>
      <c r="F252" s="3">
        <f t="shared" si="49"/>
        <v>1169550</v>
      </c>
      <c r="G252" s="2">
        <f t="shared" si="38"/>
        <v>0.18125603864734299</v>
      </c>
      <c r="H252" s="9">
        <f t="shared" si="39"/>
        <v>30000</v>
      </c>
      <c r="I252" s="9">
        <f t="shared" si="40"/>
        <v>1906000</v>
      </c>
      <c r="L252" s="9">
        <f t="shared" si="41"/>
        <v>14778050</v>
      </c>
      <c r="M252" s="9">
        <f t="shared" si="42"/>
        <v>16239615.384615386</v>
      </c>
      <c r="N252" s="11">
        <f t="shared" si="43"/>
        <v>1906000</v>
      </c>
      <c r="O252" s="12">
        <f t="shared" si="44"/>
        <v>0.1173673116547853</v>
      </c>
      <c r="P252" s="9">
        <f t="shared" si="45"/>
        <v>17592916.666666668</v>
      </c>
      <c r="Q252" s="11">
        <f t="shared" si="46"/>
        <v>1906000</v>
      </c>
      <c r="R252" s="12">
        <f t="shared" si="47"/>
        <v>0.1083390569121095</v>
      </c>
    </row>
    <row r="253" spans="1:18" x14ac:dyDescent="0.3">
      <c r="A253" s="1">
        <v>10350001</v>
      </c>
      <c r="B253" s="1">
        <v>10400000</v>
      </c>
      <c r="C253">
        <v>7000</v>
      </c>
      <c r="D253" s="14">
        <v>0.03</v>
      </c>
      <c r="E253" s="3">
        <f t="shared" si="48"/>
        <v>1352000</v>
      </c>
      <c r="F253" s="3">
        <f t="shared" si="49"/>
        <v>1175200</v>
      </c>
      <c r="G253" s="2">
        <f t="shared" si="38"/>
        <v>0.18124999999999999</v>
      </c>
      <c r="H253" s="9">
        <f t="shared" si="39"/>
        <v>30000</v>
      </c>
      <c r="I253" s="9">
        <f t="shared" si="40"/>
        <v>1915000</v>
      </c>
      <c r="L253" s="9">
        <f t="shared" si="41"/>
        <v>14849200</v>
      </c>
      <c r="M253" s="9">
        <f t="shared" si="42"/>
        <v>16317802.197802199</v>
      </c>
      <c r="N253" s="11">
        <f t="shared" si="43"/>
        <v>1915000</v>
      </c>
      <c r="O253" s="12">
        <f t="shared" si="44"/>
        <v>0.11735649058535139</v>
      </c>
      <c r="P253" s="9">
        <f t="shared" si="45"/>
        <v>17677619.047619049</v>
      </c>
      <c r="Q253" s="11">
        <f t="shared" si="46"/>
        <v>1915000</v>
      </c>
      <c r="R253" s="12">
        <f t="shared" si="47"/>
        <v>0.10832906823263205</v>
      </c>
    </row>
    <row r="254" spans="1:18" x14ac:dyDescent="0.3">
      <c r="A254" s="1">
        <v>10400001</v>
      </c>
      <c r="B254" s="1">
        <v>10450000</v>
      </c>
      <c r="C254">
        <v>7000</v>
      </c>
      <c r="D254" s="14">
        <v>0.03</v>
      </c>
      <c r="E254" s="3">
        <f t="shared" si="48"/>
        <v>1358500</v>
      </c>
      <c r="F254" s="3">
        <f t="shared" si="49"/>
        <v>1180850</v>
      </c>
      <c r="G254" s="2">
        <f t="shared" si="38"/>
        <v>0.18124401913875599</v>
      </c>
      <c r="H254" s="9">
        <f t="shared" si="39"/>
        <v>30000</v>
      </c>
      <c r="I254" s="9">
        <f t="shared" si="40"/>
        <v>1924000</v>
      </c>
      <c r="L254" s="9">
        <f t="shared" si="41"/>
        <v>14920350</v>
      </c>
      <c r="M254" s="9">
        <f t="shared" si="42"/>
        <v>16395989.010989012</v>
      </c>
      <c r="N254" s="11">
        <f t="shared" si="43"/>
        <v>1924000</v>
      </c>
      <c r="O254" s="12">
        <f t="shared" si="44"/>
        <v>0.11734577271980884</v>
      </c>
      <c r="P254" s="9">
        <f t="shared" si="45"/>
        <v>17762321.428571429</v>
      </c>
      <c r="Q254" s="11">
        <f t="shared" si="46"/>
        <v>1924000</v>
      </c>
      <c r="R254" s="12">
        <f t="shared" si="47"/>
        <v>0.1083191748182851</v>
      </c>
    </row>
    <row r="255" spans="1:18" x14ac:dyDescent="0.3">
      <c r="A255" s="1">
        <v>10450001</v>
      </c>
      <c r="B255" s="1">
        <v>10500000</v>
      </c>
      <c r="C255">
        <v>7000</v>
      </c>
      <c r="D255" s="14">
        <v>0.03</v>
      </c>
      <c r="E255" s="3">
        <f t="shared" si="48"/>
        <v>1365000</v>
      </c>
      <c r="F255" s="3">
        <f t="shared" si="49"/>
        <v>1186500</v>
      </c>
      <c r="G255" s="2">
        <f t="shared" si="38"/>
        <v>0.18123809523809523</v>
      </c>
      <c r="H255" s="9">
        <f t="shared" si="39"/>
        <v>30000</v>
      </c>
      <c r="I255" s="9">
        <f t="shared" si="40"/>
        <v>1932999.9999999998</v>
      </c>
      <c r="L255" s="9">
        <f t="shared" si="41"/>
        <v>14991500</v>
      </c>
      <c r="M255" s="9">
        <f t="shared" si="42"/>
        <v>16474175.824175825</v>
      </c>
      <c r="N255" s="11">
        <f t="shared" si="43"/>
        <v>1933000</v>
      </c>
      <c r="O255" s="12">
        <f t="shared" si="44"/>
        <v>0.11733515658873361</v>
      </c>
      <c r="P255" s="9">
        <f t="shared" si="45"/>
        <v>17847023.80952381</v>
      </c>
      <c r="Q255" s="11">
        <f t="shared" si="46"/>
        <v>1933000</v>
      </c>
      <c r="R255" s="12">
        <f t="shared" si="47"/>
        <v>0.10830937531267719</v>
      </c>
    </row>
    <row r="256" spans="1:18" x14ac:dyDescent="0.3">
      <c r="A256" s="1">
        <v>10500001</v>
      </c>
      <c r="B256" s="1">
        <v>10550000</v>
      </c>
      <c r="C256">
        <v>7000</v>
      </c>
      <c r="D256" s="14">
        <v>0.03</v>
      </c>
      <c r="E256" s="3">
        <f t="shared" si="48"/>
        <v>1371500</v>
      </c>
      <c r="F256" s="3">
        <f t="shared" si="49"/>
        <v>1192150</v>
      </c>
      <c r="G256" s="2">
        <f t="shared" si="38"/>
        <v>0.18123222748815165</v>
      </c>
      <c r="H256" s="9">
        <f t="shared" si="39"/>
        <v>30000</v>
      </c>
      <c r="I256" s="9">
        <f t="shared" si="40"/>
        <v>1942000</v>
      </c>
      <c r="L256" s="9">
        <f t="shared" si="41"/>
        <v>15062650</v>
      </c>
      <c r="M256" s="9">
        <f t="shared" si="42"/>
        <v>16552362.637362638</v>
      </c>
      <c r="N256" s="11">
        <f t="shared" si="43"/>
        <v>1942000</v>
      </c>
      <c r="O256" s="12">
        <f t="shared" si="44"/>
        <v>0.11732464075046554</v>
      </c>
      <c r="P256" s="9">
        <f t="shared" si="45"/>
        <v>17931726.19047619</v>
      </c>
      <c r="Q256" s="11">
        <f t="shared" si="46"/>
        <v>1942000</v>
      </c>
      <c r="R256" s="12">
        <f t="shared" si="47"/>
        <v>0.10829966838504512</v>
      </c>
    </row>
    <row r="257" spans="1:18" x14ac:dyDescent="0.3">
      <c r="A257" s="1">
        <v>10550001</v>
      </c>
      <c r="B257" s="1">
        <v>10600000</v>
      </c>
      <c r="C257">
        <v>7000</v>
      </c>
      <c r="D257" s="14">
        <v>0.03</v>
      </c>
      <c r="E257" s="3">
        <f t="shared" si="48"/>
        <v>1378000</v>
      </c>
      <c r="F257" s="3">
        <f t="shared" si="49"/>
        <v>1197800</v>
      </c>
      <c r="G257" s="2">
        <f t="shared" si="38"/>
        <v>0.18122641509433962</v>
      </c>
      <c r="H257" s="9">
        <f t="shared" si="39"/>
        <v>30000</v>
      </c>
      <c r="I257" s="9">
        <f t="shared" si="40"/>
        <v>1951000</v>
      </c>
      <c r="L257" s="9">
        <f t="shared" si="41"/>
        <v>15133800</v>
      </c>
      <c r="M257" s="9">
        <f t="shared" si="42"/>
        <v>16630549.450549452</v>
      </c>
      <c r="N257" s="11">
        <f t="shared" si="43"/>
        <v>1951000</v>
      </c>
      <c r="O257" s="12">
        <f t="shared" si="44"/>
        <v>0.11731422379045579</v>
      </c>
      <c r="P257" s="9">
        <f t="shared" si="45"/>
        <v>18016428.571428571</v>
      </c>
      <c r="Q257" s="11">
        <f t="shared" si="46"/>
        <v>1950999.9999999981</v>
      </c>
      <c r="R257" s="12">
        <f t="shared" si="47"/>
        <v>0.10829005272965141</v>
      </c>
    </row>
    <row r="258" spans="1:18" x14ac:dyDescent="0.3">
      <c r="A258" s="1">
        <v>10600001</v>
      </c>
      <c r="B258" s="1">
        <v>10650000</v>
      </c>
      <c r="C258">
        <v>7000</v>
      </c>
      <c r="D258" s="14">
        <v>0.03</v>
      </c>
      <c r="E258" s="3">
        <f t="shared" si="48"/>
        <v>1384500</v>
      </c>
      <c r="F258" s="3">
        <f t="shared" si="49"/>
        <v>1203450</v>
      </c>
      <c r="G258" s="2">
        <f t="shared" si="38"/>
        <v>0.1812206572769953</v>
      </c>
      <c r="H258" s="9">
        <f t="shared" si="39"/>
        <v>30000</v>
      </c>
      <c r="I258" s="9">
        <f t="shared" si="40"/>
        <v>1960000</v>
      </c>
      <c r="L258" s="9">
        <f t="shared" si="41"/>
        <v>15204950</v>
      </c>
      <c r="M258" s="9">
        <f t="shared" si="42"/>
        <v>16708736.263736265</v>
      </c>
      <c r="N258" s="11">
        <f t="shared" si="43"/>
        <v>1960000</v>
      </c>
      <c r="O258" s="12">
        <f t="shared" si="44"/>
        <v>0.11730390432063242</v>
      </c>
      <c r="P258" s="9">
        <f t="shared" si="45"/>
        <v>18101130.952380951</v>
      </c>
      <c r="Q258" s="11">
        <f t="shared" si="46"/>
        <v>1959999.9999999981</v>
      </c>
      <c r="R258" s="12">
        <f t="shared" si="47"/>
        <v>0.10828052706519907</v>
      </c>
    </row>
    <row r="259" spans="1:18" x14ac:dyDescent="0.3">
      <c r="A259" s="1">
        <v>10650001</v>
      </c>
      <c r="B259" s="1">
        <v>10700000</v>
      </c>
      <c r="C259">
        <v>7000</v>
      </c>
      <c r="D259" s="14">
        <v>0.03</v>
      </c>
      <c r="E259" s="3">
        <f t="shared" si="48"/>
        <v>1391000</v>
      </c>
      <c r="F259" s="3">
        <f t="shared" si="49"/>
        <v>1209100</v>
      </c>
      <c r="G259" s="2">
        <f t="shared" ref="G259:G322" si="50">MIN($K$2,MAX($K$3,$K$4/B259+$K$3))</f>
        <v>0.18121495327102802</v>
      </c>
      <c r="H259" s="9">
        <f t="shared" ref="H259:H322" si="51">MIN($K$11,$K$9+$K$10*(B259-$B$2))</f>
        <v>30000</v>
      </c>
      <c r="I259" s="9">
        <f t="shared" ref="I259:I322" si="52">B259*G259+H259</f>
        <v>1968999.9999999998</v>
      </c>
      <c r="L259" s="9">
        <f t="shared" ref="L259:L322" si="53">B259+C259+E259+F259+I259</f>
        <v>15276100</v>
      </c>
      <c r="M259" s="9">
        <f t="shared" ref="M259:M322" si="54">L259/(1-$K$14-D259)</f>
        <v>16786923.07692308</v>
      </c>
      <c r="N259" s="11">
        <f t="shared" ref="N259:N322" si="55">M259*(1-$K$14-D259)-B259-C259-E259-F259</f>
        <v>1969000.0000000019</v>
      </c>
      <c r="O259" s="12">
        <f t="shared" ref="O259:O322" si="56">N259/M259</f>
        <v>0.11729368097878394</v>
      </c>
      <c r="P259" s="9">
        <f t="shared" ref="P259:P322" si="57">L259/(1-$K$15-D259)</f>
        <v>18185833.333333336</v>
      </c>
      <c r="Q259" s="11">
        <f t="shared" ref="Q259:Q322" si="58">P259*(1-$K$15-D259)-B259-C259-E259-F259</f>
        <v>1969000.0000000019</v>
      </c>
      <c r="R259" s="12">
        <f t="shared" ref="R259:R322" si="59">Q259/P259</f>
        <v>0.1082710901342621</v>
      </c>
    </row>
    <row r="260" spans="1:18" x14ac:dyDescent="0.3">
      <c r="A260" s="1">
        <v>10700001</v>
      </c>
      <c r="B260" s="1">
        <v>10750000</v>
      </c>
      <c r="C260">
        <v>7000</v>
      </c>
      <c r="D260" s="14">
        <v>0.03</v>
      </c>
      <c r="E260" s="3">
        <f t="shared" si="48"/>
        <v>1397500</v>
      </c>
      <c r="F260" s="3">
        <f t="shared" si="49"/>
        <v>1214750</v>
      </c>
      <c r="G260" s="2">
        <f t="shared" si="50"/>
        <v>0.18120930232558138</v>
      </c>
      <c r="H260" s="9">
        <f t="shared" si="51"/>
        <v>30000</v>
      </c>
      <c r="I260" s="9">
        <f t="shared" si="52"/>
        <v>1977999.9999999998</v>
      </c>
      <c r="L260" s="9">
        <f t="shared" si="53"/>
        <v>15347250</v>
      </c>
      <c r="M260" s="9">
        <f t="shared" si="54"/>
        <v>16865109.890109893</v>
      </c>
      <c r="N260" s="11">
        <f t="shared" si="55"/>
        <v>1978000.0000000019</v>
      </c>
      <c r="O260" s="12">
        <f t="shared" si="56"/>
        <v>0.1172835524279595</v>
      </c>
      <c r="P260" s="9">
        <f t="shared" si="57"/>
        <v>18270535.714285716</v>
      </c>
      <c r="Q260" s="11">
        <f t="shared" si="58"/>
        <v>1978000.0000000019</v>
      </c>
      <c r="R260" s="12">
        <f t="shared" si="59"/>
        <v>0.10826174070273185</v>
      </c>
    </row>
    <row r="261" spans="1:18" x14ac:dyDescent="0.3">
      <c r="A261" s="1">
        <v>10750001</v>
      </c>
      <c r="B261" s="1">
        <v>10800000</v>
      </c>
      <c r="C261">
        <v>7000</v>
      </c>
      <c r="D261" s="14">
        <v>0.03</v>
      </c>
      <c r="E261" s="3">
        <f t="shared" si="48"/>
        <v>1404000</v>
      </c>
      <c r="F261" s="3">
        <f t="shared" si="49"/>
        <v>1220400</v>
      </c>
      <c r="G261" s="2">
        <f t="shared" si="50"/>
        <v>0.1812037037037037</v>
      </c>
      <c r="H261" s="9">
        <f t="shared" si="51"/>
        <v>30000</v>
      </c>
      <c r="I261" s="9">
        <f t="shared" si="52"/>
        <v>1987000</v>
      </c>
      <c r="L261" s="9">
        <f t="shared" si="53"/>
        <v>15418400</v>
      </c>
      <c r="M261" s="9">
        <f t="shared" si="54"/>
        <v>16943296.703296706</v>
      </c>
      <c r="N261" s="11">
        <f t="shared" si="55"/>
        <v>1987000.0000000019</v>
      </c>
      <c r="O261" s="12">
        <f t="shared" si="56"/>
        <v>0.11727351735588656</v>
      </c>
      <c r="P261" s="9">
        <f t="shared" si="57"/>
        <v>18355238.095238097</v>
      </c>
      <c r="Q261" s="11">
        <f t="shared" si="58"/>
        <v>1987000</v>
      </c>
      <c r="R261" s="12">
        <f t="shared" si="59"/>
        <v>0.10825247755927982</v>
      </c>
    </row>
    <row r="262" spans="1:18" x14ac:dyDescent="0.3">
      <c r="A262" s="1">
        <v>10800001</v>
      </c>
      <c r="B262" s="1">
        <v>10850000</v>
      </c>
      <c r="C262">
        <v>7000</v>
      </c>
      <c r="D262" s="14">
        <v>0.03</v>
      </c>
      <c r="E262" s="3">
        <f t="shared" si="48"/>
        <v>1410500</v>
      </c>
      <c r="F262" s="3">
        <f t="shared" si="49"/>
        <v>1226050</v>
      </c>
      <c r="G262" s="2">
        <f t="shared" si="50"/>
        <v>0.18119815668202766</v>
      </c>
      <c r="H262" s="9">
        <f t="shared" si="51"/>
        <v>30000</v>
      </c>
      <c r="I262" s="9">
        <f t="shared" si="52"/>
        <v>1996000</v>
      </c>
      <c r="L262" s="9">
        <f t="shared" si="53"/>
        <v>15489550</v>
      </c>
      <c r="M262" s="9">
        <f t="shared" si="54"/>
        <v>17021483.516483519</v>
      </c>
      <c r="N262" s="11">
        <f t="shared" si="55"/>
        <v>1996000.0000000019</v>
      </c>
      <c r="O262" s="12">
        <f t="shared" si="56"/>
        <v>0.1172635744744038</v>
      </c>
      <c r="P262" s="9">
        <f t="shared" si="57"/>
        <v>18439940.476190478</v>
      </c>
      <c r="Q262" s="11">
        <f t="shared" si="58"/>
        <v>1996000</v>
      </c>
      <c r="R262" s="12">
        <f t="shared" si="59"/>
        <v>0.10824329951483419</v>
      </c>
    </row>
    <row r="263" spans="1:18" x14ac:dyDescent="0.3">
      <c r="A263" s="1">
        <v>10850001</v>
      </c>
      <c r="B263" s="1">
        <v>10900000</v>
      </c>
      <c r="C263">
        <v>7000</v>
      </c>
      <c r="D263" s="14">
        <v>0.03</v>
      </c>
      <c r="E263" s="3">
        <f t="shared" si="48"/>
        <v>1417000</v>
      </c>
      <c r="F263" s="3">
        <f t="shared" si="49"/>
        <v>1231700</v>
      </c>
      <c r="G263" s="2">
        <f t="shared" si="50"/>
        <v>0.18119266055045871</v>
      </c>
      <c r="H263" s="9">
        <f t="shared" si="51"/>
        <v>30000</v>
      </c>
      <c r="I263" s="9">
        <f t="shared" si="52"/>
        <v>2005000</v>
      </c>
      <c r="L263" s="9">
        <f t="shared" si="53"/>
        <v>15560700</v>
      </c>
      <c r="M263" s="9">
        <f t="shared" si="54"/>
        <v>17099670.329670332</v>
      </c>
      <c r="N263" s="11">
        <f t="shared" si="55"/>
        <v>2005000.0000000019</v>
      </c>
      <c r="O263" s="12">
        <f t="shared" si="56"/>
        <v>0.11725372251890991</v>
      </c>
      <c r="P263" s="9">
        <f t="shared" si="57"/>
        <v>18524642.857142858</v>
      </c>
      <c r="Q263" s="11">
        <f t="shared" si="58"/>
        <v>2005000</v>
      </c>
      <c r="R263" s="12">
        <f t="shared" si="59"/>
        <v>0.1082342054020706</v>
      </c>
    </row>
    <row r="264" spans="1:18" x14ac:dyDescent="0.3">
      <c r="A264" s="1">
        <v>10900001</v>
      </c>
      <c r="B264" s="1">
        <v>10950000</v>
      </c>
      <c r="C264">
        <v>7000</v>
      </c>
      <c r="D264" s="14">
        <v>0.03</v>
      </c>
      <c r="E264" s="3">
        <f t="shared" si="48"/>
        <v>1423500</v>
      </c>
      <c r="F264" s="3">
        <f t="shared" si="49"/>
        <v>1237350</v>
      </c>
      <c r="G264" s="2">
        <f t="shared" si="50"/>
        <v>0.18118721461187215</v>
      </c>
      <c r="H264" s="9">
        <f t="shared" si="51"/>
        <v>30000</v>
      </c>
      <c r="I264" s="9">
        <f t="shared" si="52"/>
        <v>2014000</v>
      </c>
      <c r="L264" s="9">
        <f t="shared" si="53"/>
        <v>15631850</v>
      </c>
      <c r="M264" s="9">
        <f t="shared" si="54"/>
        <v>17177857.142857146</v>
      </c>
      <c r="N264" s="11">
        <f t="shared" si="55"/>
        <v>2014000.0000000019</v>
      </c>
      <c r="O264" s="12">
        <f t="shared" si="56"/>
        <v>0.11724396024782745</v>
      </c>
      <c r="P264" s="9">
        <f t="shared" si="57"/>
        <v>18609345.238095239</v>
      </c>
      <c r="Q264" s="11">
        <f t="shared" si="58"/>
        <v>2014000</v>
      </c>
      <c r="R264" s="12">
        <f t="shared" si="59"/>
        <v>0.10822519407491756</v>
      </c>
    </row>
    <row r="265" spans="1:18" x14ac:dyDescent="0.3">
      <c r="A265" s="1">
        <v>10950001</v>
      </c>
      <c r="B265" s="1">
        <v>11000000</v>
      </c>
      <c r="C265">
        <v>7000</v>
      </c>
      <c r="D265" s="14">
        <v>0.03</v>
      </c>
      <c r="E265" s="3">
        <f t="shared" si="48"/>
        <v>1430000</v>
      </c>
      <c r="F265" s="3">
        <f t="shared" si="49"/>
        <v>1243000</v>
      </c>
      <c r="G265" s="2">
        <f t="shared" si="50"/>
        <v>0.18118181818181817</v>
      </c>
      <c r="H265" s="9">
        <f t="shared" si="51"/>
        <v>30000</v>
      </c>
      <c r="I265" s="9">
        <f t="shared" si="52"/>
        <v>2022999.9999999998</v>
      </c>
      <c r="L265" s="9">
        <f t="shared" si="53"/>
        <v>15703000</v>
      </c>
      <c r="M265" s="9">
        <f t="shared" si="54"/>
        <v>17256043.956043959</v>
      </c>
      <c r="N265" s="11">
        <f t="shared" si="55"/>
        <v>2023000.0000000019</v>
      </c>
      <c r="O265" s="12">
        <f t="shared" si="56"/>
        <v>0.11723428644208123</v>
      </c>
      <c r="P265" s="9">
        <f t="shared" si="57"/>
        <v>18694047.619047619</v>
      </c>
      <c r="Q265" s="11">
        <f t="shared" si="58"/>
        <v>2023000</v>
      </c>
      <c r="R265" s="12">
        <f t="shared" si="59"/>
        <v>0.10821626440807489</v>
      </c>
    </row>
    <row r="266" spans="1:18" x14ac:dyDescent="0.3">
      <c r="A266" s="1">
        <v>11000001</v>
      </c>
      <c r="B266" s="1">
        <v>11050000</v>
      </c>
      <c r="C266">
        <v>7000</v>
      </c>
      <c r="D266" s="14">
        <v>0.03</v>
      </c>
      <c r="E266" s="3">
        <f t="shared" si="48"/>
        <v>1436500</v>
      </c>
      <c r="F266" s="3">
        <f t="shared" si="49"/>
        <v>1248650</v>
      </c>
      <c r="G266" s="2">
        <f t="shared" si="50"/>
        <v>0.1811764705882353</v>
      </c>
      <c r="H266" s="9">
        <f t="shared" si="51"/>
        <v>30000</v>
      </c>
      <c r="I266" s="9">
        <f t="shared" si="52"/>
        <v>2032000</v>
      </c>
      <c r="L266" s="9">
        <f t="shared" si="53"/>
        <v>15774150</v>
      </c>
      <c r="M266" s="9">
        <f t="shared" si="54"/>
        <v>17334230.769230772</v>
      </c>
      <c r="N266" s="11">
        <f t="shared" si="55"/>
        <v>2032000.0000000019</v>
      </c>
      <c r="O266" s="12">
        <f t="shared" si="56"/>
        <v>0.11722469990459083</v>
      </c>
      <c r="P266" s="9">
        <f t="shared" si="57"/>
        <v>18778750</v>
      </c>
      <c r="Q266" s="11">
        <f t="shared" si="58"/>
        <v>2032000</v>
      </c>
      <c r="R266" s="12">
        <f t="shared" si="59"/>
        <v>0.1082074152965453</v>
      </c>
    </row>
    <row r="267" spans="1:18" x14ac:dyDescent="0.3">
      <c r="A267" s="1">
        <v>11050001</v>
      </c>
      <c r="B267" s="1">
        <v>11100000</v>
      </c>
      <c r="C267">
        <v>7000</v>
      </c>
      <c r="D267" s="14">
        <v>0.03</v>
      </c>
      <c r="E267" s="3">
        <f t="shared" si="48"/>
        <v>1443000</v>
      </c>
      <c r="F267" s="3">
        <f t="shared" si="49"/>
        <v>1254300</v>
      </c>
      <c r="G267" s="2">
        <f t="shared" si="50"/>
        <v>0.18117117117117115</v>
      </c>
      <c r="H267" s="9">
        <f t="shared" si="51"/>
        <v>30000</v>
      </c>
      <c r="I267" s="9">
        <f t="shared" si="52"/>
        <v>2040999.9999999998</v>
      </c>
      <c r="L267" s="9">
        <f t="shared" si="53"/>
        <v>15845300</v>
      </c>
      <c r="M267" s="9">
        <f t="shared" si="54"/>
        <v>17412417.582417585</v>
      </c>
      <c r="N267" s="11">
        <f t="shared" si="55"/>
        <v>2041000</v>
      </c>
      <c r="O267" s="12">
        <f t="shared" si="56"/>
        <v>0.11721519945977669</v>
      </c>
      <c r="P267" s="9">
        <f t="shared" si="57"/>
        <v>18863452.380952381</v>
      </c>
      <c r="Q267" s="11">
        <f t="shared" si="58"/>
        <v>2041000</v>
      </c>
      <c r="R267" s="12">
        <f t="shared" si="59"/>
        <v>0.1081986456551785</v>
      </c>
    </row>
    <row r="268" spans="1:18" x14ac:dyDescent="0.3">
      <c r="A268" s="1">
        <v>11100001</v>
      </c>
      <c r="B268" s="1">
        <v>11150000</v>
      </c>
      <c r="C268">
        <v>7000</v>
      </c>
      <c r="D268" s="14">
        <v>0.03</v>
      </c>
      <c r="E268" s="3">
        <f t="shared" si="48"/>
        <v>1449500</v>
      </c>
      <c r="F268" s="3">
        <f t="shared" si="49"/>
        <v>1259950</v>
      </c>
      <c r="G268" s="2">
        <f t="shared" si="50"/>
        <v>0.18116591928251122</v>
      </c>
      <c r="H268" s="9">
        <f t="shared" si="51"/>
        <v>30000</v>
      </c>
      <c r="I268" s="9">
        <f t="shared" si="52"/>
        <v>2050000</v>
      </c>
      <c r="L268" s="9">
        <f t="shared" si="53"/>
        <v>15916450</v>
      </c>
      <c r="M268" s="9">
        <f t="shared" si="54"/>
        <v>17490604.395604398</v>
      </c>
      <c r="N268" s="11">
        <f t="shared" si="55"/>
        <v>2050000</v>
      </c>
      <c r="O268" s="12">
        <f t="shared" si="56"/>
        <v>0.11720578395307997</v>
      </c>
      <c r="P268" s="9">
        <f t="shared" si="57"/>
        <v>18948154.761904761</v>
      </c>
      <c r="Q268" s="11">
        <f t="shared" si="58"/>
        <v>2049999.9999999981</v>
      </c>
      <c r="R268" s="12">
        <f t="shared" si="59"/>
        <v>0.10818995441822758</v>
      </c>
    </row>
    <row r="269" spans="1:18" x14ac:dyDescent="0.3">
      <c r="A269" s="1">
        <v>11150001</v>
      </c>
      <c r="B269" s="1">
        <v>11200000</v>
      </c>
      <c r="C269">
        <v>7000</v>
      </c>
      <c r="D269" s="14">
        <v>0.03</v>
      </c>
      <c r="E269" s="3">
        <f t="shared" si="48"/>
        <v>1456000</v>
      </c>
      <c r="F269" s="3">
        <f t="shared" si="49"/>
        <v>1265600</v>
      </c>
      <c r="G269" s="2">
        <f t="shared" si="50"/>
        <v>0.18116071428571429</v>
      </c>
      <c r="H269" s="9">
        <f t="shared" si="51"/>
        <v>30000</v>
      </c>
      <c r="I269" s="9">
        <f t="shared" si="52"/>
        <v>2059000</v>
      </c>
      <c r="L269" s="9">
        <f t="shared" si="53"/>
        <v>15987600</v>
      </c>
      <c r="M269" s="9">
        <f t="shared" si="54"/>
        <v>17568791.208791211</v>
      </c>
      <c r="N269" s="11">
        <f t="shared" si="55"/>
        <v>2059000</v>
      </c>
      <c r="O269" s="12">
        <f t="shared" si="56"/>
        <v>0.11719645225049412</v>
      </c>
      <c r="P269" s="9">
        <f t="shared" si="57"/>
        <v>19032857.142857142</v>
      </c>
      <c r="Q269" s="11">
        <f t="shared" si="58"/>
        <v>2058999.9999999981</v>
      </c>
      <c r="R269" s="12">
        <f t="shared" si="59"/>
        <v>0.10818134053891756</v>
      </c>
    </row>
    <row r="270" spans="1:18" x14ac:dyDescent="0.3">
      <c r="A270" s="1">
        <v>11200001</v>
      </c>
      <c r="B270" s="1">
        <v>11250000</v>
      </c>
      <c r="C270">
        <v>7000</v>
      </c>
      <c r="D270" s="14">
        <v>0.03</v>
      </c>
      <c r="E270" s="3">
        <f t="shared" si="48"/>
        <v>1462500</v>
      </c>
      <c r="F270" s="3">
        <f t="shared" si="49"/>
        <v>1271250</v>
      </c>
      <c r="G270" s="2">
        <f t="shared" si="50"/>
        <v>0.18115555555555554</v>
      </c>
      <c r="H270" s="9">
        <f t="shared" si="51"/>
        <v>30000</v>
      </c>
      <c r="I270" s="9">
        <f t="shared" si="52"/>
        <v>2067999.9999999998</v>
      </c>
      <c r="L270" s="9">
        <f t="shared" si="53"/>
        <v>16058750</v>
      </c>
      <c r="M270" s="9">
        <f t="shared" si="54"/>
        <v>17646978.021978024</v>
      </c>
      <c r="N270" s="11">
        <f t="shared" si="55"/>
        <v>2068000</v>
      </c>
      <c r="O270" s="12">
        <f t="shared" si="56"/>
        <v>0.11718720323811005</v>
      </c>
      <c r="P270" s="9">
        <f t="shared" si="57"/>
        <v>19117559.523809526</v>
      </c>
      <c r="Q270" s="11">
        <f t="shared" si="58"/>
        <v>2068000.0000000019</v>
      </c>
      <c r="R270" s="12">
        <f t="shared" si="59"/>
        <v>0.10817280298902476</v>
      </c>
    </row>
    <row r="271" spans="1:18" x14ac:dyDescent="0.3">
      <c r="A271" s="1">
        <v>11250001</v>
      </c>
      <c r="B271" s="1">
        <v>11300000</v>
      </c>
      <c r="C271">
        <v>7000</v>
      </c>
      <c r="D271" s="14">
        <v>0.03</v>
      </c>
      <c r="E271" s="3">
        <f t="shared" si="48"/>
        <v>1469000</v>
      </c>
      <c r="F271" s="3">
        <f t="shared" si="49"/>
        <v>1276900</v>
      </c>
      <c r="G271" s="2">
        <f t="shared" si="50"/>
        <v>0.18115044247787609</v>
      </c>
      <c r="H271" s="9">
        <f t="shared" si="51"/>
        <v>30000</v>
      </c>
      <c r="I271" s="9">
        <f t="shared" si="52"/>
        <v>2076999.9999999998</v>
      </c>
      <c r="L271" s="9">
        <f t="shared" si="53"/>
        <v>16129900</v>
      </c>
      <c r="M271" s="9">
        <f t="shared" si="54"/>
        <v>17725164.835164838</v>
      </c>
      <c r="N271" s="11">
        <f t="shared" si="55"/>
        <v>2077000</v>
      </c>
      <c r="O271" s="12">
        <f t="shared" si="56"/>
        <v>0.11717803582167279</v>
      </c>
      <c r="P271" s="9">
        <f t="shared" si="57"/>
        <v>19202261.904761907</v>
      </c>
      <c r="Q271" s="11">
        <f t="shared" si="58"/>
        <v>2077000.0000000019</v>
      </c>
      <c r="R271" s="12">
        <f t="shared" si="59"/>
        <v>0.10816434075846729</v>
      </c>
    </row>
    <row r="272" spans="1:18" x14ac:dyDescent="0.3">
      <c r="A272" s="1">
        <v>11300001</v>
      </c>
      <c r="B272" s="1">
        <v>11350000</v>
      </c>
      <c r="C272">
        <v>7000</v>
      </c>
      <c r="D272" s="14">
        <v>0.03</v>
      </c>
      <c r="E272" s="3">
        <f t="shared" si="48"/>
        <v>1475500</v>
      </c>
      <c r="F272" s="3">
        <f t="shared" si="49"/>
        <v>1282550</v>
      </c>
      <c r="G272" s="2">
        <f t="shared" si="50"/>
        <v>0.1811453744493392</v>
      </c>
      <c r="H272" s="9">
        <f t="shared" si="51"/>
        <v>30000</v>
      </c>
      <c r="I272" s="9">
        <f t="shared" si="52"/>
        <v>2086000</v>
      </c>
      <c r="L272" s="9">
        <f t="shared" si="53"/>
        <v>16201050</v>
      </c>
      <c r="M272" s="9">
        <f t="shared" si="54"/>
        <v>17803351.648351651</v>
      </c>
      <c r="N272" s="11">
        <f t="shared" si="55"/>
        <v>2086000</v>
      </c>
      <c r="O272" s="12">
        <f t="shared" si="56"/>
        <v>0.11716894892614983</v>
      </c>
      <c r="P272" s="9">
        <f t="shared" si="57"/>
        <v>19286964.285714287</v>
      </c>
      <c r="Q272" s="11">
        <f t="shared" si="58"/>
        <v>2086000</v>
      </c>
      <c r="R272" s="12">
        <f t="shared" si="59"/>
        <v>0.10815595285490755</v>
      </c>
    </row>
    <row r="273" spans="1:18" x14ac:dyDescent="0.3">
      <c r="A273" s="1">
        <v>11350001</v>
      </c>
      <c r="B273" s="1">
        <v>11400000</v>
      </c>
      <c r="C273">
        <v>7000</v>
      </c>
      <c r="D273" s="14">
        <v>0.03</v>
      </c>
      <c r="E273" s="3">
        <f t="shared" si="48"/>
        <v>1482000</v>
      </c>
      <c r="F273" s="3">
        <f t="shared" si="49"/>
        <v>1288200</v>
      </c>
      <c r="G273" s="2">
        <f t="shared" si="50"/>
        <v>0.18114035087719296</v>
      </c>
      <c r="H273" s="9">
        <f t="shared" si="51"/>
        <v>30000</v>
      </c>
      <c r="I273" s="9">
        <f t="shared" si="52"/>
        <v>2094999.9999999998</v>
      </c>
      <c r="L273" s="9">
        <f t="shared" si="53"/>
        <v>16272200</v>
      </c>
      <c r="M273" s="9">
        <f t="shared" si="54"/>
        <v>17881538.461538464</v>
      </c>
      <c r="N273" s="11">
        <f t="shared" si="55"/>
        <v>2095000</v>
      </c>
      <c r="O273" s="12">
        <f t="shared" si="56"/>
        <v>0.117159941495311</v>
      </c>
      <c r="P273" s="9">
        <f t="shared" si="57"/>
        <v>19371666.666666668</v>
      </c>
      <c r="Q273" s="11">
        <f t="shared" si="58"/>
        <v>2095000</v>
      </c>
      <c r="R273" s="12">
        <f t="shared" si="59"/>
        <v>0.10814763830336402</v>
      </c>
    </row>
    <row r="274" spans="1:18" x14ac:dyDescent="0.3">
      <c r="A274" s="1">
        <v>11400001</v>
      </c>
      <c r="B274" s="1">
        <v>11450000</v>
      </c>
      <c r="C274">
        <v>7000</v>
      </c>
      <c r="D274" s="14">
        <v>0.03</v>
      </c>
      <c r="E274" s="3">
        <f t="shared" si="48"/>
        <v>1488500</v>
      </c>
      <c r="F274" s="3">
        <f t="shared" si="49"/>
        <v>1293850</v>
      </c>
      <c r="G274" s="2">
        <f t="shared" si="50"/>
        <v>0.1811353711790393</v>
      </c>
      <c r="H274" s="9">
        <f t="shared" si="51"/>
        <v>30000</v>
      </c>
      <c r="I274" s="9">
        <f t="shared" si="52"/>
        <v>2104000</v>
      </c>
      <c r="L274" s="9">
        <f t="shared" si="53"/>
        <v>16343350</v>
      </c>
      <c r="M274" s="9">
        <f t="shared" si="54"/>
        <v>17959725.274725277</v>
      </c>
      <c r="N274" s="11">
        <f t="shared" si="55"/>
        <v>2104000</v>
      </c>
      <c r="O274" s="12">
        <f t="shared" si="56"/>
        <v>0.11715101249131908</v>
      </c>
      <c r="P274" s="9">
        <f t="shared" si="57"/>
        <v>19456369.047619049</v>
      </c>
      <c r="Q274" s="11">
        <f t="shared" si="58"/>
        <v>2104000</v>
      </c>
      <c r="R274" s="12">
        <f t="shared" si="59"/>
        <v>0.10813939614583301</v>
      </c>
    </row>
    <row r="275" spans="1:18" x14ac:dyDescent="0.3">
      <c r="A275" s="1">
        <v>11450001</v>
      </c>
      <c r="B275" s="1">
        <v>11500000</v>
      </c>
      <c r="C275">
        <v>7000</v>
      </c>
      <c r="D275" s="14">
        <v>0.03</v>
      </c>
      <c r="E275" s="3">
        <f t="shared" si="48"/>
        <v>1495000</v>
      </c>
      <c r="F275" s="3">
        <f t="shared" si="49"/>
        <v>1299500</v>
      </c>
      <c r="G275" s="2">
        <f t="shared" si="50"/>
        <v>0.18113043478260868</v>
      </c>
      <c r="H275" s="9">
        <f t="shared" si="51"/>
        <v>30000</v>
      </c>
      <c r="I275" s="9">
        <f t="shared" si="52"/>
        <v>2113000</v>
      </c>
      <c r="L275" s="9">
        <f t="shared" si="53"/>
        <v>16414500</v>
      </c>
      <c r="M275" s="9">
        <f t="shared" si="54"/>
        <v>18037912.08791209</v>
      </c>
      <c r="N275" s="11">
        <f t="shared" si="55"/>
        <v>2113000</v>
      </c>
      <c r="O275" s="12">
        <f t="shared" si="56"/>
        <v>0.11714216089433122</v>
      </c>
      <c r="P275" s="9">
        <f t="shared" si="57"/>
        <v>19541071.428571429</v>
      </c>
      <c r="Q275" s="11">
        <f t="shared" si="58"/>
        <v>2113000</v>
      </c>
      <c r="R275" s="12">
        <f t="shared" si="59"/>
        <v>0.10813122544092113</v>
      </c>
    </row>
    <row r="276" spans="1:18" x14ac:dyDescent="0.3">
      <c r="A276" s="1">
        <v>11500001</v>
      </c>
      <c r="B276" s="1">
        <v>11550000</v>
      </c>
      <c r="C276">
        <v>7000</v>
      </c>
      <c r="D276" s="14">
        <v>0.03</v>
      </c>
      <c r="E276" s="3">
        <f t="shared" si="48"/>
        <v>1501500</v>
      </c>
      <c r="F276" s="3">
        <f t="shared" si="49"/>
        <v>1305150</v>
      </c>
      <c r="G276" s="2">
        <f t="shared" si="50"/>
        <v>0.18112554112554111</v>
      </c>
      <c r="H276" s="9">
        <f t="shared" si="51"/>
        <v>30000</v>
      </c>
      <c r="I276" s="9">
        <f t="shared" si="52"/>
        <v>2122000</v>
      </c>
      <c r="L276" s="9">
        <f t="shared" si="53"/>
        <v>16485650</v>
      </c>
      <c r="M276" s="9">
        <f t="shared" si="54"/>
        <v>18116098.901098903</v>
      </c>
      <c r="N276" s="11">
        <f t="shared" si="55"/>
        <v>2122000</v>
      </c>
      <c r="O276" s="12">
        <f t="shared" si="56"/>
        <v>0.11713338570211061</v>
      </c>
      <c r="P276" s="9">
        <f t="shared" si="57"/>
        <v>19625773.80952381</v>
      </c>
      <c r="Q276" s="11">
        <f t="shared" si="58"/>
        <v>2122000</v>
      </c>
      <c r="R276" s="12">
        <f t="shared" si="59"/>
        <v>0.10812312526348673</v>
      </c>
    </row>
    <row r="277" spans="1:18" x14ac:dyDescent="0.3">
      <c r="A277" s="1">
        <v>11550001</v>
      </c>
      <c r="B277" s="1">
        <v>11600000</v>
      </c>
      <c r="C277">
        <v>7000</v>
      </c>
      <c r="D277" s="14">
        <v>0.03</v>
      </c>
      <c r="E277" s="3">
        <f t="shared" si="48"/>
        <v>1508000</v>
      </c>
      <c r="F277" s="3">
        <f t="shared" si="49"/>
        <v>1310800</v>
      </c>
      <c r="G277" s="2">
        <f t="shared" si="50"/>
        <v>0.18112068965517242</v>
      </c>
      <c r="H277" s="9">
        <f t="shared" si="51"/>
        <v>30000</v>
      </c>
      <c r="I277" s="9">
        <f t="shared" si="52"/>
        <v>2131000</v>
      </c>
      <c r="L277" s="9">
        <f t="shared" si="53"/>
        <v>16556800</v>
      </c>
      <c r="M277" s="9">
        <f t="shared" si="54"/>
        <v>18194285.714285716</v>
      </c>
      <c r="N277" s="11">
        <f t="shared" si="55"/>
        <v>2131000</v>
      </c>
      <c r="O277" s="12">
        <f t="shared" si="56"/>
        <v>0.11712468592964823</v>
      </c>
      <c r="P277" s="9">
        <f t="shared" si="57"/>
        <v>19710476.19047619</v>
      </c>
      <c r="Q277" s="11">
        <f t="shared" si="58"/>
        <v>2131000</v>
      </c>
      <c r="R277" s="12">
        <f t="shared" si="59"/>
        <v>0.10811509470429069</v>
      </c>
    </row>
    <row r="278" spans="1:18" x14ac:dyDescent="0.3">
      <c r="A278" s="1">
        <v>11600001</v>
      </c>
      <c r="B278" s="1">
        <v>11650000</v>
      </c>
      <c r="C278">
        <v>7000</v>
      </c>
      <c r="D278" s="14">
        <v>0.03</v>
      </c>
      <c r="E278" s="3">
        <f t="shared" si="48"/>
        <v>1514500</v>
      </c>
      <c r="F278" s="3">
        <f t="shared" si="49"/>
        <v>1316450</v>
      </c>
      <c r="G278" s="2">
        <f t="shared" si="50"/>
        <v>0.18111587982832617</v>
      </c>
      <c r="H278" s="9">
        <f t="shared" si="51"/>
        <v>30000</v>
      </c>
      <c r="I278" s="9">
        <f t="shared" si="52"/>
        <v>2140000</v>
      </c>
      <c r="L278" s="9">
        <f t="shared" si="53"/>
        <v>16627950</v>
      </c>
      <c r="M278" s="9">
        <f t="shared" si="54"/>
        <v>18272472.52747253</v>
      </c>
      <c r="N278" s="11">
        <f t="shared" si="55"/>
        <v>2140000</v>
      </c>
      <c r="O278" s="12">
        <f t="shared" si="56"/>
        <v>0.11711606060879422</v>
      </c>
      <c r="P278" s="9">
        <f t="shared" si="57"/>
        <v>19795178.571428571</v>
      </c>
      <c r="Q278" s="11">
        <f t="shared" si="58"/>
        <v>2139999.9999999981</v>
      </c>
      <c r="R278" s="12">
        <f t="shared" si="59"/>
        <v>0.10810713286965612</v>
      </c>
    </row>
    <row r="279" spans="1:18" x14ac:dyDescent="0.3">
      <c r="A279" s="1">
        <v>11650001</v>
      </c>
      <c r="B279" s="1">
        <v>11700000</v>
      </c>
      <c r="C279">
        <v>7000</v>
      </c>
      <c r="D279" s="14">
        <v>0.03</v>
      </c>
      <c r="E279" s="3">
        <f t="shared" si="48"/>
        <v>1521000</v>
      </c>
      <c r="F279" s="3">
        <f t="shared" si="49"/>
        <v>1322100</v>
      </c>
      <c r="G279" s="2">
        <f t="shared" si="50"/>
        <v>0.18111111111111111</v>
      </c>
      <c r="H279" s="9">
        <f t="shared" si="51"/>
        <v>30000</v>
      </c>
      <c r="I279" s="9">
        <f t="shared" si="52"/>
        <v>2149000</v>
      </c>
      <c r="L279" s="9">
        <f t="shared" si="53"/>
        <v>16699100</v>
      </c>
      <c r="M279" s="9">
        <f t="shared" si="54"/>
        <v>18350659.340659343</v>
      </c>
      <c r="N279" s="11">
        <f t="shared" si="55"/>
        <v>2149000</v>
      </c>
      <c r="O279" s="12">
        <f t="shared" si="56"/>
        <v>0.11710750878789873</v>
      </c>
      <c r="P279" s="9">
        <f t="shared" si="57"/>
        <v>19879880.952380951</v>
      </c>
      <c r="Q279" s="11">
        <f t="shared" si="58"/>
        <v>2148999.9999999981</v>
      </c>
      <c r="R279" s="12">
        <f t="shared" si="59"/>
        <v>0.10809923888113722</v>
      </c>
    </row>
    <row r="280" spans="1:18" x14ac:dyDescent="0.3">
      <c r="A280" s="1">
        <v>11700001</v>
      </c>
      <c r="B280" s="1">
        <v>11750000</v>
      </c>
      <c r="C280">
        <v>7000</v>
      </c>
      <c r="D280" s="14">
        <v>0.03</v>
      </c>
      <c r="E280" s="3">
        <f t="shared" si="48"/>
        <v>1527500</v>
      </c>
      <c r="F280" s="3">
        <f t="shared" si="49"/>
        <v>1327750</v>
      </c>
      <c r="G280" s="2">
        <f t="shared" si="50"/>
        <v>0.18110638297872339</v>
      </c>
      <c r="H280" s="9">
        <f t="shared" si="51"/>
        <v>30000</v>
      </c>
      <c r="I280" s="9">
        <f t="shared" si="52"/>
        <v>2158000</v>
      </c>
      <c r="L280" s="9">
        <f t="shared" si="53"/>
        <v>16770250</v>
      </c>
      <c r="M280" s="9">
        <f t="shared" si="54"/>
        <v>18428846.153846156</v>
      </c>
      <c r="N280" s="11">
        <f t="shared" si="55"/>
        <v>2158000</v>
      </c>
      <c r="O280" s="12">
        <f t="shared" si="56"/>
        <v>0.11709902953146195</v>
      </c>
      <c r="P280" s="9">
        <f t="shared" si="57"/>
        <v>19964583.333333336</v>
      </c>
      <c r="Q280" s="11">
        <f t="shared" si="58"/>
        <v>2158000.0000000019</v>
      </c>
      <c r="R280" s="12">
        <f t="shared" si="59"/>
        <v>0.10809141187519573</v>
      </c>
    </row>
    <row r="281" spans="1:18" x14ac:dyDescent="0.3">
      <c r="A281" s="1">
        <v>11750001</v>
      </c>
      <c r="B281" s="1">
        <v>11800000</v>
      </c>
      <c r="C281">
        <v>7000</v>
      </c>
      <c r="D281" s="14">
        <v>0.03</v>
      </c>
      <c r="E281" s="3">
        <f t="shared" si="48"/>
        <v>1534000</v>
      </c>
      <c r="F281" s="3">
        <f t="shared" si="49"/>
        <v>1333400</v>
      </c>
      <c r="G281" s="2">
        <f t="shared" si="50"/>
        <v>0.18110169491525424</v>
      </c>
      <c r="H281" s="9">
        <f t="shared" si="51"/>
        <v>30000</v>
      </c>
      <c r="I281" s="9">
        <f t="shared" si="52"/>
        <v>2167000</v>
      </c>
      <c r="L281" s="9">
        <f t="shared" si="53"/>
        <v>16841400</v>
      </c>
      <c r="M281" s="9">
        <f t="shared" si="54"/>
        <v>18507032.967032969</v>
      </c>
      <c r="N281" s="11">
        <f t="shared" si="55"/>
        <v>2167000</v>
      </c>
      <c r="O281" s="12">
        <f t="shared" si="56"/>
        <v>0.11709062191979287</v>
      </c>
      <c r="P281" s="9">
        <f t="shared" si="57"/>
        <v>20049285.714285716</v>
      </c>
      <c r="Q281" s="11">
        <f t="shared" si="58"/>
        <v>2167000</v>
      </c>
      <c r="R281" s="12">
        <f t="shared" si="59"/>
        <v>0.10808365100288574</v>
      </c>
    </row>
    <row r="282" spans="1:18" x14ac:dyDescent="0.3">
      <c r="A282" s="1">
        <v>11800001</v>
      </c>
      <c r="B282" s="1">
        <v>11850000</v>
      </c>
      <c r="C282">
        <v>7000</v>
      </c>
      <c r="D282" s="14">
        <v>0.03</v>
      </c>
      <c r="E282" s="3">
        <f t="shared" si="48"/>
        <v>1540500</v>
      </c>
      <c r="F282" s="3">
        <f t="shared" si="49"/>
        <v>1339050</v>
      </c>
      <c r="G282" s="2">
        <f t="shared" si="50"/>
        <v>0.18109704641350211</v>
      </c>
      <c r="H282" s="9">
        <f t="shared" si="51"/>
        <v>30000</v>
      </c>
      <c r="I282" s="9">
        <f t="shared" si="52"/>
        <v>2176000</v>
      </c>
      <c r="L282" s="9">
        <f t="shared" si="53"/>
        <v>16912550</v>
      </c>
      <c r="M282" s="9">
        <f t="shared" si="54"/>
        <v>18585219.780219782</v>
      </c>
      <c r="N282" s="11">
        <f t="shared" si="55"/>
        <v>2176000</v>
      </c>
      <c r="O282" s="12">
        <f t="shared" si="56"/>
        <v>0.11708228504867686</v>
      </c>
      <c r="P282" s="9">
        <f t="shared" si="57"/>
        <v>20133988.095238097</v>
      </c>
      <c r="Q282" s="11">
        <f t="shared" si="58"/>
        <v>2176000</v>
      </c>
      <c r="R282" s="12">
        <f t="shared" si="59"/>
        <v>0.10807595542954787</v>
      </c>
    </row>
    <row r="283" spans="1:18" x14ac:dyDescent="0.3">
      <c r="A283" s="1">
        <v>11850001</v>
      </c>
      <c r="B283" s="1">
        <v>11900000</v>
      </c>
      <c r="C283">
        <v>7000</v>
      </c>
      <c r="D283" s="14">
        <v>0.03</v>
      </c>
      <c r="E283" s="3">
        <f t="shared" si="48"/>
        <v>1547000</v>
      </c>
      <c r="F283" s="3">
        <f t="shared" si="49"/>
        <v>1344700</v>
      </c>
      <c r="G283" s="2">
        <f t="shared" si="50"/>
        <v>0.18109243697478991</v>
      </c>
      <c r="H283" s="9">
        <f t="shared" si="51"/>
        <v>30000</v>
      </c>
      <c r="I283" s="9">
        <f t="shared" si="52"/>
        <v>2185000</v>
      </c>
      <c r="L283" s="9">
        <f t="shared" si="53"/>
        <v>16983700</v>
      </c>
      <c r="M283" s="9">
        <f t="shared" si="54"/>
        <v>18663406.593406595</v>
      </c>
      <c r="N283" s="11">
        <f t="shared" si="55"/>
        <v>2185000</v>
      </c>
      <c r="O283" s="12">
        <f t="shared" si="56"/>
        <v>0.11707401802905137</v>
      </c>
      <c r="P283" s="9">
        <f t="shared" si="57"/>
        <v>20218690.476190478</v>
      </c>
      <c r="Q283" s="11">
        <f t="shared" si="58"/>
        <v>2185000</v>
      </c>
      <c r="R283" s="12">
        <f t="shared" si="59"/>
        <v>0.10806832433450897</v>
      </c>
    </row>
    <row r="284" spans="1:18" x14ac:dyDescent="0.3">
      <c r="A284" s="1">
        <v>11900001</v>
      </c>
      <c r="B284" s="1">
        <v>11950000</v>
      </c>
      <c r="C284">
        <v>7000</v>
      </c>
      <c r="D284" s="14">
        <v>0.03</v>
      </c>
      <c r="E284" s="3">
        <f t="shared" si="48"/>
        <v>1553500</v>
      </c>
      <c r="F284" s="3">
        <f t="shared" si="49"/>
        <v>1350350</v>
      </c>
      <c r="G284" s="2">
        <f t="shared" si="50"/>
        <v>0.1810878661087866</v>
      </c>
      <c r="H284" s="9">
        <f t="shared" si="51"/>
        <v>30000</v>
      </c>
      <c r="I284" s="9">
        <f t="shared" si="52"/>
        <v>2194000</v>
      </c>
      <c r="L284" s="9">
        <f t="shared" si="53"/>
        <v>17054850</v>
      </c>
      <c r="M284" s="9">
        <f t="shared" si="54"/>
        <v>18741593.406593408</v>
      </c>
      <c r="N284" s="11">
        <f t="shared" si="55"/>
        <v>2194000</v>
      </c>
      <c r="O284" s="12">
        <f t="shared" si="56"/>
        <v>0.11706581998669</v>
      </c>
      <c r="P284" s="9">
        <f t="shared" si="57"/>
        <v>20303392.857142858</v>
      </c>
      <c r="Q284" s="11">
        <f t="shared" si="58"/>
        <v>2194000</v>
      </c>
      <c r="R284" s="12">
        <f t="shared" si="59"/>
        <v>0.10806075691079077</v>
      </c>
    </row>
    <row r="285" spans="1:18" x14ac:dyDescent="0.3">
      <c r="A285" s="1">
        <v>11950001</v>
      </c>
      <c r="B285" s="1">
        <v>12000000</v>
      </c>
      <c r="C285">
        <v>7000</v>
      </c>
      <c r="D285" s="14">
        <v>0.03</v>
      </c>
      <c r="E285" s="3">
        <f t="shared" si="48"/>
        <v>1560000</v>
      </c>
      <c r="F285" s="3">
        <f t="shared" si="49"/>
        <v>1356000</v>
      </c>
      <c r="G285" s="2">
        <f t="shared" si="50"/>
        <v>0.18108333333333332</v>
      </c>
      <c r="H285" s="9">
        <f t="shared" si="51"/>
        <v>30000</v>
      </c>
      <c r="I285" s="9">
        <f t="shared" si="52"/>
        <v>2203000</v>
      </c>
      <c r="L285" s="9">
        <f t="shared" si="53"/>
        <v>17126000</v>
      </c>
      <c r="M285" s="9">
        <f t="shared" si="54"/>
        <v>18819780.219780222</v>
      </c>
      <c r="N285" s="11">
        <f t="shared" si="55"/>
        <v>2203000</v>
      </c>
      <c r="O285" s="12">
        <f t="shared" si="56"/>
        <v>0.11705769006189419</v>
      </c>
      <c r="P285" s="9">
        <f t="shared" si="57"/>
        <v>20388095.238095239</v>
      </c>
      <c r="Q285" s="11">
        <f t="shared" si="58"/>
        <v>2203000</v>
      </c>
      <c r="R285" s="12">
        <f t="shared" si="59"/>
        <v>0.10805325236482541</v>
      </c>
    </row>
    <row r="286" spans="1:18" x14ac:dyDescent="0.3">
      <c r="A286" s="1">
        <v>12000001</v>
      </c>
      <c r="B286" s="1">
        <v>12050000</v>
      </c>
      <c r="C286">
        <v>7000</v>
      </c>
      <c r="D286" s="14">
        <v>0.03</v>
      </c>
      <c r="E286" s="3">
        <f t="shared" si="48"/>
        <v>1566500</v>
      </c>
      <c r="F286" s="3">
        <f t="shared" si="49"/>
        <v>1361650</v>
      </c>
      <c r="G286" s="2">
        <f t="shared" si="50"/>
        <v>0.18107883817427387</v>
      </c>
      <c r="H286" s="9">
        <f t="shared" si="51"/>
        <v>30000</v>
      </c>
      <c r="I286" s="9">
        <f t="shared" si="52"/>
        <v>2212000</v>
      </c>
      <c r="L286" s="9">
        <f t="shared" si="53"/>
        <v>17197150</v>
      </c>
      <c r="M286" s="9">
        <f t="shared" si="54"/>
        <v>18897967.032967035</v>
      </c>
      <c r="N286" s="11">
        <f t="shared" si="55"/>
        <v>2212000</v>
      </c>
      <c r="O286" s="12">
        <f t="shared" si="56"/>
        <v>0.11704962740919279</v>
      </c>
      <c r="P286" s="9">
        <f t="shared" si="57"/>
        <v>20472797.619047619</v>
      </c>
      <c r="Q286" s="11">
        <f t="shared" si="58"/>
        <v>2212000</v>
      </c>
      <c r="R286" s="12">
        <f t="shared" si="59"/>
        <v>0.10804580991617797</v>
      </c>
    </row>
    <row r="287" spans="1:18" x14ac:dyDescent="0.3">
      <c r="A287" s="1">
        <v>12050001</v>
      </c>
      <c r="B287" s="1">
        <v>12100000</v>
      </c>
      <c r="C287">
        <v>7000</v>
      </c>
      <c r="D287" s="14">
        <v>0.03</v>
      </c>
      <c r="E287" s="3">
        <f t="shared" si="48"/>
        <v>1573000</v>
      </c>
      <c r="F287" s="3">
        <f t="shared" si="49"/>
        <v>1367300</v>
      </c>
      <c r="G287" s="2">
        <f t="shared" si="50"/>
        <v>0.18107438016528926</v>
      </c>
      <c r="H287" s="9">
        <f t="shared" si="51"/>
        <v>30000</v>
      </c>
      <c r="I287" s="9">
        <f t="shared" si="52"/>
        <v>2221000</v>
      </c>
      <c r="L287" s="9">
        <f t="shared" si="53"/>
        <v>17268300</v>
      </c>
      <c r="M287" s="9">
        <f t="shared" si="54"/>
        <v>18976153.846153848</v>
      </c>
      <c r="N287" s="11">
        <f t="shared" si="55"/>
        <v>2221000</v>
      </c>
      <c r="O287" s="12">
        <f t="shared" si="56"/>
        <v>0.11704163119704891</v>
      </c>
      <c r="P287" s="9">
        <f t="shared" si="57"/>
        <v>20557500</v>
      </c>
      <c r="Q287" s="11">
        <f t="shared" si="58"/>
        <v>2221000</v>
      </c>
      <c r="R287" s="12">
        <f t="shared" si="59"/>
        <v>0.10803842879727593</v>
      </c>
    </row>
    <row r="288" spans="1:18" x14ac:dyDescent="0.3">
      <c r="A288" s="1">
        <v>12100001</v>
      </c>
      <c r="B288" s="1">
        <v>12150000</v>
      </c>
      <c r="C288">
        <v>7000</v>
      </c>
      <c r="D288" s="14">
        <v>0.03</v>
      </c>
      <c r="E288" s="3">
        <f t="shared" si="48"/>
        <v>1579500</v>
      </c>
      <c r="F288" s="3">
        <f t="shared" si="49"/>
        <v>1372950</v>
      </c>
      <c r="G288" s="2">
        <f t="shared" si="50"/>
        <v>0.18106995884773661</v>
      </c>
      <c r="H288" s="9">
        <f t="shared" si="51"/>
        <v>30000</v>
      </c>
      <c r="I288" s="9">
        <f t="shared" si="52"/>
        <v>2229999.9999999995</v>
      </c>
      <c r="L288" s="9">
        <f t="shared" si="53"/>
        <v>17339450</v>
      </c>
      <c r="M288" s="9">
        <f t="shared" si="54"/>
        <v>19054340.659340661</v>
      </c>
      <c r="N288" s="11">
        <f t="shared" si="55"/>
        <v>2230000</v>
      </c>
      <c r="O288" s="12">
        <f t="shared" si="56"/>
        <v>0.11703370060757405</v>
      </c>
      <c r="P288" s="9">
        <f t="shared" si="57"/>
        <v>20642202.380952381</v>
      </c>
      <c r="Q288" s="11">
        <f t="shared" si="58"/>
        <v>2230000</v>
      </c>
      <c r="R288" s="12">
        <f t="shared" si="59"/>
        <v>0.10803110825314528</v>
      </c>
    </row>
    <row r="289" spans="1:18" x14ac:dyDescent="0.3">
      <c r="A289" s="1">
        <v>12150001</v>
      </c>
      <c r="B289" s="1">
        <v>12200000</v>
      </c>
      <c r="C289">
        <v>7000</v>
      </c>
      <c r="D289" s="14">
        <v>0.03</v>
      </c>
      <c r="E289" s="3">
        <f t="shared" ref="E289:E352" si="60">B289*13%</f>
        <v>1586000</v>
      </c>
      <c r="F289" s="3">
        <f t="shared" ref="F289:F352" si="61">(B289+E289)*10%</f>
        <v>1378600</v>
      </c>
      <c r="G289" s="2">
        <f t="shared" si="50"/>
        <v>0.18106557377049179</v>
      </c>
      <c r="H289" s="9">
        <f t="shared" si="51"/>
        <v>30000</v>
      </c>
      <c r="I289" s="9">
        <f t="shared" si="52"/>
        <v>2239000</v>
      </c>
      <c r="L289" s="9">
        <f t="shared" si="53"/>
        <v>17410600</v>
      </c>
      <c r="M289" s="9">
        <f t="shared" si="54"/>
        <v>19132527.472527474</v>
      </c>
      <c r="N289" s="11">
        <f t="shared" si="55"/>
        <v>2239000</v>
      </c>
      <c r="O289" s="12">
        <f t="shared" si="56"/>
        <v>0.11702583483624918</v>
      </c>
      <c r="P289" s="9">
        <f t="shared" si="57"/>
        <v>20726904.761904761</v>
      </c>
      <c r="Q289" s="11">
        <f t="shared" si="58"/>
        <v>2239000</v>
      </c>
      <c r="R289" s="12">
        <f t="shared" si="59"/>
        <v>0.1080238475411531</v>
      </c>
    </row>
    <row r="290" spans="1:18" x14ac:dyDescent="0.3">
      <c r="A290" s="1">
        <v>12200001</v>
      </c>
      <c r="B290" s="1">
        <v>12250000</v>
      </c>
      <c r="C290">
        <v>7000</v>
      </c>
      <c r="D290" s="14">
        <v>0.03</v>
      </c>
      <c r="E290" s="3">
        <f t="shared" si="60"/>
        <v>1592500</v>
      </c>
      <c r="F290" s="3">
        <f t="shared" si="61"/>
        <v>1384250</v>
      </c>
      <c r="G290" s="2">
        <f t="shared" si="50"/>
        <v>0.18106122448979592</v>
      </c>
      <c r="H290" s="9">
        <f t="shared" si="51"/>
        <v>30000</v>
      </c>
      <c r="I290" s="9">
        <f t="shared" si="52"/>
        <v>2248000</v>
      </c>
      <c r="L290" s="9">
        <f t="shared" si="53"/>
        <v>17481750</v>
      </c>
      <c r="M290" s="9">
        <f t="shared" si="54"/>
        <v>19210714.285714287</v>
      </c>
      <c r="N290" s="11">
        <f t="shared" si="55"/>
        <v>2248000</v>
      </c>
      <c r="O290" s="12">
        <f t="shared" si="56"/>
        <v>0.11701803309165272</v>
      </c>
      <c r="P290" s="9">
        <f t="shared" si="57"/>
        <v>20811607.142857142</v>
      </c>
      <c r="Q290" s="11">
        <f t="shared" si="58"/>
        <v>2248000</v>
      </c>
      <c r="R290" s="12">
        <f t="shared" si="59"/>
        <v>0.10801664593075637</v>
      </c>
    </row>
    <row r="291" spans="1:18" x14ac:dyDescent="0.3">
      <c r="A291" s="1">
        <v>12250001</v>
      </c>
      <c r="B291" s="1">
        <v>12300000</v>
      </c>
      <c r="C291">
        <v>7000</v>
      </c>
      <c r="D291" s="14">
        <v>0.03</v>
      </c>
      <c r="E291" s="3">
        <f t="shared" si="60"/>
        <v>1599000</v>
      </c>
      <c r="F291" s="3">
        <f t="shared" si="61"/>
        <v>1389900</v>
      </c>
      <c r="G291" s="2">
        <f t="shared" si="50"/>
        <v>0.18105691056910569</v>
      </c>
      <c r="H291" s="9">
        <f t="shared" si="51"/>
        <v>30000</v>
      </c>
      <c r="I291" s="9">
        <f t="shared" si="52"/>
        <v>2257000</v>
      </c>
      <c r="L291" s="9">
        <f t="shared" si="53"/>
        <v>17552900</v>
      </c>
      <c r="M291" s="9">
        <f t="shared" si="54"/>
        <v>19288901.0989011</v>
      </c>
      <c r="N291" s="11">
        <f t="shared" si="55"/>
        <v>2257000</v>
      </c>
      <c r="O291" s="12">
        <f t="shared" si="56"/>
        <v>0.11701029459519509</v>
      </c>
      <c r="P291" s="9">
        <f t="shared" si="57"/>
        <v>20896309.523809526</v>
      </c>
      <c r="Q291" s="11">
        <f t="shared" si="58"/>
        <v>2257000</v>
      </c>
      <c r="R291" s="12">
        <f t="shared" si="59"/>
        <v>0.108009502703257</v>
      </c>
    </row>
    <row r="292" spans="1:18" x14ac:dyDescent="0.3">
      <c r="A292" s="1">
        <v>12300001</v>
      </c>
      <c r="B292" s="1">
        <v>12350000</v>
      </c>
      <c r="C292">
        <v>7000</v>
      </c>
      <c r="D292" s="14">
        <v>0.03</v>
      </c>
      <c r="E292" s="3">
        <f t="shared" si="60"/>
        <v>1605500</v>
      </c>
      <c r="F292" s="3">
        <f t="shared" si="61"/>
        <v>1395550</v>
      </c>
      <c r="G292" s="2">
        <f t="shared" si="50"/>
        <v>0.18105263157894735</v>
      </c>
      <c r="H292" s="9">
        <f t="shared" si="51"/>
        <v>30000</v>
      </c>
      <c r="I292" s="9">
        <f t="shared" si="52"/>
        <v>2266000</v>
      </c>
      <c r="L292" s="9">
        <f t="shared" si="53"/>
        <v>17624050</v>
      </c>
      <c r="M292" s="9">
        <f t="shared" si="54"/>
        <v>19367087.912087914</v>
      </c>
      <c r="N292" s="11">
        <f t="shared" si="55"/>
        <v>2266000</v>
      </c>
      <c r="O292" s="12">
        <f t="shared" si="56"/>
        <v>0.11700261858085967</v>
      </c>
      <c r="P292" s="9">
        <f t="shared" si="57"/>
        <v>20981011.904761907</v>
      </c>
      <c r="Q292" s="11">
        <f t="shared" si="58"/>
        <v>2266000</v>
      </c>
      <c r="R292" s="12">
        <f t="shared" si="59"/>
        <v>0.10800241715156277</v>
      </c>
    </row>
    <row r="293" spans="1:18" x14ac:dyDescent="0.3">
      <c r="A293" s="1">
        <v>12350001</v>
      </c>
      <c r="B293" s="1">
        <v>12400000</v>
      </c>
      <c r="C293">
        <v>7000</v>
      </c>
      <c r="D293" s="14">
        <v>0.03</v>
      </c>
      <c r="E293" s="3">
        <f t="shared" si="60"/>
        <v>1612000</v>
      </c>
      <c r="F293" s="3">
        <f t="shared" si="61"/>
        <v>1401200</v>
      </c>
      <c r="G293" s="2">
        <f t="shared" si="50"/>
        <v>0.18104838709677418</v>
      </c>
      <c r="H293" s="9">
        <f t="shared" si="51"/>
        <v>30000</v>
      </c>
      <c r="I293" s="9">
        <f t="shared" si="52"/>
        <v>2275000</v>
      </c>
      <c r="L293" s="9">
        <f t="shared" si="53"/>
        <v>17695200</v>
      </c>
      <c r="M293" s="9">
        <f t="shared" si="54"/>
        <v>19445274.725274727</v>
      </c>
      <c r="N293" s="11">
        <f t="shared" si="55"/>
        <v>2275000</v>
      </c>
      <c r="O293" s="12">
        <f t="shared" si="56"/>
        <v>0.11699500429495004</v>
      </c>
      <c r="P293" s="9">
        <f t="shared" si="57"/>
        <v>21065714.285714287</v>
      </c>
      <c r="Q293" s="11">
        <f t="shared" si="58"/>
        <v>2275000</v>
      </c>
      <c r="R293" s="12">
        <f t="shared" si="59"/>
        <v>0.10799538857995387</v>
      </c>
    </row>
    <row r="294" spans="1:18" x14ac:dyDescent="0.3">
      <c r="A294" s="1">
        <v>12400001</v>
      </c>
      <c r="B294" s="1">
        <v>12450000</v>
      </c>
      <c r="C294">
        <v>7000</v>
      </c>
      <c r="D294" s="14">
        <v>0.03</v>
      </c>
      <c r="E294" s="3">
        <f t="shared" si="60"/>
        <v>1618500</v>
      </c>
      <c r="F294" s="3">
        <f t="shared" si="61"/>
        <v>1406850</v>
      </c>
      <c r="G294" s="2">
        <f t="shared" si="50"/>
        <v>0.18104417670682729</v>
      </c>
      <c r="H294" s="9">
        <f t="shared" si="51"/>
        <v>30000</v>
      </c>
      <c r="I294" s="9">
        <f t="shared" si="52"/>
        <v>2284000</v>
      </c>
      <c r="L294" s="9">
        <f t="shared" si="53"/>
        <v>17766350</v>
      </c>
      <c r="M294" s="9">
        <f t="shared" si="54"/>
        <v>19523461.53846154</v>
      </c>
      <c r="N294" s="11">
        <f t="shared" si="55"/>
        <v>2284000</v>
      </c>
      <c r="O294" s="12">
        <f t="shared" si="56"/>
        <v>0.11698745099584326</v>
      </c>
      <c r="P294" s="9">
        <f t="shared" si="57"/>
        <v>21150416.666666668</v>
      </c>
      <c r="Q294" s="11">
        <f t="shared" si="58"/>
        <v>2284000</v>
      </c>
      <c r="R294" s="12">
        <f t="shared" si="59"/>
        <v>0.10798841630385532</v>
      </c>
    </row>
    <row r="295" spans="1:18" x14ac:dyDescent="0.3">
      <c r="A295" s="1">
        <v>12450001</v>
      </c>
      <c r="B295" s="1">
        <v>12500000</v>
      </c>
      <c r="C295">
        <v>7000</v>
      </c>
      <c r="D295" s="14">
        <v>0.03</v>
      </c>
      <c r="E295" s="3">
        <f t="shared" si="60"/>
        <v>1625000</v>
      </c>
      <c r="F295" s="3">
        <f t="shared" si="61"/>
        <v>1412500</v>
      </c>
      <c r="G295" s="2">
        <f t="shared" si="50"/>
        <v>0.18104000000000001</v>
      </c>
      <c r="H295" s="9">
        <f t="shared" si="51"/>
        <v>30000</v>
      </c>
      <c r="I295" s="9">
        <f t="shared" si="52"/>
        <v>2293000</v>
      </c>
      <c r="L295" s="9">
        <f t="shared" si="53"/>
        <v>17837500</v>
      </c>
      <c r="M295" s="9">
        <f t="shared" si="54"/>
        <v>19601648.351648353</v>
      </c>
      <c r="N295" s="11">
        <f t="shared" si="55"/>
        <v>2293000</v>
      </c>
      <c r="O295" s="12">
        <f t="shared" si="56"/>
        <v>0.11697995795374912</v>
      </c>
      <c r="P295" s="9">
        <f t="shared" si="57"/>
        <v>21235119.047619049</v>
      </c>
      <c r="Q295" s="11">
        <f t="shared" si="58"/>
        <v>2293000</v>
      </c>
      <c r="R295" s="12">
        <f t="shared" si="59"/>
        <v>0.10798149964961457</v>
      </c>
    </row>
    <row r="296" spans="1:18" x14ac:dyDescent="0.3">
      <c r="A296" s="1">
        <v>12500001</v>
      </c>
      <c r="B296" s="1">
        <v>12550000</v>
      </c>
      <c r="C296">
        <v>7000</v>
      </c>
      <c r="D296" s="14">
        <v>0.03</v>
      </c>
      <c r="E296" s="3">
        <f t="shared" si="60"/>
        <v>1631500</v>
      </c>
      <c r="F296" s="3">
        <f t="shared" si="61"/>
        <v>1418150</v>
      </c>
      <c r="G296" s="2">
        <f t="shared" si="50"/>
        <v>0.18103585657370516</v>
      </c>
      <c r="H296" s="9">
        <f t="shared" si="51"/>
        <v>30000</v>
      </c>
      <c r="I296" s="9">
        <f t="shared" si="52"/>
        <v>2302000</v>
      </c>
      <c r="L296" s="9">
        <f t="shared" si="53"/>
        <v>17908650</v>
      </c>
      <c r="M296" s="9">
        <f t="shared" si="54"/>
        <v>19679835.164835166</v>
      </c>
      <c r="N296" s="11">
        <f t="shared" si="55"/>
        <v>2302000</v>
      </c>
      <c r="O296" s="12">
        <f t="shared" si="56"/>
        <v>0.11697252445047504</v>
      </c>
      <c r="P296" s="9">
        <f t="shared" si="57"/>
        <v>21319821.428571429</v>
      </c>
      <c r="Q296" s="11">
        <f t="shared" si="58"/>
        <v>2302000</v>
      </c>
      <c r="R296" s="12">
        <f t="shared" si="59"/>
        <v>0.10797463795428466</v>
      </c>
    </row>
    <row r="297" spans="1:18" x14ac:dyDescent="0.3">
      <c r="A297" s="1">
        <v>12550001</v>
      </c>
      <c r="B297" s="1">
        <v>12600000</v>
      </c>
      <c r="C297">
        <v>7000</v>
      </c>
      <c r="D297" s="14">
        <v>0.03</v>
      </c>
      <c r="E297" s="3">
        <f t="shared" si="60"/>
        <v>1638000</v>
      </c>
      <c r="F297" s="3">
        <f t="shared" si="61"/>
        <v>1423800</v>
      </c>
      <c r="G297" s="2">
        <f t="shared" si="50"/>
        <v>0.18103174603174602</v>
      </c>
      <c r="H297" s="9">
        <f t="shared" si="51"/>
        <v>30000</v>
      </c>
      <c r="I297" s="9">
        <f t="shared" si="52"/>
        <v>2311000</v>
      </c>
      <c r="L297" s="9">
        <f t="shared" si="53"/>
        <v>17979800</v>
      </c>
      <c r="M297" s="9">
        <f t="shared" si="54"/>
        <v>19758021.978021979</v>
      </c>
      <c r="N297" s="11">
        <f t="shared" si="55"/>
        <v>2311000</v>
      </c>
      <c r="O297" s="12">
        <f t="shared" si="56"/>
        <v>0.11696514977919664</v>
      </c>
      <c r="P297" s="9">
        <f t="shared" si="57"/>
        <v>21404523.80952381</v>
      </c>
      <c r="Q297" s="11">
        <f t="shared" si="58"/>
        <v>2311000</v>
      </c>
      <c r="R297" s="12">
        <f t="shared" si="59"/>
        <v>0.1079678305654123</v>
      </c>
    </row>
    <row r="298" spans="1:18" x14ac:dyDescent="0.3">
      <c r="A298" s="1">
        <v>12600001</v>
      </c>
      <c r="B298" s="1">
        <v>12650000</v>
      </c>
      <c r="C298">
        <v>7000</v>
      </c>
      <c r="D298" s="14">
        <v>0.03</v>
      </c>
      <c r="E298" s="3">
        <f t="shared" si="60"/>
        <v>1644500</v>
      </c>
      <c r="F298" s="3">
        <f t="shared" si="61"/>
        <v>1429450</v>
      </c>
      <c r="G298" s="2">
        <f t="shared" si="50"/>
        <v>0.18102766798418971</v>
      </c>
      <c r="H298" s="9">
        <f t="shared" si="51"/>
        <v>30000</v>
      </c>
      <c r="I298" s="9">
        <f t="shared" si="52"/>
        <v>2320000</v>
      </c>
      <c r="L298" s="9">
        <f t="shared" si="53"/>
        <v>18050950</v>
      </c>
      <c r="M298" s="9">
        <f t="shared" si="54"/>
        <v>19836208.791208792</v>
      </c>
      <c r="N298" s="11">
        <f t="shared" si="55"/>
        <v>2320000</v>
      </c>
      <c r="O298" s="12">
        <f t="shared" si="56"/>
        <v>0.11695783324423367</v>
      </c>
      <c r="P298" s="9">
        <f t="shared" si="57"/>
        <v>21489226.19047619</v>
      </c>
      <c r="Q298" s="11">
        <f t="shared" si="58"/>
        <v>2320000</v>
      </c>
      <c r="R298" s="12">
        <f t="shared" si="59"/>
        <v>0.10796107684083109</v>
      </c>
    </row>
    <row r="299" spans="1:18" x14ac:dyDescent="0.3">
      <c r="A299" s="1">
        <v>12650001</v>
      </c>
      <c r="B299" s="1">
        <v>12700000</v>
      </c>
      <c r="C299">
        <v>7000</v>
      </c>
      <c r="D299" s="14">
        <v>0.03</v>
      </c>
      <c r="E299" s="3">
        <f t="shared" si="60"/>
        <v>1651000</v>
      </c>
      <c r="F299" s="3">
        <f t="shared" si="61"/>
        <v>1435100</v>
      </c>
      <c r="G299" s="2">
        <f t="shared" si="50"/>
        <v>0.18102362204724409</v>
      </c>
      <c r="H299" s="9">
        <f t="shared" si="51"/>
        <v>30000</v>
      </c>
      <c r="I299" s="9">
        <f t="shared" si="52"/>
        <v>2329000</v>
      </c>
      <c r="L299" s="9">
        <f t="shared" si="53"/>
        <v>18122100</v>
      </c>
      <c r="M299" s="9">
        <f t="shared" si="54"/>
        <v>19914395.604395606</v>
      </c>
      <c r="N299" s="11">
        <f t="shared" si="55"/>
        <v>2329000</v>
      </c>
      <c r="O299" s="12">
        <f t="shared" si="56"/>
        <v>0.11695057416083124</v>
      </c>
      <c r="P299" s="9">
        <f t="shared" si="57"/>
        <v>21573928.571428571</v>
      </c>
      <c r="Q299" s="11">
        <f t="shared" si="58"/>
        <v>2329000</v>
      </c>
      <c r="R299" s="12">
        <f t="shared" si="59"/>
        <v>0.10795437614845962</v>
      </c>
    </row>
    <row r="300" spans="1:18" x14ac:dyDescent="0.3">
      <c r="A300" s="1">
        <v>12700001</v>
      </c>
      <c r="B300" s="1">
        <v>12750000</v>
      </c>
      <c r="C300">
        <v>7000</v>
      </c>
      <c r="D300" s="14">
        <v>0.03</v>
      </c>
      <c r="E300" s="3">
        <f t="shared" si="60"/>
        <v>1657500</v>
      </c>
      <c r="F300" s="3">
        <f t="shared" si="61"/>
        <v>1440750</v>
      </c>
      <c r="G300" s="2">
        <f t="shared" si="50"/>
        <v>0.18101960784313725</v>
      </c>
      <c r="H300" s="9">
        <f t="shared" si="51"/>
        <v>30000</v>
      </c>
      <c r="I300" s="9">
        <f t="shared" si="52"/>
        <v>2338000</v>
      </c>
      <c r="L300" s="9">
        <f t="shared" si="53"/>
        <v>18193250</v>
      </c>
      <c r="M300" s="9">
        <f t="shared" si="54"/>
        <v>19992582.417582419</v>
      </c>
      <c r="N300" s="11">
        <f t="shared" si="55"/>
        <v>2338000</v>
      </c>
      <c r="O300" s="12">
        <f t="shared" si="56"/>
        <v>0.1169433718549462</v>
      </c>
      <c r="P300" s="9">
        <f t="shared" si="57"/>
        <v>21658630.952380951</v>
      </c>
      <c r="Q300" s="11">
        <f t="shared" si="58"/>
        <v>2338000</v>
      </c>
      <c r="R300" s="12">
        <f t="shared" si="59"/>
        <v>0.1079477278661042</v>
      </c>
    </row>
    <row r="301" spans="1:18" x14ac:dyDescent="0.3">
      <c r="A301" s="1">
        <v>12750001</v>
      </c>
      <c r="B301" s="1">
        <v>12800000</v>
      </c>
      <c r="C301">
        <v>7000</v>
      </c>
      <c r="D301" s="14">
        <v>0.03</v>
      </c>
      <c r="E301" s="3">
        <f t="shared" si="60"/>
        <v>1664000</v>
      </c>
      <c r="F301" s="3">
        <f t="shared" si="61"/>
        <v>1446400</v>
      </c>
      <c r="G301" s="2">
        <f t="shared" si="50"/>
        <v>0.18101562499999999</v>
      </c>
      <c r="H301" s="9">
        <f t="shared" si="51"/>
        <v>30000</v>
      </c>
      <c r="I301" s="9">
        <f t="shared" si="52"/>
        <v>2347000</v>
      </c>
      <c r="L301" s="9">
        <f t="shared" si="53"/>
        <v>18264400</v>
      </c>
      <c r="M301" s="9">
        <f t="shared" si="54"/>
        <v>20070769.230769232</v>
      </c>
      <c r="N301" s="11">
        <f t="shared" si="55"/>
        <v>2347000</v>
      </c>
      <c r="O301" s="12">
        <f t="shared" si="56"/>
        <v>0.11693622566303848</v>
      </c>
      <c r="P301" s="9">
        <f t="shared" si="57"/>
        <v>21743333.333333336</v>
      </c>
      <c r="Q301" s="11">
        <f t="shared" si="58"/>
        <v>2347000</v>
      </c>
      <c r="R301" s="12">
        <f t="shared" si="59"/>
        <v>0.10794113138126628</v>
      </c>
    </row>
    <row r="302" spans="1:18" x14ac:dyDescent="0.3">
      <c r="A302" s="1">
        <v>12800001</v>
      </c>
      <c r="B302" s="1">
        <v>12850000</v>
      </c>
      <c r="C302">
        <v>7000</v>
      </c>
      <c r="D302" s="14">
        <v>0.03</v>
      </c>
      <c r="E302" s="3">
        <f t="shared" si="60"/>
        <v>1670500</v>
      </c>
      <c r="F302" s="3">
        <f t="shared" si="61"/>
        <v>1452050</v>
      </c>
      <c r="G302" s="2">
        <f t="shared" si="50"/>
        <v>0.18101167315175096</v>
      </c>
      <c r="H302" s="9">
        <f t="shared" si="51"/>
        <v>30000</v>
      </c>
      <c r="I302" s="9">
        <f t="shared" si="52"/>
        <v>2356000</v>
      </c>
      <c r="L302" s="9">
        <f t="shared" si="53"/>
        <v>18335550</v>
      </c>
      <c r="M302" s="9">
        <f t="shared" si="54"/>
        <v>20148956.043956045</v>
      </c>
      <c r="N302" s="11">
        <f t="shared" si="55"/>
        <v>2356000</v>
      </c>
      <c r="O302" s="12">
        <f t="shared" si="56"/>
        <v>0.11692913493186732</v>
      </c>
      <c r="P302" s="9">
        <f t="shared" si="57"/>
        <v>21828035.714285716</v>
      </c>
      <c r="Q302" s="11">
        <f t="shared" si="58"/>
        <v>2356000</v>
      </c>
      <c r="R302" s="12">
        <f t="shared" si="59"/>
        <v>0.10793458609095445</v>
      </c>
    </row>
    <row r="303" spans="1:18" x14ac:dyDescent="0.3">
      <c r="A303" s="1">
        <v>12850001</v>
      </c>
      <c r="B303" s="1">
        <v>12900000</v>
      </c>
      <c r="C303">
        <v>7000</v>
      </c>
      <c r="D303" s="14">
        <v>0.03</v>
      </c>
      <c r="E303" s="3">
        <f t="shared" si="60"/>
        <v>1677000</v>
      </c>
      <c r="F303" s="3">
        <f t="shared" si="61"/>
        <v>1457700</v>
      </c>
      <c r="G303" s="2">
        <f t="shared" si="50"/>
        <v>0.18100775193798449</v>
      </c>
      <c r="H303" s="9">
        <f t="shared" si="51"/>
        <v>30000</v>
      </c>
      <c r="I303" s="9">
        <f t="shared" si="52"/>
        <v>2365000</v>
      </c>
      <c r="L303" s="9">
        <f t="shared" si="53"/>
        <v>18406700</v>
      </c>
      <c r="M303" s="9">
        <f t="shared" si="54"/>
        <v>20227142.857142858</v>
      </c>
      <c r="N303" s="11">
        <f t="shared" si="55"/>
        <v>2365000</v>
      </c>
      <c r="O303" s="12">
        <f t="shared" si="56"/>
        <v>0.11692209901829224</v>
      </c>
      <c r="P303" s="9">
        <f t="shared" si="57"/>
        <v>21912738.095238097</v>
      </c>
      <c r="Q303" s="11">
        <f t="shared" si="58"/>
        <v>2365000</v>
      </c>
      <c r="R303" s="12">
        <f t="shared" si="59"/>
        <v>0.10792809140150053</v>
      </c>
    </row>
    <row r="304" spans="1:18" x14ac:dyDescent="0.3">
      <c r="A304" s="1">
        <v>12900001</v>
      </c>
      <c r="B304" s="1">
        <v>12950000</v>
      </c>
      <c r="C304">
        <v>7000</v>
      </c>
      <c r="D304" s="14">
        <v>0.03</v>
      </c>
      <c r="E304" s="3">
        <f t="shared" si="60"/>
        <v>1683500</v>
      </c>
      <c r="F304" s="3">
        <f t="shared" si="61"/>
        <v>1463350</v>
      </c>
      <c r="G304" s="2">
        <f t="shared" si="50"/>
        <v>0.18100386100386101</v>
      </c>
      <c r="H304" s="9">
        <f t="shared" si="51"/>
        <v>30000</v>
      </c>
      <c r="I304" s="9">
        <f t="shared" si="52"/>
        <v>2374000</v>
      </c>
      <c r="L304" s="9">
        <f t="shared" si="53"/>
        <v>18477850</v>
      </c>
      <c r="M304" s="9">
        <f t="shared" si="54"/>
        <v>20305329.670329671</v>
      </c>
      <c r="N304" s="11">
        <f t="shared" si="55"/>
        <v>2374000</v>
      </c>
      <c r="O304" s="12">
        <f t="shared" si="56"/>
        <v>0.11691511728907854</v>
      </c>
      <c r="P304" s="9">
        <f t="shared" si="57"/>
        <v>21997440.476190478</v>
      </c>
      <c r="Q304" s="11">
        <f t="shared" si="58"/>
        <v>2374000</v>
      </c>
      <c r="R304" s="12">
        <f t="shared" si="59"/>
        <v>0.10792164672838019</v>
      </c>
    </row>
    <row r="305" spans="1:18" x14ac:dyDescent="0.3">
      <c r="A305" s="1">
        <v>12950001</v>
      </c>
      <c r="B305" s="1">
        <v>13000000</v>
      </c>
      <c r="C305">
        <v>7000</v>
      </c>
      <c r="D305" s="14">
        <v>0.03</v>
      </c>
      <c r="E305" s="3">
        <f t="shared" si="60"/>
        <v>1690000</v>
      </c>
      <c r="F305" s="3">
        <f t="shared" si="61"/>
        <v>1469000</v>
      </c>
      <c r="G305" s="2">
        <f t="shared" si="50"/>
        <v>0.18099999999999999</v>
      </c>
      <c r="H305" s="9">
        <f t="shared" si="51"/>
        <v>30000</v>
      </c>
      <c r="I305" s="9">
        <f t="shared" si="52"/>
        <v>2383000</v>
      </c>
      <c r="L305" s="9">
        <f t="shared" si="53"/>
        <v>18549000</v>
      </c>
      <c r="M305" s="9">
        <f t="shared" si="54"/>
        <v>20383516.483516484</v>
      </c>
      <c r="N305" s="11">
        <f t="shared" si="55"/>
        <v>2383000</v>
      </c>
      <c r="O305" s="12">
        <f t="shared" si="56"/>
        <v>0.11690818912070731</v>
      </c>
      <c r="P305" s="9">
        <f t="shared" si="57"/>
        <v>22082142.857142858</v>
      </c>
      <c r="Q305" s="11">
        <f t="shared" si="58"/>
        <v>2383000</v>
      </c>
      <c r="R305" s="12">
        <f t="shared" si="59"/>
        <v>0.10791525149603752</v>
      </c>
    </row>
    <row r="306" spans="1:18" x14ac:dyDescent="0.3">
      <c r="A306" s="1">
        <v>13000001</v>
      </c>
      <c r="B306" s="1">
        <v>13050000</v>
      </c>
      <c r="C306">
        <v>7000</v>
      </c>
      <c r="D306" s="14">
        <v>0.03</v>
      </c>
      <c r="E306" s="3">
        <f t="shared" si="60"/>
        <v>1696500</v>
      </c>
      <c r="F306" s="3">
        <f t="shared" si="61"/>
        <v>1474650</v>
      </c>
      <c r="G306" s="2">
        <f t="shared" si="50"/>
        <v>0.18099616858237547</v>
      </c>
      <c r="H306" s="9">
        <f t="shared" si="51"/>
        <v>30000</v>
      </c>
      <c r="I306" s="9">
        <f t="shared" si="52"/>
        <v>2392000</v>
      </c>
      <c r="L306" s="9">
        <f t="shared" si="53"/>
        <v>18620150</v>
      </c>
      <c r="M306" s="9">
        <f t="shared" si="54"/>
        <v>20461703.296703298</v>
      </c>
      <c r="N306" s="11">
        <f t="shared" si="55"/>
        <v>2392000</v>
      </c>
      <c r="O306" s="12">
        <f t="shared" si="56"/>
        <v>0.11690131389918985</v>
      </c>
      <c r="P306" s="9">
        <f t="shared" si="57"/>
        <v>22166845.238095239</v>
      </c>
      <c r="Q306" s="11">
        <f t="shared" si="58"/>
        <v>2392000</v>
      </c>
      <c r="R306" s="12">
        <f t="shared" si="59"/>
        <v>0.10790890513771371</v>
      </c>
    </row>
    <row r="307" spans="1:18" x14ac:dyDescent="0.3">
      <c r="A307" s="1">
        <v>13050001</v>
      </c>
      <c r="B307" s="1">
        <v>13100000</v>
      </c>
      <c r="C307">
        <v>7000</v>
      </c>
      <c r="D307" s="14">
        <v>0.03</v>
      </c>
      <c r="E307" s="3">
        <f t="shared" si="60"/>
        <v>1703000</v>
      </c>
      <c r="F307" s="3">
        <f t="shared" si="61"/>
        <v>1480300</v>
      </c>
      <c r="G307" s="2">
        <f t="shared" si="50"/>
        <v>0.18099236641221372</v>
      </c>
      <c r="H307" s="9">
        <f t="shared" si="51"/>
        <v>30000</v>
      </c>
      <c r="I307" s="9">
        <f t="shared" si="52"/>
        <v>2401000</v>
      </c>
      <c r="L307" s="9">
        <f t="shared" si="53"/>
        <v>18691300</v>
      </c>
      <c r="M307" s="9">
        <f t="shared" si="54"/>
        <v>20539890.109890111</v>
      </c>
      <c r="N307" s="11">
        <f t="shared" si="55"/>
        <v>2401000</v>
      </c>
      <c r="O307" s="12">
        <f t="shared" si="56"/>
        <v>0.11689449101988625</v>
      </c>
      <c r="P307" s="9">
        <f t="shared" si="57"/>
        <v>22251547.619047619</v>
      </c>
      <c r="Q307" s="11">
        <f t="shared" si="58"/>
        <v>2401000</v>
      </c>
      <c r="R307" s="12">
        <f t="shared" si="59"/>
        <v>0.10790260709527962</v>
      </c>
    </row>
    <row r="308" spans="1:18" x14ac:dyDescent="0.3">
      <c r="A308" s="1">
        <v>13100001</v>
      </c>
      <c r="B308" s="1">
        <v>13150000</v>
      </c>
      <c r="C308">
        <v>7000</v>
      </c>
      <c r="D308" s="14">
        <v>0.03</v>
      </c>
      <c r="E308" s="3">
        <f t="shared" si="60"/>
        <v>1709500</v>
      </c>
      <c r="F308" s="3">
        <f t="shared" si="61"/>
        <v>1485950</v>
      </c>
      <c r="G308" s="2">
        <f t="shared" si="50"/>
        <v>0.18098859315589352</v>
      </c>
      <c r="H308" s="9">
        <f t="shared" si="51"/>
        <v>30000</v>
      </c>
      <c r="I308" s="9">
        <f t="shared" si="52"/>
        <v>2410000</v>
      </c>
      <c r="L308" s="9">
        <f t="shared" si="53"/>
        <v>18762450</v>
      </c>
      <c r="M308" s="9">
        <f t="shared" si="54"/>
        <v>20618076.923076924</v>
      </c>
      <c r="N308" s="11">
        <f t="shared" si="55"/>
        <v>2410000</v>
      </c>
      <c r="O308" s="12">
        <f t="shared" si="56"/>
        <v>0.11688771988732814</v>
      </c>
      <c r="P308" s="9">
        <f t="shared" si="57"/>
        <v>22336250</v>
      </c>
      <c r="Q308" s="11">
        <f t="shared" si="58"/>
        <v>2410000</v>
      </c>
      <c r="R308" s="12">
        <f t="shared" si="59"/>
        <v>0.10789635681907214</v>
      </c>
    </row>
    <row r="309" spans="1:18" x14ac:dyDescent="0.3">
      <c r="A309" s="1">
        <v>13150001</v>
      </c>
      <c r="B309" s="1">
        <v>13200000</v>
      </c>
      <c r="C309">
        <v>7000</v>
      </c>
      <c r="D309" s="14">
        <v>0.03</v>
      </c>
      <c r="E309" s="3">
        <f t="shared" si="60"/>
        <v>1716000</v>
      </c>
      <c r="F309" s="3">
        <f t="shared" si="61"/>
        <v>1491600</v>
      </c>
      <c r="G309" s="2">
        <f t="shared" si="50"/>
        <v>0.18098484848484847</v>
      </c>
      <c r="H309" s="9">
        <f t="shared" si="51"/>
        <v>30000</v>
      </c>
      <c r="I309" s="9">
        <f t="shared" si="52"/>
        <v>2419000</v>
      </c>
      <c r="L309" s="9">
        <f t="shared" si="53"/>
        <v>18833600</v>
      </c>
      <c r="M309" s="9">
        <f t="shared" si="54"/>
        <v>20696263.736263737</v>
      </c>
      <c r="N309" s="11">
        <f t="shared" si="55"/>
        <v>2419000</v>
      </c>
      <c r="O309" s="12">
        <f t="shared" si="56"/>
        <v>0.11688099991504544</v>
      </c>
      <c r="P309" s="9">
        <f t="shared" si="57"/>
        <v>22420952.380952381</v>
      </c>
      <c r="Q309" s="11">
        <f t="shared" si="58"/>
        <v>2419000</v>
      </c>
      <c r="R309" s="12">
        <f t="shared" si="59"/>
        <v>0.10789015376773427</v>
      </c>
    </row>
    <row r="310" spans="1:18" x14ac:dyDescent="0.3">
      <c r="A310" s="1">
        <v>13200001</v>
      </c>
      <c r="B310" s="1">
        <v>13250000</v>
      </c>
      <c r="C310">
        <v>7000</v>
      </c>
      <c r="D310" s="14">
        <v>0.03</v>
      </c>
      <c r="E310" s="3">
        <f t="shared" si="60"/>
        <v>1722500</v>
      </c>
      <c r="F310" s="3">
        <f t="shared" si="61"/>
        <v>1497250</v>
      </c>
      <c r="G310" s="2">
        <f t="shared" si="50"/>
        <v>0.1809811320754717</v>
      </c>
      <c r="H310" s="9">
        <f t="shared" si="51"/>
        <v>30000</v>
      </c>
      <c r="I310" s="9">
        <f t="shared" si="52"/>
        <v>2428000</v>
      </c>
      <c r="L310" s="9">
        <f t="shared" si="53"/>
        <v>18904750</v>
      </c>
      <c r="M310" s="9">
        <f t="shared" si="54"/>
        <v>20774450.54945055</v>
      </c>
      <c r="N310" s="11">
        <f t="shared" si="55"/>
        <v>2428000</v>
      </c>
      <c r="O310" s="12">
        <f t="shared" si="56"/>
        <v>0.11687433052539706</v>
      </c>
      <c r="P310" s="9">
        <f t="shared" si="57"/>
        <v>22505654.761904761</v>
      </c>
      <c r="Q310" s="11">
        <f t="shared" si="58"/>
        <v>2428000</v>
      </c>
      <c r="R310" s="12">
        <f t="shared" si="59"/>
        <v>0.10788399740805882</v>
      </c>
    </row>
    <row r="311" spans="1:18" x14ac:dyDescent="0.3">
      <c r="A311" s="1">
        <v>13250001</v>
      </c>
      <c r="B311" s="1">
        <v>13300000</v>
      </c>
      <c r="C311">
        <v>7000</v>
      </c>
      <c r="D311" s="14">
        <v>0.03</v>
      </c>
      <c r="E311" s="3">
        <f t="shared" si="60"/>
        <v>1729000</v>
      </c>
      <c r="F311" s="3">
        <f t="shared" si="61"/>
        <v>1502900</v>
      </c>
      <c r="G311" s="2">
        <f t="shared" si="50"/>
        <v>0.18097744360902254</v>
      </c>
      <c r="H311" s="9">
        <f t="shared" si="51"/>
        <v>30000</v>
      </c>
      <c r="I311" s="9">
        <f t="shared" si="52"/>
        <v>2437000</v>
      </c>
      <c r="L311" s="9">
        <f t="shared" si="53"/>
        <v>18975900</v>
      </c>
      <c r="M311" s="9">
        <f t="shared" si="54"/>
        <v>20852637.362637363</v>
      </c>
      <c r="N311" s="11">
        <f t="shared" si="55"/>
        <v>2437000</v>
      </c>
      <c r="O311" s="12">
        <f t="shared" si="56"/>
        <v>0.11686771114940529</v>
      </c>
      <c r="P311" s="9">
        <f t="shared" si="57"/>
        <v>22590357.142857146</v>
      </c>
      <c r="Q311" s="11">
        <f t="shared" si="58"/>
        <v>2437000</v>
      </c>
      <c r="R311" s="12">
        <f t="shared" si="59"/>
        <v>0.10787788721483564</v>
      </c>
    </row>
    <row r="312" spans="1:18" x14ac:dyDescent="0.3">
      <c r="A312" s="1">
        <v>13300001</v>
      </c>
      <c r="B312" s="1">
        <v>13350000</v>
      </c>
      <c r="C312">
        <v>7000</v>
      </c>
      <c r="D312" s="14">
        <v>0.03</v>
      </c>
      <c r="E312" s="3">
        <f t="shared" si="60"/>
        <v>1735500</v>
      </c>
      <c r="F312" s="3">
        <f t="shared" si="61"/>
        <v>1508550</v>
      </c>
      <c r="G312" s="2">
        <f t="shared" si="50"/>
        <v>0.18097378277153559</v>
      </c>
      <c r="H312" s="9">
        <f t="shared" si="51"/>
        <v>30000</v>
      </c>
      <c r="I312" s="9">
        <f t="shared" si="52"/>
        <v>2446000</v>
      </c>
      <c r="L312" s="9">
        <f t="shared" si="53"/>
        <v>19047050</v>
      </c>
      <c r="M312" s="9">
        <f t="shared" si="54"/>
        <v>20930824.175824177</v>
      </c>
      <c r="N312" s="11">
        <f t="shared" si="55"/>
        <v>2446000</v>
      </c>
      <c r="O312" s="12">
        <f t="shared" si="56"/>
        <v>0.11686114122659413</v>
      </c>
      <c r="P312" s="9">
        <f t="shared" si="57"/>
        <v>22675059.523809526</v>
      </c>
      <c r="Q312" s="11">
        <f t="shared" si="58"/>
        <v>2446000</v>
      </c>
      <c r="R312" s="12">
        <f t="shared" si="59"/>
        <v>0.10787182267070228</v>
      </c>
    </row>
    <row r="313" spans="1:18" x14ac:dyDescent="0.3">
      <c r="A313" s="1">
        <v>13350001</v>
      </c>
      <c r="B313" s="1">
        <v>13400000</v>
      </c>
      <c r="C313">
        <v>7000</v>
      </c>
      <c r="D313" s="14">
        <v>0.03</v>
      </c>
      <c r="E313" s="3">
        <f t="shared" si="60"/>
        <v>1742000</v>
      </c>
      <c r="F313" s="3">
        <f t="shared" si="61"/>
        <v>1514200</v>
      </c>
      <c r="G313" s="2">
        <f t="shared" si="50"/>
        <v>0.18097014925373134</v>
      </c>
      <c r="H313" s="9">
        <f t="shared" si="51"/>
        <v>30000</v>
      </c>
      <c r="I313" s="9">
        <f t="shared" si="52"/>
        <v>2455000</v>
      </c>
      <c r="L313" s="9">
        <f t="shared" si="53"/>
        <v>19118200</v>
      </c>
      <c r="M313" s="9">
        <f t="shared" si="54"/>
        <v>21009010.98901099</v>
      </c>
      <c r="N313" s="11">
        <f t="shared" si="55"/>
        <v>2455000</v>
      </c>
      <c r="O313" s="12">
        <f t="shared" si="56"/>
        <v>0.11685462020483099</v>
      </c>
      <c r="P313" s="9">
        <f t="shared" si="57"/>
        <v>22759761.904761907</v>
      </c>
      <c r="Q313" s="11">
        <f t="shared" si="58"/>
        <v>2455000</v>
      </c>
      <c r="R313" s="12">
        <f t="shared" si="59"/>
        <v>0.10786580326599783</v>
      </c>
    </row>
    <row r="314" spans="1:18" x14ac:dyDescent="0.3">
      <c r="A314" s="1">
        <v>13400001</v>
      </c>
      <c r="B314" s="1">
        <v>13450000</v>
      </c>
      <c r="C314">
        <v>7000</v>
      </c>
      <c r="D314" s="14">
        <v>0.03</v>
      </c>
      <c r="E314" s="3">
        <f t="shared" si="60"/>
        <v>1748500</v>
      </c>
      <c r="F314" s="3">
        <f t="shared" si="61"/>
        <v>1519850</v>
      </c>
      <c r="G314" s="2">
        <f t="shared" si="50"/>
        <v>0.18096654275092935</v>
      </c>
      <c r="H314" s="9">
        <f t="shared" si="51"/>
        <v>30000</v>
      </c>
      <c r="I314" s="9">
        <f t="shared" si="52"/>
        <v>2464000</v>
      </c>
      <c r="L314" s="9">
        <f t="shared" si="53"/>
        <v>19189350</v>
      </c>
      <c r="M314" s="9">
        <f t="shared" si="54"/>
        <v>21087197.802197803</v>
      </c>
      <c r="N314" s="11">
        <f t="shared" si="55"/>
        <v>2464000</v>
      </c>
      <c r="O314" s="12">
        <f t="shared" si="56"/>
        <v>0.11684814754017202</v>
      </c>
      <c r="P314" s="9">
        <f t="shared" si="57"/>
        <v>22844464.285714287</v>
      </c>
      <c r="Q314" s="11">
        <f t="shared" si="58"/>
        <v>2464000</v>
      </c>
      <c r="R314" s="12">
        <f t="shared" si="59"/>
        <v>0.10785982849862032</v>
      </c>
    </row>
    <row r="315" spans="1:18" x14ac:dyDescent="0.3">
      <c r="A315" s="1">
        <v>13450001</v>
      </c>
      <c r="B315" s="1">
        <v>13500000</v>
      </c>
      <c r="C315">
        <v>7000</v>
      </c>
      <c r="D315" s="14">
        <v>0.03</v>
      </c>
      <c r="E315" s="3">
        <f t="shared" si="60"/>
        <v>1755000</v>
      </c>
      <c r="F315" s="3">
        <f t="shared" si="61"/>
        <v>1525500</v>
      </c>
      <c r="G315" s="2">
        <f t="shared" si="50"/>
        <v>0.18096296296296296</v>
      </c>
      <c r="H315" s="9">
        <f t="shared" si="51"/>
        <v>30000</v>
      </c>
      <c r="I315" s="9">
        <f t="shared" si="52"/>
        <v>2473000</v>
      </c>
      <c r="L315" s="9">
        <f t="shared" si="53"/>
        <v>19260500</v>
      </c>
      <c r="M315" s="9">
        <f t="shared" si="54"/>
        <v>21165384.615384616</v>
      </c>
      <c r="N315" s="11">
        <f t="shared" si="55"/>
        <v>2473000</v>
      </c>
      <c r="O315" s="12">
        <f t="shared" si="56"/>
        <v>0.11684172269671088</v>
      </c>
      <c r="P315" s="9">
        <f t="shared" si="57"/>
        <v>22929166.666666668</v>
      </c>
      <c r="Q315" s="11">
        <f t="shared" si="58"/>
        <v>2473000</v>
      </c>
      <c r="R315" s="12">
        <f t="shared" si="59"/>
        <v>0.10785389787388697</v>
      </c>
    </row>
    <row r="316" spans="1:18" x14ac:dyDescent="0.3">
      <c r="A316" s="1">
        <v>13500001</v>
      </c>
      <c r="B316" s="1">
        <v>13550000</v>
      </c>
      <c r="C316">
        <v>7000</v>
      </c>
      <c r="D316" s="14">
        <v>0.03</v>
      </c>
      <c r="E316" s="3">
        <f t="shared" si="60"/>
        <v>1761500</v>
      </c>
      <c r="F316" s="3">
        <f t="shared" si="61"/>
        <v>1531150</v>
      </c>
      <c r="G316" s="2">
        <f t="shared" si="50"/>
        <v>0.18095940959409593</v>
      </c>
      <c r="H316" s="9">
        <f t="shared" si="51"/>
        <v>30000</v>
      </c>
      <c r="I316" s="9">
        <f t="shared" si="52"/>
        <v>2482000</v>
      </c>
      <c r="L316" s="9">
        <f t="shared" si="53"/>
        <v>19331650</v>
      </c>
      <c r="M316" s="9">
        <f t="shared" si="54"/>
        <v>21243571.428571429</v>
      </c>
      <c r="N316" s="11">
        <f t="shared" si="55"/>
        <v>2482000</v>
      </c>
      <c r="O316" s="12">
        <f t="shared" si="56"/>
        <v>0.11683534514643085</v>
      </c>
      <c r="P316" s="9">
        <f t="shared" si="57"/>
        <v>23013869.047619049</v>
      </c>
      <c r="Q316" s="11">
        <f t="shared" si="58"/>
        <v>2482000</v>
      </c>
      <c r="R316" s="12">
        <f t="shared" si="59"/>
        <v>0.1078480109043977</v>
      </c>
    </row>
    <row r="317" spans="1:18" x14ac:dyDescent="0.3">
      <c r="A317" s="1">
        <v>13550001</v>
      </c>
      <c r="B317" s="1">
        <v>13600000</v>
      </c>
      <c r="C317">
        <v>7000</v>
      </c>
      <c r="D317" s="14">
        <v>0.03</v>
      </c>
      <c r="E317" s="3">
        <f t="shared" si="60"/>
        <v>1768000</v>
      </c>
      <c r="F317" s="3">
        <f t="shared" si="61"/>
        <v>1536800</v>
      </c>
      <c r="G317" s="2">
        <f t="shared" si="50"/>
        <v>0.18095588235294116</v>
      </c>
      <c r="H317" s="9">
        <f t="shared" si="51"/>
        <v>30000</v>
      </c>
      <c r="I317" s="9">
        <f t="shared" si="52"/>
        <v>2491000</v>
      </c>
      <c r="L317" s="9">
        <f t="shared" si="53"/>
        <v>19402800</v>
      </c>
      <c r="M317" s="9">
        <f t="shared" si="54"/>
        <v>21321758.241758242</v>
      </c>
      <c r="N317" s="11">
        <f t="shared" si="55"/>
        <v>2491000</v>
      </c>
      <c r="O317" s="12">
        <f t="shared" si="56"/>
        <v>0.11682901436906014</v>
      </c>
      <c r="P317" s="9">
        <f t="shared" si="57"/>
        <v>23098571.428571429</v>
      </c>
      <c r="Q317" s="11">
        <f t="shared" si="58"/>
        <v>2491000</v>
      </c>
      <c r="R317" s="12">
        <f t="shared" si="59"/>
        <v>0.10784216710990166</v>
      </c>
    </row>
    <row r="318" spans="1:18" x14ac:dyDescent="0.3">
      <c r="A318" s="1">
        <v>13600001</v>
      </c>
      <c r="B318" s="1">
        <v>13650000</v>
      </c>
      <c r="C318">
        <v>7000</v>
      </c>
      <c r="D318" s="14">
        <v>0.03</v>
      </c>
      <c r="E318" s="3">
        <f t="shared" si="60"/>
        <v>1774500</v>
      </c>
      <c r="F318" s="3">
        <f t="shared" si="61"/>
        <v>1542450</v>
      </c>
      <c r="G318" s="2">
        <f t="shared" si="50"/>
        <v>0.18095238095238095</v>
      </c>
      <c r="H318" s="9">
        <f t="shared" si="51"/>
        <v>30000</v>
      </c>
      <c r="I318" s="9">
        <f t="shared" si="52"/>
        <v>2500000</v>
      </c>
      <c r="L318" s="9">
        <f t="shared" si="53"/>
        <v>19473950</v>
      </c>
      <c r="M318" s="9">
        <f t="shared" si="54"/>
        <v>21399945.054945055</v>
      </c>
      <c r="N318" s="11">
        <f t="shared" si="55"/>
        <v>2500000</v>
      </c>
      <c r="O318" s="12">
        <f t="shared" si="56"/>
        <v>0.1168227298519304</v>
      </c>
      <c r="P318" s="9">
        <f t="shared" si="57"/>
        <v>23183273.80952381</v>
      </c>
      <c r="Q318" s="11">
        <f t="shared" si="58"/>
        <v>2500000</v>
      </c>
      <c r="R318" s="12">
        <f t="shared" si="59"/>
        <v>0.10783636601716652</v>
      </c>
    </row>
    <row r="319" spans="1:18" x14ac:dyDescent="0.3">
      <c r="A319" s="1">
        <v>13650001</v>
      </c>
      <c r="B319" s="1">
        <v>13700000</v>
      </c>
      <c r="C319">
        <v>7000</v>
      </c>
      <c r="D319" s="14">
        <v>0.03</v>
      </c>
      <c r="E319" s="3">
        <f t="shared" si="60"/>
        <v>1781000</v>
      </c>
      <c r="F319" s="3">
        <f t="shared" si="61"/>
        <v>1548100</v>
      </c>
      <c r="G319" s="2">
        <f t="shared" si="50"/>
        <v>0.18094890510948905</v>
      </c>
      <c r="H319" s="9">
        <f t="shared" si="51"/>
        <v>30000</v>
      </c>
      <c r="I319" s="9">
        <f t="shared" si="52"/>
        <v>2509000</v>
      </c>
      <c r="L319" s="9">
        <f t="shared" si="53"/>
        <v>19545100</v>
      </c>
      <c r="M319" s="9">
        <f t="shared" si="54"/>
        <v>21478131.868131869</v>
      </c>
      <c r="N319" s="11">
        <f t="shared" si="55"/>
        <v>2509000</v>
      </c>
      <c r="O319" s="12">
        <f t="shared" si="56"/>
        <v>0.11681649108983837</v>
      </c>
      <c r="P319" s="9">
        <f t="shared" si="57"/>
        <v>23267976.19047619</v>
      </c>
      <c r="Q319" s="11">
        <f t="shared" si="58"/>
        <v>2509000</v>
      </c>
      <c r="R319" s="12">
        <f t="shared" si="59"/>
        <v>0.10783060715985081</v>
      </c>
    </row>
    <row r="320" spans="1:18" x14ac:dyDescent="0.3">
      <c r="A320" s="1">
        <v>13700001</v>
      </c>
      <c r="B320" s="1">
        <v>13750000</v>
      </c>
      <c r="C320">
        <v>7000</v>
      </c>
      <c r="D320" s="14">
        <v>0.03</v>
      </c>
      <c r="E320" s="3">
        <f t="shared" si="60"/>
        <v>1787500</v>
      </c>
      <c r="F320" s="3">
        <f t="shared" si="61"/>
        <v>1553750</v>
      </c>
      <c r="G320" s="2">
        <f t="shared" si="50"/>
        <v>0.18094545454545455</v>
      </c>
      <c r="H320" s="9">
        <f t="shared" si="51"/>
        <v>30000</v>
      </c>
      <c r="I320" s="9">
        <f t="shared" si="52"/>
        <v>2518000</v>
      </c>
      <c r="L320" s="9">
        <f t="shared" si="53"/>
        <v>19616250</v>
      </c>
      <c r="M320" s="9">
        <f t="shared" si="54"/>
        <v>21556318.681318682</v>
      </c>
      <c r="N320" s="11">
        <f t="shared" si="55"/>
        <v>2518000</v>
      </c>
      <c r="O320" s="12">
        <f t="shared" si="56"/>
        <v>0.11681029758491046</v>
      </c>
      <c r="P320" s="9">
        <f t="shared" si="57"/>
        <v>23352678.571428571</v>
      </c>
      <c r="Q320" s="11">
        <f t="shared" si="58"/>
        <v>2518000</v>
      </c>
      <c r="R320" s="12">
        <f t="shared" si="59"/>
        <v>0.10782489007837889</v>
      </c>
    </row>
    <row r="321" spans="1:18" x14ac:dyDescent="0.3">
      <c r="A321" s="1">
        <v>13750001</v>
      </c>
      <c r="B321" s="1">
        <v>13800000</v>
      </c>
      <c r="C321">
        <v>7000</v>
      </c>
      <c r="D321" s="14">
        <v>0.03</v>
      </c>
      <c r="E321" s="3">
        <f t="shared" si="60"/>
        <v>1794000</v>
      </c>
      <c r="F321" s="3">
        <f t="shared" si="61"/>
        <v>1559400</v>
      </c>
      <c r="G321" s="2">
        <f t="shared" si="50"/>
        <v>0.18094202898550724</v>
      </c>
      <c r="H321" s="9">
        <f t="shared" si="51"/>
        <v>30000</v>
      </c>
      <c r="I321" s="9">
        <f t="shared" si="52"/>
        <v>2527000</v>
      </c>
      <c r="L321" s="9">
        <f t="shared" si="53"/>
        <v>19687400</v>
      </c>
      <c r="M321" s="9">
        <f t="shared" si="54"/>
        <v>21634505.494505495</v>
      </c>
      <c r="N321" s="11">
        <f t="shared" si="55"/>
        <v>2527000</v>
      </c>
      <c r="O321" s="12">
        <f t="shared" si="56"/>
        <v>0.11680414884647033</v>
      </c>
      <c r="P321" s="9">
        <f t="shared" si="57"/>
        <v>23437380.952380951</v>
      </c>
      <c r="Q321" s="11">
        <f t="shared" si="58"/>
        <v>2527000</v>
      </c>
      <c r="R321" s="12">
        <f t="shared" si="59"/>
        <v>0.10781921431981877</v>
      </c>
    </row>
    <row r="322" spans="1:18" x14ac:dyDescent="0.3">
      <c r="A322" s="1">
        <v>13800001</v>
      </c>
      <c r="B322" s="1">
        <v>13850000</v>
      </c>
      <c r="C322">
        <v>7000</v>
      </c>
      <c r="D322" s="14">
        <v>0.03</v>
      </c>
      <c r="E322" s="3">
        <f t="shared" si="60"/>
        <v>1800500</v>
      </c>
      <c r="F322" s="3">
        <f t="shared" si="61"/>
        <v>1565050</v>
      </c>
      <c r="G322" s="2">
        <f t="shared" si="50"/>
        <v>0.18093862815884476</v>
      </c>
      <c r="H322" s="9">
        <f t="shared" si="51"/>
        <v>30000</v>
      </c>
      <c r="I322" s="9">
        <f t="shared" si="52"/>
        <v>2536000</v>
      </c>
      <c r="L322" s="9">
        <f t="shared" si="53"/>
        <v>19758550</v>
      </c>
      <c r="M322" s="9">
        <f t="shared" si="54"/>
        <v>21712692.307692308</v>
      </c>
      <c r="N322" s="11">
        <f t="shared" si="55"/>
        <v>2536000</v>
      </c>
      <c r="O322" s="12">
        <f t="shared" si="56"/>
        <v>0.11679804439090925</v>
      </c>
      <c r="P322" s="9">
        <f t="shared" si="57"/>
        <v>23522083.333333336</v>
      </c>
      <c r="Q322" s="11">
        <f t="shared" si="58"/>
        <v>2536000</v>
      </c>
      <c r="R322" s="12">
        <f t="shared" si="59"/>
        <v>0.10781357943776237</v>
      </c>
    </row>
    <row r="323" spans="1:18" x14ac:dyDescent="0.3">
      <c r="A323" s="1">
        <v>13850001</v>
      </c>
      <c r="B323" s="1">
        <v>13900000</v>
      </c>
      <c r="C323">
        <v>7000</v>
      </c>
      <c r="D323" s="14">
        <v>0.03</v>
      </c>
      <c r="E323" s="3">
        <f t="shared" si="60"/>
        <v>1807000</v>
      </c>
      <c r="F323" s="3">
        <f t="shared" si="61"/>
        <v>1570700</v>
      </c>
      <c r="G323" s="2">
        <f t="shared" ref="G323:G386" si="62">MIN($K$2,MAX($K$3,$K$4/B323+$K$3))</f>
        <v>0.18093525179856115</v>
      </c>
      <c r="H323" s="9">
        <f t="shared" ref="H323:H386" si="63">MIN($K$11,$K$9+$K$10*(B323-$B$2))</f>
        <v>30000</v>
      </c>
      <c r="I323" s="9">
        <f t="shared" ref="I323:I386" si="64">B323*G323+H323</f>
        <v>2545000</v>
      </c>
      <c r="L323" s="9">
        <f t="shared" ref="L323:L386" si="65">B323+C323+E323+F323+I323</f>
        <v>19829700</v>
      </c>
      <c r="M323" s="9">
        <f t="shared" ref="M323:M386" si="66">L323/(1-$K$14-D323)</f>
        <v>21790879.120879121</v>
      </c>
      <c r="N323" s="11">
        <f t="shared" ref="N323:N386" si="67">M323*(1-$K$14-D323)-B323-C323-E323-F323</f>
        <v>2545000</v>
      </c>
      <c r="O323" s="12">
        <f t="shared" ref="O323:O386" si="68">N323/M323</f>
        <v>0.11679198374155937</v>
      </c>
      <c r="P323" s="9">
        <f t="shared" ref="P323:P386" si="69">L323/(1-$K$15-D323)</f>
        <v>23606785.714285716</v>
      </c>
      <c r="Q323" s="11">
        <f t="shared" ref="Q323:Q386" si="70">P323*(1-$K$15-D323)-B323-C323-E323-F323</f>
        <v>2545000</v>
      </c>
      <c r="R323" s="12">
        <f t="shared" ref="R323:R386" si="71">Q323/P323</f>
        <v>0.10780798499220864</v>
      </c>
    </row>
    <row r="324" spans="1:18" x14ac:dyDescent="0.3">
      <c r="A324" s="1">
        <v>13900001</v>
      </c>
      <c r="B324" s="1">
        <v>13950000</v>
      </c>
      <c r="C324">
        <v>7000</v>
      </c>
      <c r="D324" s="14">
        <v>0.03</v>
      </c>
      <c r="E324" s="3">
        <f t="shared" si="60"/>
        <v>1813500</v>
      </c>
      <c r="F324" s="3">
        <f t="shared" si="61"/>
        <v>1576350</v>
      </c>
      <c r="G324" s="2">
        <f t="shared" si="62"/>
        <v>0.18093189964157705</v>
      </c>
      <c r="H324" s="9">
        <f t="shared" si="63"/>
        <v>30000</v>
      </c>
      <c r="I324" s="9">
        <f t="shared" si="64"/>
        <v>2554000</v>
      </c>
      <c r="L324" s="9">
        <f t="shared" si="65"/>
        <v>19900850</v>
      </c>
      <c r="M324" s="9">
        <f t="shared" si="66"/>
        <v>21869065.934065934</v>
      </c>
      <c r="N324" s="11">
        <f t="shared" si="67"/>
        <v>2554000</v>
      </c>
      <c r="O324" s="12">
        <f t="shared" si="68"/>
        <v>0.11678596642856963</v>
      </c>
      <c r="P324" s="9">
        <f t="shared" si="69"/>
        <v>23691488.095238097</v>
      </c>
      <c r="Q324" s="11">
        <f t="shared" si="70"/>
        <v>2554000</v>
      </c>
      <c r="R324" s="12">
        <f t="shared" si="71"/>
        <v>0.10780243054944888</v>
      </c>
    </row>
    <row r="325" spans="1:18" x14ac:dyDescent="0.3">
      <c r="A325" s="1">
        <v>13950001</v>
      </c>
      <c r="B325" s="1">
        <v>14000000</v>
      </c>
      <c r="C325">
        <v>7000</v>
      </c>
      <c r="D325" s="14">
        <v>0.03</v>
      </c>
      <c r="E325" s="3">
        <f t="shared" si="60"/>
        <v>1820000</v>
      </c>
      <c r="F325" s="3">
        <f t="shared" si="61"/>
        <v>1582000</v>
      </c>
      <c r="G325" s="2">
        <f t="shared" si="62"/>
        <v>0.18092857142857141</v>
      </c>
      <c r="H325" s="9">
        <f t="shared" si="63"/>
        <v>30000</v>
      </c>
      <c r="I325" s="9">
        <f t="shared" si="64"/>
        <v>2562999.9999999995</v>
      </c>
      <c r="L325" s="9">
        <f t="shared" si="65"/>
        <v>19972000</v>
      </c>
      <c r="M325" s="9">
        <f t="shared" si="66"/>
        <v>21947252.747252747</v>
      </c>
      <c r="N325" s="11">
        <f t="shared" si="67"/>
        <v>2563000</v>
      </c>
      <c r="O325" s="12">
        <f t="shared" si="68"/>
        <v>0.11677999198878429</v>
      </c>
      <c r="P325" s="9">
        <f t="shared" si="69"/>
        <v>23776190.476190478</v>
      </c>
      <c r="Q325" s="11">
        <f t="shared" si="70"/>
        <v>2563000</v>
      </c>
      <c r="R325" s="12">
        <f t="shared" si="71"/>
        <v>0.10779691568195474</v>
      </c>
    </row>
    <row r="326" spans="1:18" x14ac:dyDescent="0.3">
      <c r="A326" s="1">
        <v>14000001</v>
      </c>
      <c r="B326" s="1">
        <v>14050000</v>
      </c>
      <c r="C326">
        <v>7000</v>
      </c>
      <c r="D326" s="14">
        <v>0.03</v>
      </c>
      <c r="E326" s="3">
        <f t="shared" si="60"/>
        <v>1826500</v>
      </c>
      <c r="F326" s="3">
        <f t="shared" si="61"/>
        <v>1587650</v>
      </c>
      <c r="G326" s="2">
        <f t="shared" si="62"/>
        <v>0.18092526690391458</v>
      </c>
      <c r="H326" s="9">
        <f t="shared" si="63"/>
        <v>30000</v>
      </c>
      <c r="I326" s="9">
        <f t="shared" si="64"/>
        <v>2572000</v>
      </c>
      <c r="L326" s="9">
        <f t="shared" si="65"/>
        <v>20043150</v>
      </c>
      <c r="M326" s="9">
        <f t="shared" si="66"/>
        <v>22025439.560439561</v>
      </c>
      <c r="N326" s="11">
        <f t="shared" si="67"/>
        <v>2572000</v>
      </c>
      <c r="O326" s="12">
        <f t="shared" si="68"/>
        <v>0.11677405996562416</v>
      </c>
      <c r="P326" s="9">
        <f t="shared" si="69"/>
        <v>23860892.857142858</v>
      </c>
      <c r="Q326" s="11">
        <f t="shared" si="70"/>
        <v>2572000</v>
      </c>
      <c r="R326" s="12">
        <f t="shared" si="71"/>
        <v>0.10779143996826845</v>
      </c>
    </row>
    <row r="327" spans="1:18" x14ac:dyDescent="0.3">
      <c r="A327" s="1">
        <v>14050001</v>
      </c>
      <c r="B327" s="1">
        <v>14100000</v>
      </c>
      <c r="C327">
        <v>7000</v>
      </c>
      <c r="D327" s="14">
        <v>0.03</v>
      </c>
      <c r="E327" s="3">
        <f t="shared" si="60"/>
        <v>1833000</v>
      </c>
      <c r="F327" s="3">
        <f t="shared" si="61"/>
        <v>1593300</v>
      </c>
      <c r="G327" s="2">
        <f t="shared" si="62"/>
        <v>0.18092198581560284</v>
      </c>
      <c r="H327" s="9">
        <f t="shared" si="63"/>
        <v>30000</v>
      </c>
      <c r="I327" s="9">
        <f t="shared" si="64"/>
        <v>2581000</v>
      </c>
      <c r="L327" s="9">
        <f t="shared" si="65"/>
        <v>20114300</v>
      </c>
      <c r="M327" s="9">
        <f t="shared" si="66"/>
        <v>22103626.373626374</v>
      </c>
      <c r="N327" s="11">
        <f t="shared" si="67"/>
        <v>2581000</v>
      </c>
      <c r="O327" s="12">
        <f t="shared" si="68"/>
        <v>0.11676816990897024</v>
      </c>
      <c r="P327" s="9">
        <f t="shared" si="69"/>
        <v>23945595.238095239</v>
      </c>
      <c r="Q327" s="11">
        <f t="shared" si="70"/>
        <v>2581000</v>
      </c>
      <c r="R327" s="12">
        <f t="shared" si="71"/>
        <v>0.1077860029928956</v>
      </c>
    </row>
    <row r="328" spans="1:18" x14ac:dyDescent="0.3">
      <c r="A328" s="1">
        <v>14100001</v>
      </c>
      <c r="B328" s="1">
        <v>14150000</v>
      </c>
      <c r="C328">
        <v>7000</v>
      </c>
      <c r="D328" s="14">
        <v>0.03</v>
      </c>
      <c r="E328" s="3">
        <f t="shared" si="60"/>
        <v>1839500</v>
      </c>
      <c r="F328" s="3">
        <f t="shared" si="61"/>
        <v>1598950</v>
      </c>
      <c r="G328" s="2">
        <f t="shared" si="62"/>
        <v>0.18091872791519434</v>
      </c>
      <c r="H328" s="9">
        <f t="shared" si="63"/>
        <v>30000</v>
      </c>
      <c r="I328" s="9">
        <f t="shared" si="64"/>
        <v>2590000</v>
      </c>
      <c r="L328" s="9">
        <f t="shared" si="65"/>
        <v>20185450</v>
      </c>
      <c r="M328" s="9">
        <f t="shared" si="66"/>
        <v>22181813.186813191</v>
      </c>
      <c r="N328" s="11">
        <f t="shared" si="67"/>
        <v>2590000</v>
      </c>
      <c r="O328" s="12">
        <f t="shared" si="68"/>
        <v>0.11676232137504983</v>
      </c>
      <c r="P328" s="9">
        <f t="shared" si="69"/>
        <v>24030297.619047619</v>
      </c>
      <c r="Q328" s="11">
        <f t="shared" si="70"/>
        <v>2590000</v>
      </c>
      <c r="R328" s="12">
        <f t="shared" si="71"/>
        <v>0.10778060434619986</v>
      </c>
    </row>
    <row r="329" spans="1:18" x14ac:dyDescent="0.3">
      <c r="A329" s="1">
        <v>14150001</v>
      </c>
      <c r="B329" s="1">
        <v>14200000</v>
      </c>
      <c r="C329">
        <v>7000</v>
      </c>
      <c r="D329" s="14">
        <v>0.03</v>
      </c>
      <c r="E329" s="3">
        <f t="shared" si="60"/>
        <v>1846000</v>
      </c>
      <c r="F329" s="3">
        <f t="shared" si="61"/>
        <v>1604600</v>
      </c>
      <c r="G329" s="2">
        <f t="shared" si="62"/>
        <v>0.18091549295774648</v>
      </c>
      <c r="H329" s="9">
        <f t="shared" si="63"/>
        <v>30000</v>
      </c>
      <c r="I329" s="9">
        <f t="shared" si="64"/>
        <v>2599000</v>
      </c>
      <c r="L329" s="9">
        <f t="shared" si="65"/>
        <v>20256600</v>
      </c>
      <c r="M329" s="9">
        <f t="shared" si="66"/>
        <v>22260000.000000004</v>
      </c>
      <c r="N329" s="11">
        <f t="shared" si="67"/>
        <v>2599000</v>
      </c>
      <c r="O329" s="12">
        <f t="shared" si="68"/>
        <v>0.11675651392632523</v>
      </c>
      <c r="P329" s="9">
        <f t="shared" si="69"/>
        <v>24115000</v>
      </c>
      <c r="Q329" s="11">
        <f t="shared" si="70"/>
        <v>2599000</v>
      </c>
      <c r="R329" s="12">
        <f t="shared" si="71"/>
        <v>0.10777524362430023</v>
      </c>
    </row>
    <row r="330" spans="1:18" x14ac:dyDescent="0.3">
      <c r="A330" s="1">
        <v>14200001</v>
      </c>
      <c r="B330" s="1">
        <v>14250000</v>
      </c>
      <c r="C330">
        <v>7000</v>
      </c>
      <c r="D330" s="14">
        <v>0.03</v>
      </c>
      <c r="E330" s="3">
        <f t="shared" si="60"/>
        <v>1852500</v>
      </c>
      <c r="F330" s="3">
        <f t="shared" si="61"/>
        <v>1610250</v>
      </c>
      <c r="G330" s="2">
        <f t="shared" si="62"/>
        <v>0.18091228070175439</v>
      </c>
      <c r="H330" s="9">
        <f t="shared" si="63"/>
        <v>30000</v>
      </c>
      <c r="I330" s="9">
        <f t="shared" si="64"/>
        <v>2608000</v>
      </c>
      <c r="L330" s="9">
        <f t="shared" si="65"/>
        <v>20327750</v>
      </c>
      <c r="M330" s="9">
        <f t="shared" si="66"/>
        <v>22338186.813186817</v>
      </c>
      <c r="N330" s="11">
        <f t="shared" si="67"/>
        <v>2608000</v>
      </c>
      <c r="O330" s="12">
        <f t="shared" si="68"/>
        <v>0.11675074713138442</v>
      </c>
      <c r="P330" s="9">
        <f t="shared" si="69"/>
        <v>24199702.380952381</v>
      </c>
      <c r="Q330" s="11">
        <f t="shared" si="70"/>
        <v>2608000</v>
      </c>
      <c r="R330" s="12">
        <f t="shared" si="71"/>
        <v>0.10776992042897025</v>
      </c>
    </row>
    <row r="331" spans="1:18" x14ac:dyDescent="0.3">
      <c r="A331" s="1">
        <v>14250001</v>
      </c>
      <c r="B331" s="1">
        <v>14300000</v>
      </c>
      <c r="C331">
        <v>7000</v>
      </c>
      <c r="D331" s="14">
        <v>0.03</v>
      </c>
      <c r="E331" s="3">
        <f t="shared" si="60"/>
        <v>1859000</v>
      </c>
      <c r="F331" s="3">
        <f t="shared" si="61"/>
        <v>1615900</v>
      </c>
      <c r="G331" s="2">
        <f t="shared" si="62"/>
        <v>0.18090909090909091</v>
      </c>
      <c r="H331" s="9">
        <f t="shared" si="63"/>
        <v>30000</v>
      </c>
      <c r="I331" s="9">
        <f t="shared" si="64"/>
        <v>2617000</v>
      </c>
      <c r="L331" s="9">
        <f t="shared" si="65"/>
        <v>20398900</v>
      </c>
      <c r="M331" s="9">
        <f t="shared" si="66"/>
        <v>22416373.62637363</v>
      </c>
      <c r="N331" s="11">
        <f t="shared" si="67"/>
        <v>2617000</v>
      </c>
      <c r="O331" s="12">
        <f t="shared" si="68"/>
        <v>0.11674502056483436</v>
      </c>
      <c r="P331" s="9">
        <f t="shared" si="69"/>
        <v>24284404.761904761</v>
      </c>
      <c r="Q331" s="11">
        <f t="shared" si="70"/>
        <v>2617000</v>
      </c>
      <c r="R331" s="12">
        <f t="shared" si="71"/>
        <v>0.10776463436753943</v>
      </c>
    </row>
    <row r="332" spans="1:18" x14ac:dyDescent="0.3">
      <c r="A332" s="1">
        <v>14300001</v>
      </c>
      <c r="B332" s="1">
        <v>14350000</v>
      </c>
      <c r="C332">
        <v>7000</v>
      </c>
      <c r="D332" s="14">
        <v>0.03</v>
      </c>
      <c r="E332" s="3">
        <f t="shared" si="60"/>
        <v>1865500</v>
      </c>
      <c r="F332" s="3">
        <f t="shared" si="61"/>
        <v>1621550</v>
      </c>
      <c r="G332" s="2">
        <f t="shared" si="62"/>
        <v>0.18090592334494773</v>
      </c>
      <c r="H332" s="9">
        <f t="shared" si="63"/>
        <v>30000</v>
      </c>
      <c r="I332" s="9">
        <f t="shared" si="64"/>
        <v>2626000</v>
      </c>
      <c r="L332" s="9">
        <f t="shared" si="65"/>
        <v>20470050</v>
      </c>
      <c r="M332" s="9">
        <f t="shared" si="66"/>
        <v>22494560.439560443</v>
      </c>
      <c r="N332" s="11">
        <f t="shared" si="67"/>
        <v>2626000</v>
      </c>
      <c r="O332" s="12">
        <f t="shared" si="68"/>
        <v>0.11673933380719635</v>
      </c>
      <c r="P332" s="9">
        <f t="shared" si="69"/>
        <v>24369107.142857146</v>
      </c>
      <c r="Q332" s="11">
        <f t="shared" si="70"/>
        <v>2626000</v>
      </c>
      <c r="R332" s="12">
        <f t="shared" si="71"/>
        <v>0.10775938505279664</v>
      </c>
    </row>
    <row r="333" spans="1:18" x14ac:dyDescent="0.3">
      <c r="A333" s="1">
        <v>14350001</v>
      </c>
      <c r="B333" s="1">
        <v>14400000</v>
      </c>
      <c r="C333">
        <v>7000</v>
      </c>
      <c r="D333" s="14">
        <v>0.03</v>
      </c>
      <c r="E333" s="3">
        <f t="shared" si="60"/>
        <v>1872000</v>
      </c>
      <c r="F333" s="3">
        <f t="shared" si="61"/>
        <v>1627200</v>
      </c>
      <c r="G333" s="2">
        <f t="shared" si="62"/>
        <v>0.18090277777777777</v>
      </c>
      <c r="H333" s="9">
        <f t="shared" si="63"/>
        <v>30000</v>
      </c>
      <c r="I333" s="9">
        <f t="shared" si="64"/>
        <v>2635000</v>
      </c>
      <c r="L333" s="9">
        <f t="shared" si="65"/>
        <v>20541200</v>
      </c>
      <c r="M333" s="9">
        <f t="shared" si="66"/>
        <v>22572747.252747256</v>
      </c>
      <c r="N333" s="11">
        <f t="shared" si="67"/>
        <v>2635000</v>
      </c>
      <c r="O333" s="12">
        <f t="shared" si="68"/>
        <v>0.1167336864448036</v>
      </c>
      <c r="P333" s="9">
        <f t="shared" si="69"/>
        <v>24453809.523809526</v>
      </c>
      <c r="Q333" s="11">
        <f t="shared" si="70"/>
        <v>2635000</v>
      </c>
      <c r="R333" s="12">
        <f t="shared" si="71"/>
        <v>0.10775417210289563</v>
      </c>
    </row>
    <row r="334" spans="1:18" x14ac:dyDescent="0.3">
      <c r="A334" s="1">
        <v>14400001</v>
      </c>
      <c r="B334" s="1">
        <v>14450000</v>
      </c>
      <c r="C334">
        <v>7000</v>
      </c>
      <c r="D334" s="14">
        <v>0.03</v>
      </c>
      <c r="E334" s="3">
        <f t="shared" si="60"/>
        <v>1878500</v>
      </c>
      <c r="F334" s="3">
        <f t="shared" si="61"/>
        <v>1632850</v>
      </c>
      <c r="G334" s="2">
        <f t="shared" si="62"/>
        <v>0.18089965397923874</v>
      </c>
      <c r="H334" s="9">
        <f t="shared" si="63"/>
        <v>30000</v>
      </c>
      <c r="I334" s="9">
        <f t="shared" si="64"/>
        <v>2644000</v>
      </c>
      <c r="L334" s="9">
        <f t="shared" si="65"/>
        <v>20612350</v>
      </c>
      <c r="M334" s="9">
        <f t="shared" si="66"/>
        <v>22650934.065934069</v>
      </c>
      <c r="N334" s="11">
        <f t="shared" si="67"/>
        <v>2644000</v>
      </c>
      <c r="O334" s="12">
        <f t="shared" si="68"/>
        <v>0.11672807806970091</v>
      </c>
      <c r="P334" s="9">
        <f t="shared" si="69"/>
        <v>24538511.904761907</v>
      </c>
      <c r="Q334" s="11">
        <f t="shared" si="70"/>
        <v>2644000</v>
      </c>
      <c r="R334" s="12">
        <f t="shared" si="71"/>
        <v>0.10774899514126239</v>
      </c>
    </row>
    <row r="335" spans="1:18" x14ac:dyDescent="0.3">
      <c r="A335" s="1">
        <v>14450001</v>
      </c>
      <c r="B335" s="1">
        <v>14500000</v>
      </c>
      <c r="C335">
        <v>7000</v>
      </c>
      <c r="D335" s="14">
        <v>0.03</v>
      </c>
      <c r="E335" s="3">
        <f t="shared" si="60"/>
        <v>1885000</v>
      </c>
      <c r="F335" s="3">
        <f t="shared" si="61"/>
        <v>1638500</v>
      </c>
      <c r="G335" s="2">
        <f t="shared" si="62"/>
        <v>0.18089655172413793</v>
      </c>
      <c r="H335" s="9">
        <f t="shared" si="63"/>
        <v>30000</v>
      </c>
      <c r="I335" s="9">
        <f t="shared" si="64"/>
        <v>2653000</v>
      </c>
      <c r="L335" s="9">
        <f t="shared" si="65"/>
        <v>20683500</v>
      </c>
      <c r="M335" s="9">
        <f t="shared" si="66"/>
        <v>22729120.879120883</v>
      </c>
      <c r="N335" s="11">
        <f t="shared" si="67"/>
        <v>2653000</v>
      </c>
      <c r="O335" s="12">
        <f t="shared" si="68"/>
        <v>0.11672250827954649</v>
      </c>
      <c r="P335" s="9">
        <f t="shared" si="69"/>
        <v>24623214.285714287</v>
      </c>
      <c r="Q335" s="11">
        <f t="shared" si="70"/>
        <v>2653000</v>
      </c>
      <c r="R335" s="12">
        <f t="shared" si="71"/>
        <v>0.10774385379650445</v>
      </c>
    </row>
    <row r="336" spans="1:18" x14ac:dyDescent="0.3">
      <c r="A336" s="1">
        <v>14500001</v>
      </c>
      <c r="B336" s="1">
        <v>14550000</v>
      </c>
      <c r="C336">
        <v>7000</v>
      </c>
      <c r="D336" s="14">
        <v>0.03</v>
      </c>
      <c r="E336" s="3">
        <f t="shared" si="60"/>
        <v>1891500</v>
      </c>
      <c r="F336" s="3">
        <f t="shared" si="61"/>
        <v>1644150</v>
      </c>
      <c r="G336" s="2">
        <f t="shared" si="62"/>
        <v>0.18089347079037801</v>
      </c>
      <c r="H336" s="9">
        <f t="shared" si="63"/>
        <v>30000</v>
      </c>
      <c r="I336" s="9">
        <f t="shared" si="64"/>
        <v>2662000</v>
      </c>
      <c r="L336" s="9">
        <f t="shared" si="65"/>
        <v>20754650</v>
      </c>
      <c r="M336" s="9">
        <f t="shared" si="66"/>
        <v>22807307.692307696</v>
      </c>
      <c r="N336" s="11">
        <f t="shared" si="67"/>
        <v>2662000</v>
      </c>
      <c r="O336" s="12">
        <f t="shared" si="68"/>
        <v>0.11671697667751563</v>
      </c>
      <c r="P336" s="9">
        <f t="shared" si="69"/>
        <v>24707916.666666668</v>
      </c>
      <c r="Q336" s="11">
        <f t="shared" si="70"/>
        <v>2662000</v>
      </c>
      <c r="R336" s="12">
        <f t="shared" si="71"/>
        <v>0.10773874770232213</v>
      </c>
    </row>
    <row r="337" spans="1:18" x14ac:dyDescent="0.3">
      <c r="A337" s="1">
        <v>14550001</v>
      </c>
      <c r="B337" s="1">
        <v>14600000</v>
      </c>
      <c r="C337">
        <v>7000</v>
      </c>
      <c r="D337" s="14">
        <v>0.03</v>
      </c>
      <c r="E337" s="3">
        <f t="shared" si="60"/>
        <v>1898000</v>
      </c>
      <c r="F337" s="3">
        <f t="shared" si="61"/>
        <v>1649800</v>
      </c>
      <c r="G337" s="2">
        <f t="shared" si="62"/>
        <v>0.1808904109589041</v>
      </c>
      <c r="H337" s="9">
        <f t="shared" si="63"/>
        <v>30000</v>
      </c>
      <c r="I337" s="9">
        <f t="shared" si="64"/>
        <v>2671000</v>
      </c>
      <c r="L337" s="9">
        <f t="shared" si="65"/>
        <v>20825800</v>
      </c>
      <c r="M337" s="9">
        <f t="shared" si="66"/>
        <v>22885494.505494509</v>
      </c>
      <c r="N337" s="11">
        <f t="shared" si="67"/>
        <v>2671000</v>
      </c>
      <c r="O337" s="12">
        <f t="shared" si="68"/>
        <v>0.11671148287220658</v>
      </c>
      <c r="P337" s="9">
        <f t="shared" si="69"/>
        <v>24792619.047619049</v>
      </c>
      <c r="Q337" s="11">
        <f t="shared" si="70"/>
        <v>2671000</v>
      </c>
      <c r="R337" s="12">
        <f t="shared" si="71"/>
        <v>0.10773367649742147</v>
      </c>
    </row>
    <row r="338" spans="1:18" x14ac:dyDescent="0.3">
      <c r="A338" s="1">
        <v>14600001</v>
      </c>
      <c r="B338" s="1">
        <v>14650000</v>
      </c>
      <c r="C338">
        <v>7000</v>
      </c>
      <c r="D338" s="14">
        <v>0.03</v>
      </c>
      <c r="E338" s="3">
        <f t="shared" si="60"/>
        <v>1904500</v>
      </c>
      <c r="F338" s="3">
        <f t="shared" si="61"/>
        <v>1655450</v>
      </c>
      <c r="G338" s="2">
        <f t="shared" si="62"/>
        <v>0.18088737201365188</v>
      </c>
      <c r="H338" s="9">
        <f t="shared" si="63"/>
        <v>30000</v>
      </c>
      <c r="I338" s="9">
        <f t="shared" si="64"/>
        <v>2680000</v>
      </c>
      <c r="L338" s="9">
        <f t="shared" si="65"/>
        <v>20896950</v>
      </c>
      <c r="M338" s="9">
        <f t="shared" si="66"/>
        <v>22963681.318681322</v>
      </c>
      <c r="N338" s="11">
        <f t="shared" si="67"/>
        <v>2680000</v>
      </c>
      <c r="O338" s="12">
        <f t="shared" si="68"/>
        <v>0.11670602647754814</v>
      </c>
      <c r="P338" s="9">
        <f t="shared" si="69"/>
        <v>24877321.428571429</v>
      </c>
      <c r="Q338" s="11">
        <f t="shared" si="70"/>
        <v>2680000</v>
      </c>
      <c r="R338" s="12">
        <f t="shared" si="71"/>
        <v>0.10772863982542907</v>
      </c>
    </row>
    <row r="339" spans="1:18" x14ac:dyDescent="0.3">
      <c r="A339" s="1">
        <v>14650001</v>
      </c>
      <c r="B339" s="1">
        <v>14700000</v>
      </c>
      <c r="C339">
        <v>7000</v>
      </c>
      <c r="D339" s="14">
        <v>0.03</v>
      </c>
      <c r="E339" s="3">
        <f t="shared" si="60"/>
        <v>1911000</v>
      </c>
      <c r="F339" s="3">
        <f t="shared" si="61"/>
        <v>1661100</v>
      </c>
      <c r="G339" s="2">
        <f t="shared" si="62"/>
        <v>0.18088435374149658</v>
      </c>
      <c r="H339" s="9">
        <f t="shared" si="63"/>
        <v>30000</v>
      </c>
      <c r="I339" s="9">
        <f t="shared" si="64"/>
        <v>2689000</v>
      </c>
      <c r="L339" s="9">
        <f t="shared" si="65"/>
        <v>20968100</v>
      </c>
      <c r="M339" s="9">
        <f t="shared" si="66"/>
        <v>23041868.131868135</v>
      </c>
      <c r="N339" s="11">
        <f t="shared" si="67"/>
        <v>2689000</v>
      </c>
      <c r="O339" s="12">
        <f t="shared" si="68"/>
        <v>0.11670060711270928</v>
      </c>
      <c r="P339" s="9">
        <f t="shared" si="69"/>
        <v>24962023.80952381</v>
      </c>
      <c r="Q339" s="11">
        <f t="shared" si="70"/>
        <v>2689000</v>
      </c>
      <c r="R339" s="12">
        <f t="shared" si="71"/>
        <v>0.10772363733480859</v>
      </c>
    </row>
    <row r="340" spans="1:18" x14ac:dyDescent="0.3">
      <c r="A340" s="1">
        <v>14700001</v>
      </c>
      <c r="B340" s="1">
        <v>14750000</v>
      </c>
      <c r="C340">
        <v>7000</v>
      </c>
      <c r="D340" s="14">
        <v>0.03</v>
      </c>
      <c r="E340" s="3">
        <f t="shared" si="60"/>
        <v>1917500</v>
      </c>
      <c r="F340" s="3">
        <f t="shared" si="61"/>
        <v>1666750</v>
      </c>
      <c r="G340" s="2">
        <f t="shared" si="62"/>
        <v>0.18088135593220339</v>
      </c>
      <c r="H340" s="9">
        <f t="shared" si="63"/>
        <v>30000</v>
      </c>
      <c r="I340" s="9">
        <f t="shared" si="64"/>
        <v>2698000</v>
      </c>
      <c r="L340" s="9">
        <f t="shared" si="65"/>
        <v>21039250</v>
      </c>
      <c r="M340" s="9">
        <f t="shared" si="66"/>
        <v>23120054.945054948</v>
      </c>
      <c r="N340" s="11">
        <f t="shared" si="67"/>
        <v>2698000</v>
      </c>
      <c r="O340" s="12">
        <f t="shared" si="68"/>
        <v>0.11669522440201051</v>
      </c>
      <c r="P340" s="9">
        <f t="shared" si="69"/>
        <v>25046726.19047619</v>
      </c>
      <c r="Q340" s="11">
        <f t="shared" si="70"/>
        <v>2698000</v>
      </c>
      <c r="R340" s="12">
        <f t="shared" si="71"/>
        <v>0.10771866867877895</v>
      </c>
    </row>
    <row r="341" spans="1:18" x14ac:dyDescent="0.3">
      <c r="A341" s="1">
        <v>14750001</v>
      </c>
      <c r="B341" s="1">
        <v>14800000</v>
      </c>
      <c r="C341">
        <v>7000</v>
      </c>
      <c r="D341" s="14">
        <v>0.03</v>
      </c>
      <c r="E341" s="3">
        <f t="shared" si="60"/>
        <v>1924000</v>
      </c>
      <c r="F341" s="3">
        <f t="shared" si="61"/>
        <v>1672400</v>
      </c>
      <c r="G341" s="2">
        <f t="shared" si="62"/>
        <v>0.18087837837837836</v>
      </c>
      <c r="H341" s="9">
        <f t="shared" si="63"/>
        <v>30000</v>
      </c>
      <c r="I341" s="9">
        <f t="shared" si="64"/>
        <v>2707000</v>
      </c>
      <c r="L341" s="9">
        <f t="shared" si="65"/>
        <v>21110400</v>
      </c>
      <c r="M341" s="9">
        <f t="shared" si="66"/>
        <v>23198241.758241761</v>
      </c>
      <c r="N341" s="11">
        <f t="shared" si="67"/>
        <v>2707000</v>
      </c>
      <c r="O341" s="12">
        <f t="shared" si="68"/>
        <v>0.11668987797483703</v>
      </c>
      <c r="P341" s="9">
        <f t="shared" si="69"/>
        <v>25131428.571428571</v>
      </c>
      <c r="Q341" s="11">
        <f t="shared" si="70"/>
        <v>2707000</v>
      </c>
      <c r="R341" s="12">
        <f t="shared" si="71"/>
        <v>0.10771373351523419</v>
      </c>
    </row>
    <row r="342" spans="1:18" x14ac:dyDescent="0.3">
      <c r="A342" s="1">
        <v>14800001</v>
      </c>
      <c r="B342" s="1">
        <v>14850000</v>
      </c>
      <c r="C342">
        <v>7000</v>
      </c>
      <c r="D342" s="14">
        <v>0.03</v>
      </c>
      <c r="E342" s="3">
        <f t="shared" si="60"/>
        <v>1930500</v>
      </c>
      <c r="F342" s="3">
        <f t="shared" si="61"/>
        <v>1678050</v>
      </c>
      <c r="G342" s="2">
        <f t="shared" si="62"/>
        <v>0.18087542087542086</v>
      </c>
      <c r="H342" s="9">
        <f t="shared" si="63"/>
        <v>30000</v>
      </c>
      <c r="I342" s="9">
        <f t="shared" si="64"/>
        <v>2715999.9999999995</v>
      </c>
      <c r="L342" s="9">
        <f t="shared" si="65"/>
        <v>21181550</v>
      </c>
      <c r="M342" s="9">
        <f t="shared" si="66"/>
        <v>23276428.571428575</v>
      </c>
      <c r="N342" s="11">
        <f t="shared" si="67"/>
        <v>2716000</v>
      </c>
      <c r="O342" s="12">
        <f t="shared" si="68"/>
        <v>0.11668456746555374</v>
      </c>
      <c r="P342" s="9">
        <f t="shared" si="69"/>
        <v>25216130.952380951</v>
      </c>
      <c r="Q342" s="11">
        <f t="shared" si="70"/>
        <v>2716000</v>
      </c>
      <c r="R342" s="12">
        <f t="shared" si="71"/>
        <v>0.10770883150666501</v>
      </c>
    </row>
    <row r="343" spans="1:18" x14ac:dyDescent="0.3">
      <c r="A343" s="1">
        <v>14850001</v>
      </c>
      <c r="B343" s="1">
        <v>14900000</v>
      </c>
      <c r="C343">
        <v>7000</v>
      </c>
      <c r="D343" s="14">
        <v>0.03</v>
      </c>
      <c r="E343" s="3">
        <f t="shared" si="60"/>
        <v>1937000</v>
      </c>
      <c r="F343" s="3">
        <f t="shared" si="61"/>
        <v>1683700</v>
      </c>
      <c r="G343" s="2">
        <f t="shared" si="62"/>
        <v>0.1808724832214765</v>
      </c>
      <c r="H343" s="9">
        <f t="shared" si="63"/>
        <v>30000</v>
      </c>
      <c r="I343" s="9">
        <f t="shared" si="64"/>
        <v>2725000</v>
      </c>
      <c r="L343" s="9">
        <f t="shared" si="65"/>
        <v>21252700</v>
      </c>
      <c r="M343" s="9">
        <f t="shared" si="66"/>
        <v>23354615.384615388</v>
      </c>
      <c r="N343" s="11">
        <f t="shared" si="67"/>
        <v>2725000</v>
      </c>
      <c r="O343" s="12">
        <f t="shared" si="68"/>
        <v>0.11667929251342181</v>
      </c>
      <c r="P343" s="9">
        <f t="shared" si="69"/>
        <v>25300833.333333336</v>
      </c>
      <c r="Q343" s="11">
        <f t="shared" si="70"/>
        <v>2725000</v>
      </c>
      <c r="R343" s="12">
        <f t="shared" si="71"/>
        <v>0.10770396232008167</v>
      </c>
    </row>
    <row r="344" spans="1:18" x14ac:dyDescent="0.3">
      <c r="A344" s="1">
        <v>14900001</v>
      </c>
      <c r="B344" s="1">
        <v>14950000</v>
      </c>
      <c r="C344">
        <v>7000</v>
      </c>
      <c r="D344" s="14">
        <v>0.03</v>
      </c>
      <c r="E344" s="3">
        <f t="shared" si="60"/>
        <v>1943500</v>
      </c>
      <c r="F344" s="3">
        <f t="shared" si="61"/>
        <v>1689350</v>
      </c>
      <c r="G344" s="2">
        <f t="shared" si="62"/>
        <v>0.18086956521739131</v>
      </c>
      <c r="H344" s="9">
        <f t="shared" si="63"/>
        <v>30000</v>
      </c>
      <c r="I344" s="9">
        <f t="shared" si="64"/>
        <v>2734000</v>
      </c>
      <c r="L344" s="9">
        <f t="shared" si="65"/>
        <v>21323850</v>
      </c>
      <c r="M344" s="9">
        <f t="shared" si="66"/>
        <v>23432802.197802201</v>
      </c>
      <c r="N344" s="11">
        <f t="shared" si="67"/>
        <v>2734000</v>
      </c>
      <c r="O344" s="12">
        <f t="shared" si="68"/>
        <v>0.11667405276251708</v>
      </c>
      <c r="P344" s="9">
        <f t="shared" si="69"/>
        <v>25385535.714285716</v>
      </c>
      <c r="Q344" s="11">
        <f t="shared" si="70"/>
        <v>2734000</v>
      </c>
      <c r="R344" s="12">
        <f t="shared" si="71"/>
        <v>0.10769912562693884</v>
      </c>
    </row>
    <row r="345" spans="1:18" x14ac:dyDescent="0.3">
      <c r="A345" s="1">
        <v>14950001</v>
      </c>
      <c r="B345" s="1">
        <v>15000000</v>
      </c>
      <c r="C345">
        <v>7000</v>
      </c>
      <c r="D345" s="14">
        <v>0.03</v>
      </c>
      <c r="E345" s="3">
        <f t="shared" si="60"/>
        <v>1950000</v>
      </c>
      <c r="F345" s="3">
        <f t="shared" si="61"/>
        <v>1695000</v>
      </c>
      <c r="G345" s="2">
        <f t="shared" si="62"/>
        <v>0.18086666666666665</v>
      </c>
      <c r="H345" s="9">
        <f t="shared" si="63"/>
        <v>30000</v>
      </c>
      <c r="I345" s="9">
        <f t="shared" si="64"/>
        <v>2742999.9999999995</v>
      </c>
      <c r="L345" s="9">
        <f t="shared" si="65"/>
        <v>21395000</v>
      </c>
      <c r="M345" s="9">
        <f t="shared" si="66"/>
        <v>23510989.010989014</v>
      </c>
      <c r="N345" s="11">
        <f t="shared" si="67"/>
        <v>2743000</v>
      </c>
      <c r="O345" s="12">
        <f t="shared" si="68"/>
        <v>0.1166688478616499</v>
      </c>
      <c r="P345" s="9">
        <f t="shared" si="69"/>
        <v>25470238.095238097</v>
      </c>
      <c r="Q345" s="11">
        <f t="shared" si="70"/>
        <v>2743000</v>
      </c>
      <c r="R345" s="12">
        <f t="shared" si="71"/>
        <v>0.10769432110306146</v>
      </c>
    </row>
    <row r="346" spans="1:18" x14ac:dyDescent="0.3">
      <c r="A346" s="1">
        <v>15000001</v>
      </c>
      <c r="B346" s="1">
        <v>15050000</v>
      </c>
      <c r="C346">
        <v>7000</v>
      </c>
      <c r="D346" s="14">
        <v>0.03</v>
      </c>
      <c r="E346" s="3">
        <f t="shared" si="60"/>
        <v>1956500</v>
      </c>
      <c r="F346" s="3">
        <f t="shared" si="61"/>
        <v>1700650</v>
      </c>
      <c r="G346" s="2">
        <f t="shared" si="62"/>
        <v>0.18086378737541528</v>
      </c>
      <c r="H346" s="9">
        <f t="shared" si="63"/>
        <v>30000</v>
      </c>
      <c r="I346" s="9">
        <f t="shared" si="64"/>
        <v>2752000</v>
      </c>
      <c r="L346" s="9">
        <f t="shared" si="65"/>
        <v>21466150</v>
      </c>
      <c r="M346" s="9">
        <f t="shared" si="66"/>
        <v>23589175.824175827</v>
      </c>
      <c r="N346" s="11">
        <f t="shared" si="67"/>
        <v>2752000</v>
      </c>
      <c r="O346" s="12">
        <f t="shared" si="68"/>
        <v>0.11666367746428678</v>
      </c>
      <c r="P346" s="9">
        <f t="shared" si="69"/>
        <v>25554940.476190478</v>
      </c>
      <c r="Q346" s="11">
        <f t="shared" si="70"/>
        <v>2752000</v>
      </c>
      <c r="R346" s="12">
        <f t="shared" si="71"/>
        <v>0.10768954842857242</v>
      </c>
    </row>
    <row r="347" spans="1:18" x14ac:dyDescent="0.3">
      <c r="A347" s="1">
        <v>15050001</v>
      </c>
      <c r="B347" s="1">
        <v>15100000</v>
      </c>
      <c r="C347">
        <v>7000</v>
      </c>
      <c r="D347" s="14">
        <v>0.03</v>
      </c>
      <c r="E347" s="3">
        <f t="shared" si="60"/>
        <v>1963000</v>
      </c>
      <c r="F347" s="3">
        <f t="shared" si="61"/>
        <v>1706300</v>
      </c>
      <c r="G347" s="2">
        <f t="shared" si="62"/>
        <v>0.18086092715231789</v>
      </c>
      <c r="H347" s="9">
        <f t="shared" si="63"/>
        <v>30000</v>
      </c>
      <c r="I347" s="9">
        <f t="shared" si="64"/>
        <v>2761000</v>
      </c>
      <c r="L347" s="9">
        <f t="shared" si="65"/>
        <v>21537300</v>
      </c>
      <c r="M347" s="9">
        <f t="shared" si="66"/>
        <v>23667362.63736264</v>
      </c>
      <c r="N347" s="11">
        <f t="shared" si="67"/>
        <v>2761000</v>
      </c>
      <c r="O347" s="12">
        <f t="shared" si="68"/>
        <v>0.11665854122847338</v>
      </c>
      <c r="P347" s="9">
        <f t="shared" si="69"/>
        <v>25639642.857142858</v>
      </c>
      <c r="Q347" s="11">
        <f t="shared" si="70"/>
        <v>2761000</v>
      </c>
      <c r="R347" s="12">
        <f t="shared" si="71"/>
        <v>0.10768480728782159</v>
      </c>
    </row>
    <row r="348" spans="1:18" x14ac:dyDescent="0.3">
      <c r="A348" s="1">
        <v>15100001</v>
      </c>
      <c r="B348" s="1">
        <v>15150000</v>
      </c>
      <c r="C348">
        <v>7000</v>
      </c>
      <c r="D348" s="14">
        <v>0.03</v>
      </c>
      <c r="E348" s="3">
        <f t="shared" si="60"/>
        <v>1969500</v>
      </c>
      <c r="F348" s="3">
        <f t="shared" si="61"/>
        <v>1711950</v>
      </c>
      <c r="G348" s="2">
        <f t="shared" si="62"/>
        <v>0.18085808580858084</v>
      </c>
      <c r="H348" s="9">
        <f t="shared" si="63"/>
        <v>30000</v>
      </c>
      <c r="I348" s="9">
        <f t="shared" si="64"/>
        <v>2770000</v>
      </c>
      <c r="L348" s="9">
        <f t="shared" si="65"/>
        <v>21608450</v>
      </c>
      <c r="M348" s="9">
        <f t="shared" si="66"/>
        <v>23745549.450549453</v>
      </c>
      <c r="N348" s="11">
        <f t="shared" si="67"/>
        <v>2770000</v>
      </c>
      <c r="O348" s="12">
        <f t="shared" si="68"/>
        <v>0.11665343881675917</v>
      </c>
      <c r="P348" s="9">
        <f t="shared" si="69"/>
        <v>25724345.238095239</v>
      </c>
      <c r="Q348" s="11">
        <f t="shared" si="70"/>
        <v>2770000</v>
      </c>
      <c r="R348" s="12">
        <f t="shared" si="71"/>
        <v>0.10768009736931616</v>
      </c>
    </row>
    <row r="349" spans="1:18" x14ac:dyDescent="0.3">
      <c r="A349" s="1">
        <v>15150001</v>
      </c>
      <c r="B349" s="1">
        <v>15200000</v>
      </c>
      <c r="C349">
        <v>7000</v>
      </c>
      <c r="D349" s="14">
        <v>0.03</v>
      </c>
      <c r="E349" s="3">
        <f t="shared" si="60"/>
        <v>1976000</v>
      </c>
      <c r="F349" s="3">
        <f t="shared" si="61"/>
        <v>1717600</v>
      </c>
      <c r="G349" s="2">
        <f t="shared" si="62"/>
        <v>0.18085526315789474</v>
      </c>
      <c r="H349" s="9">
        <f t="shared" si="63"/>
        <v>30000</v>
      </c>
      <c r="I349" s="9">
        <f t="shared" si="64"/>
        <v>2779000</v>
      </c>
      <c r="L349" s="9">
        <f t="shared" si="65"/>
        <v>21679600</v>
      </c>
      <c r="M349" s="9">
        <f t="shared" si="66"/>
        <v>23823736.263736267</v>
      </c>
      <c r="N349" s="11">
        <f t="shared" si="67"/>
        <v>2779000</v>
      </c>
      <c r="O349" s="12">
        <f t="shared" si="68"/>
        <v>0.11664836989612352</v>
      </c>
      <c r="P349" s="9">
        <f t="shared" si="69"/>
        <v>25809047.619047619</v>
      </c>
      <c r="Q349" s="11">
        <f t="shared" si="70"/>
        <v>2779000</v>
      </c>
      <c r="R349" s="12">
        <f t="shared" si="71"/>
        <v>0.1076754183656525</v>
      </c>
    </row>
    <row r="350" spans="1:18" x14ac:dyDescent="0.3">
      <c r="A350" s="1">
        <v>15200001</v>
      </c>
      <c r="B350" s="1">
        <v>15250000</v>
      </c>
      <c r="C350">
        <v>7000</v>
      </c>
      <c r="D350" s="14">
        <v>0.03</v>
      </c>
      <c r="E350" s="3">
        <f t="shared" si="60"/>
        <v>1982500</v>
      </c>
      <c r="F350" s="3">
        <f t="shared" si="61"/>
        <v>1723250</v>
      </c>
      <c r="G350" s="2">
        <f t="shared" si="62"/>
        <v>0.18085245901639344</v>
      </c>
      <c r="H350" s="9">
        <f t="shared" si="63"/>
        <v>30000</v>
      </c>
      <c r="I350" s="9">
        <f t="shared" si="64"/>
        <v>2788000</v>
      </c>
      <c r="L350" s="9">
        <f t="shared" si="65"/>
        <v>21750750</v>
      </c>
      <c r="M350" s="9">
        <f t="shared" si="66"/>
        <v>23901923.07692308</v>
      </c>
      <c r="N350" s="11">
        <f t="shared" si="67"/>
        <v>2788000</v>
      </c>
      <c r="O350" s="12">
        <f t="shared" si="68"/>
        <v>0.11664333413790327</v>
      </c>
      <c r="P350" s="9">
        <f t="shared" si="69"/>
        <v>25893750</v>
      </c>
      <c r="Q350" s="11">
        <f t="shared" si="70"/>
        <v>2788000</v>
      </c>
      <c r="R350" s="12">
        <f t="shared" si="71"/>
        <v>0.1076707699734492</v>
      </c>
    </row>
    <row r="351" spans="1:18" x14ac:dyDescent="0.3">
      <c r="A351" s="1">
        <v>15250001</v>
      </c>
      <c r="B351" s="1">
        <v>15300000</v>
      </c>
      <c r="C351">
        <v>7000</v>
      </c>
      <c r="D351" s="14">
        <v>0.03</v>
      </c>
      <c r="E351" s="3">
        <f t="shared" si="60"/>
        <v>1989000</v>
      </c>
      <c r="F351" s="3">
        <f t="shared" si="61"/>
        <v>1728900</v>
      </c>
      <c r="G351" s="2">
        <f t="shared" si="62"/>
        <v>0.18084967320261439</v>
      </c>
      <c r="H351" s="9">
        <f t="shared" si="63"/>
        <v>30000</v>
      </c>
      <c r="I351" s="9">
        <f t="shared" si="64"/>
        <v>2797000</v>
      </c>
      <c r="L351" s="9">
        <f t="shared" si="65"/>
        <v>21821900</v>
      </c>
      <c r="M351" s="9">
        <f t="shared" si="66"/>
        <v>23980109.890109893</v>
      </c>
      <c r="N351" s="11">
        <f t="shared" si="67"/>
        <v>2797000</v>
      </c>
      <c r="O351" s="12">
        <f t="shared" si="68"/>
        <v>0.11663833121772163</v>
      </c>
      <c r="P351" s="9">
        <f t="shared" si="69"/>
        <v>25978452.380952381</v>
      </c>
      <c r="Q351" s="11">
        <f t="shared" si="70"/>
        <v>2797000</v>
      </c>
      <c r="R351" s="12">
        <f t="shared" si="71"/>
        <v>0.10766615189328152</v>
      </c>
    </row>
    <row r="352" spans="1:18" x14ac:dyDescent="0.3">
      <c r="A352" s="1">
        <v>15300001</v>
      </c>
      <c r="B352" s="1">
        <v>15350000</v>
      </c>
      <c r="C352">
        <v>7000</v>
      </c>
      <c r="D352" s="14">
        <v>0.03</v>
      </c>
      <c r="E352" s="3">
        <f t="shared" si="60"/>
        <v>1995500</v>
      </c>
      <c r="F352" s="3">
        <f t="shared" si="61"/>
        <v>1734550</v>
      </c>
      <c r="G352" s="2">
        <f t="shared" si="62"/>
        <v>0.18084690553745927</v>
      </c>
      <c r="H352" s="9">
        <f t="shared" si="63"/>
        <v>30000</v>
      </c>
      <c r="I352" s="9">
        <f t="shared" si="64"/>
        <v>2806000</v>
      </c>
      <c r="L352" s="9">
        <f t="shared" si="65"/>
        <v>21893050</v>
      </c>
      <c r="M352" s="9">
        <f t="shared" si="66"/>
        <v>24058296.703296706</v>
      </c>
      <c r="N352" s="11">
        <f t="shared" si="67"/>
        <v>2806000</v>
      </c>
      <c r="O352" s="12">
        <f t="shared" si="68"/>
        <v>0.11663336081541857</v>
      </c>
      <c r="P352" s="9">
        <f t="shared" si="69"/>
        <v>26063154.761904761</v>
      </c>
      <c r="Q352" s="11">
        <f t="shared" si="70"/>
        <v>2806000</v>
      </c>
      <c r="R352" s="12">
        <f t="shared" si="71"/>
        <v>0.10766156382961717</v>
      </c>
    </row>
    <row r="353" spans="1:18" x14ac:dyDescent="0.3">
      <c r="A353" s="1">
        <v>15350001</v>
      </c>
      <c r="B353" s="1">
        <v>15400000</v>
      </c>
      <c r="C353">
        <v>7000</v>
      </c>
      <c r="D353" s="14">
        <v>0.03</v>
      </c>
      <c r="E353" s="3">
        <f t="shared" ref="E353:E416" si="72">B353*13%</f>
        <v>2002000</v>
      </c>
      <c r="F353" s="3">
        <f t="shared" ref="F353:F416" si="73">(B353+E353)*10%</f>
        <v>1740200</v>
      </c>
      <c r="G353" s="2">
        <f t="shared" si="62"/>
        <v>0.18084415584415584</v>
      </c>
      <c r="H353" s="9">
        <f t="shared" si="63"/>
        <v>30000</v>
      </c>
      <c r="I353" s="9">
        <f t="shared" si="64"/>
        <v>2815000</v>
      </c>
      <c r="L353" s="9">
        <f t="shared" si="65"/>
        <v>21964200</v>
      </c>
      <c r="M353" s="9">
        <f t="shared" si="66"/>
        <v>24136483.516483519</v>
      </c>
      <c r="N353" s="11">
        <f t="shared" si="67"/>
        <v>2815000</v>
      </c>
      <c r="O353" s="12">
        <f t="shared" si="68"/>
        <v>0.11662842261498255</v>
      </c>
      <c r="P353" s="9">
        <f t="shared" si="69"/>
        <v>26147857.142857146</v>
      </c>
      <c r="Q353" s="11">
        <f t="shared" si="70"/>
        <v>2815000</v>
      </c>
      <c r="R353" s="12">
        <f t="shared" si="71"/>
        <v>0.10765700549075312</v>
      </c>
    </row>
    <row r="354" spans="1:18" x14ac:dyDescent="0.3">
      <c r="A354" s="1">
        <v>15400001</v>
      </c>
      <c r="B354" s="1">
        <v>15450000</v>
      </c>
      <c r="C354">
        <v>7000</v>
      </c>
      <c r="D354" s="14">
        <v>0.03</v>
      </c>
      <c r="E354" s="3">
        <f t="shared" si="72"/>
        <v>2008500</v>
      </c>
      <c r="F354" s="3">
        <f t="shared" si="73"/>
        <v>1745850</v>
      </c>
      <c r="G354" s="2">
        <f t="shared" si="62"/>
        <v>0.18084142394822006</v>
      </c>
      <c r="H354" s="9">
        <f t="shared" si="63"/>
        <v>30000</v>
      </c>
      <c r="I354" s="9">
        <f t="shared" si="64"/>
        <v>2824000</v>
      </c>
      <c r="L354" s="9">
        <f t="shared" si="65"/>
        <v>22035350</v>
      </c>
      <c r="M354" s="9">
        <f t="shared" si="66"/>
        <v>24214670.329670332</v>
      </c>
      <c r="N354" s="11">
        <f t="shared" si="67"/>
        <v>2824000</v>
      </c>
      <c r="O354" s="12">
        <f t="shared" si="68"/>
        <v>0.11662351630448346</v>
      </c>
      <c r="P354" s="9">
        <f t="shared" si="69"/>
        <v>26232559.523809526</v>
      </c>
      <c r="Q354" s="11">
        <f t="shared" si="70"/>
        <v>2824000</v>
      </c>
      <c r="R354" s="12">
        <f t="shared" si="71"/>
        <v>0.10765247658875397</v>
      </c>
    </row>
    <row r="355" spans="1:18" x14ac:dyDescent="0.3">
      <c r="A355" s="1">
        <v>15450001</v>
      </c>
      <c r="B355" s="1">
        <v>15500000</v>
      </c>
      <c r="C355">
        <v>7000</v>
      </c>
      <c r="D355" s="14">
        <v>0.03</v>
      </c>
      <c r="E355" s="3">
        <f t="shared" si="72"/>
        <v>2015000</v>
      </c>
      <c r="F355" s="3">
        <f t="shared" si="73"/>
        <v>1751500</v>
      </c>
      <c r="G355" s="2">
        <f t="shared" si="62"/>
        <v>0.18083870967741936</v>
      </c>
      <c r="H355" s="9">
        <f t="shared" si="63"/>
        <v>30000</v>
      </c>
      <c r="I355" s="9">
        <f t="shared" si="64"/>
        <v>2833000</v>
      </c>
      <c r="L355" s="9">
        <f t="shared" si="65"/>
        <v>22106500</v>
      </c>
      <c r="M355" s="9">
        <f t="shared" si="66"/>
        <v>24292857.142857146</v>
      </c>
      <c r="N355" s="11">
        <f t="shared" si="67"/>
        <v>2833000</v>
      </c>
      <c r="O355" s="12">
        <f t="shared" si="68"/>
        <v>0.11661864157600704</v>
      </c>
      <c r="P355" s="9">
        <f t="shared" si="69"/>
        <v>26317261.904761907</v>
      </c>
      <c r="Q355" s="11">
        <f t="shared" si="70"/>
        <v>2833000</v>
      </c>
      <c r="R355" s="12">
        <f t="shared" si="71"/>
        <v>0.10764797683939112</v>
      </c>
    </row>
    <row r="356" spans="1:18" x14ac:dyDescent="0.3">
      <c r="A356" s="1">
        <v>15500001</v>
      </c>
      <c r="B356" s="1">
        <v>15550000</v>
      </c>
      <c r="C356">
        <v>7000</v>
      </c>
      <c r="D356" s="14">
        <v>0.03</v>
      </c>
      <c r="E356" s="3">
        <f t="shared" si="72"/>
        <v>2021500</v>
      </c>
      <c r="F356" s="3">
        <f t="shared" si="73"/>
        <v>1757150</v>
      </c>
      <c r="G356" s="2">
        <f t="shared" si="62"/>
        <v>0.18083601286173634</v>
      </c>
      <c r="H356" s="9">
        <f t="shared" si="63"/>
        <v>30000</v>
      </c>
      <c r="I356" s="9">
        <f t="shared" si="64"/>
        <v>2842000</v>
      </c>
      <c r="L356" s="9">
        <f t="shared" si="65"/>
        <v>22177650</v>
      </c>
      <c r="M356" s="9">
        <f t="shared" si="66"/>
        <v>24371043.956043959</v>
      </c>
      <c r="N356" s="11">
        <f t="shared" si="67"/>
        <v>2842000</v>
      </c>
      <c r="O356" s="12">
        <f t="shared" si="68"/>
        <v>0.11661379812559039</v>
      </c>
      <c r="P356" s="9">
        <f t="shared" si="69"/>
        <v>26401964.285714287</v>
      </c>
      <c r="Q356" s="11">
        <f t="shared" si="70"/>
        <v>2842000</v>
      </c>
      <c r="R356" s="12">
        <f t="shared" si="71"/>
        <v>0.10764350596208344</v>
      </c>
    </row>
    <row r="357" spans="1:18" x14ac:dyDescent="0.3">
      <c r="A357" s="1">
        <v>15550001</v>
      </c>
      <c r="B357" s="1">
        <v>15600000</v>
      </c>
      <c r="C357">
        <v>7000</v>
      </c>
      <c r="D357" s="14">
        <v>0.03</v>
      </c>
      <c r="E357" s="3">
        <f t="shared" si="72"/>
        <v>2028000</v>
      </c>
      <c r="F357" s="3">
        <f t="shared" si="73"/>
        <v>1762800</v>
      </c>
      <c r="G357" s="2">
        <f t="shared" si="62"/>
        <v>0.18083333333333332</v>
      </c>
      <c r="H357" s="9">
        <f t="shared" si="63"/>
        <v>30000</v>
      </c>
      <c r="I357" s="9">
        <f t="shared" si="64"/>
        <v>2850999.9999999995</v>
      </c>
      <c r="L357" s="9">
        <f t="shared" si="65"/>
        <v>22248800</v>
      </c>
      <c r="M357" s="9">
        <f t="shared" si="66"/>
        <v>24449230.769230772</v>
      </c>
      <c r="N357" s="11">
        <f t="shared" si="67"/>
        <v>2851000</v>
      </c>
      <c r="O357" s="12">
        <f t="shared" si="68"/>
        <v>0.1166089856531588</v>
      </c>
      <c r="P357" s="9">
        <f t="shared" si="69"/>
        <v>26486666.666666668</v>
      </c>
      <c r="Q357" s="11">
        <f t="shared" si="70"/>
        <v>2851000</v>
      </c>
      <c r="R357" s="12">
        <f t="shared" si="71"/>
        <v>0.10763906367983891</v>
      </c>
    </row>
    <row r="358" spans="1:18" x14ac:dyDescent="0.3">
      <c r="A358" s="1">
        <v>15600001</v>
      </c>
      <c r="B358" s="1">
        <v>15650000</v>
      </c>
      <c r="C358">
        <v>7000</v>
      </c>
      <c r="D358" s="14">
        <v>0.03</v>
      </c>
      <c r="E358" s="3">
        <f t="shared" si="72"/>
        <v>2034500</v>
      </c>
      <c r="F358" s="3">
        <f t="shared" si="73"/>
        <v>1768450</v>
      </c>
      <c r="G358" s="2">
        <f t="shared" si="62"/>
        <v>0.18083067092651756</v>
      </c>
      <c r="H358" s="9">
        <f t="shared" si="63"/>
        <v>30000</v>
      </c>
      <c r="I358" s="9">
        <f t="shared" si="64"/>
        <v>2859999.9999999995</v>
      </c>
      <c r="L358" s="9">
        <f t="shared" si="65"/>
        <v>22319950</v>
      </c>
      <c r="M358" s="9">
        <f t="shared" si="66"/>
        <v>24527417.582417585</v>
      </c>
      <c r="N358" s="11">
        <f t="shared" si="67"/>
        <v>2860000</v>
      </c>
      <c r="O358" s="12">
        <f t="shared" si="68"/>
        <v>0.11660420386246384</v>
      </c>
      <c r="P358" s="9">
        <f t="shared" si="69"/>
        <v>26571369.047619049</v>
      </c>
      <c r="Q358" s="11">
        <f t="shared" si="70"/>
        <v>2860000</v>
      </c>
      <c r="R358" s="12">
        <f t="shared" si="71"/>
        <v>0.10763464971919739</v>
      </c>
    </row>
    <row r="359" spans="1:18" x14ac:dyDescent="0.3">
      <c r="A359" s="1">
        <v>15650001</v>
      </c>
      <c r="B359" s="1">
        <v>15700000</v>
      </c>
      <c r="C359">
        <v>7000</v>
      </c>
      <c r="D359" s="14">
        <v>0.03</v>
      </c>
      <c r="E359" s="3">
        <f t="shared" si="72"/>
        <v>2041000</v>
      </c>
      <c r="F359" s="3">
        <f t="shared" si="73"/>
        <v>1774100</v>
      </c>
      <c r="G359" s="2">
        <f t="shared" si="62"/>
        <v>0.18082802547770699</v>
      </c>
      <c r="H359" s="9">
        <f t="shared" si="63"/>
        <v>30000</v>
      </c>
      <c r="I359" s="9">
        <f t="shared" si="64"/>
        <v>2868999.9999999995</v>
      </c>
      <c r="L359" s="9">
        <f t="shared" si="65"/>
        <v>22391100</v>
      </c>
      <c r="M359" s="9">
        <f t="shared" si="66"/>
        <v>24605604.395604398</v>
      </c>
      <c r="N359" s="11">
        <f t="shared" si="67"/>
        <v>2869000</v>
      </c>
      <c r="O359" s="12">
        <f t="shared" si="68"/>
        <v>0.11659945246102245</v>
      </c>
      <c r="P359" s="9">
        <f t="shared" si="69"/>
        <v>26656071.428571429</v>
      </c>
      <c r="Q359" s="11">
        <f t="shared" si="70"/>
        <v>2869000</v>
      </c>
      <c r="R359" s="12">
        <f t="shared" si="71"/>
        <v>0.10763026381017457</v>
      </c>
    </row>
    <row r="360" spans="1:18" x14ac:dyDescent="0.3">
      <c r="A360" s="1">
        <v>15700001</v>
      </c>
      <c r="B360" s="1">
        <v>15750000</v>
      </c>
      <c r="C360">
        <v>7000</v>
      </c>
      <c r="D360" s="14">
        <v>0.03</v>
      </c>
      <c r="E360" s="3">
        <f t="shared" si="72"/>
        <v>2047500</v>
      </c>
      <c r="F360" s="3">
        <f t="shared" si="73"/>
        <v>1779750</v>
      </c>
      <c r="G360" s="2">
        <f t="shared" si="62"/>
        <v>0.18082539682539681</v>
      </c>
      <c r="H360" s="9">
        <f t="shared" si="63"/>
        <v>30000</v>
      </c>
      <c r="I360" s="9">
        <f t="shared" si="64"/>
        <v>2877999.9999999995</v>
      </c>
      <c r="L360" s="9">
        <f t="shared" si="65"/>
        <v>22462250</v>
      </c>
      <c r="M360" s="9">
        <f t="shared" si="66"/>
        <v>24683791.208791211</v>
      </c>
      <c r="N360" s="11">
        <f t="shared" si="67"/>
        <v>2878000</v>
      </c>
      <c r="O360" s="12">
        <f t="shared" si="68"/>
        <v>0.11659473116005742</v>
      </c>
      <c r="P360" s="9">
        <f t="shared" si="69"/>
        <v>26740773.80952381</v>
      </c>
      <c r="Q360" s="11">
        <f t="shared" si="70"/>
        <v>2878000</v>
      </c>
      <c r="R360" s="12">
        <f t="shared" si="71"/>
        <v>0.10762590568620686</v>
      </c>
    </row>
    <row r="361" spans="1:18" x14ac:dyDescent="0.3">
      <c r="A361" s="1">
        <v>15750001</v>
      </c>
      <c r="B361" s="1">
        <v>15800000</v>
      </c>
      <c r="C361">
        <v>7000</v>
      </c>
      <c r="D361" s="14">
        <v>0.03</v>
      </c>
      <c r="E361" s="3">
        <f t="shared" si="72"/>
        <v>2054000</v>
      </c>
      <c r="F361" s="3">
        <f t="shared" si="73"/>
        <v>1785400</v>
      </c>
      <c r="G361" s="2">
        <f t="shared" si="62"/>
        <v>0.18082278481012656</v>
      </c>
      <c r="H361" s="9">
        <f t="shared" si="63"/>
        <v>30000</v>
      </c>
      <c r="I361" s="9">
        <f t="shared" si="64"/>
        <v>2886999.9999999995</v>
      </c>
      <c r="L361" s="9">
        <f t="shared" si="65"/>
        <v>22533400</v>
      </c>
      <c r="M361" s="9">
        <f t="shared" si="66"/>
        <v>24761978.021978024</v>
      </c>
      <c r="N361" s="11">
        <f t="shared" si="67"/>
        <v>2887000</v>
      </c>
      <c r="O361" s="12">
        <f t="shared" si="68"/>
        <v>0.11659003967443882</v>
      </c>
      <c r="P361" s="9">
        <f t="shared" si="69"/>
        <v>26825476.19047619</v>
      </c>
      <c r="Q361" s="11">
        <f t="shared" si="70"/>
        <v>2887000</v>
      </c>
      <c r="R361" s="12">
        <f t="shared" si="71"/>
        <v>0.10762157508409738</v>
      </c>
    </row>
    <row r="362" spans="1:18" x14ac:dyDescent="0.3">
      <c r="A362" s="1">
        <v>15800001</v>
      </c>
      <c r="B362" s="1">
        <v>15850000</v>
      </c>
      <c r="C362">
        <v>7000</v>
      </c>
      <c r="D362" s="14">
        <v>0.03</v>
      </c>
      <c r="E362" s="3">
        <f t="shared" si="72"/>
        <v>2060500</v>
      </c>
      <c r="F362" s="3">
        <f t="shared" si="73"/>
        <v>1791050</v>
      </c>
      <c r="G362" s="2">
        <f t="shared" si="62"/>
        <v>0.18082018927444796</v>
      </c>
      <c r="H362" s="9">
        <f t="shared" si="63"/>
        <v>30000</v>
      </c>
      <c r="I362" s="9">
        <f t="shared" si="64"/>
        <v>2896000</v>
      </c>
      <c r="L362" s="9">
        <f t="shared" si="65"/>
        <v>22604550</v>
      </c>
      <c r="M362" s="9">
        <f t="shared" si="66"/>
        <v>24840164.835164838</v>
      </c>
      <c r="N362" s="11">
        <f t="shared" si="67"/>
        <v>2896000</v>
      </c>
      <c r="O362" s="12">
        <f t="shared" si="68"/>
        <v>0.11658537772262663</v>
      </c>
      <c r="P362" s="9">
        <f t="shared" si="69"/>
        <v>26910178.571428571</v>
      </c>
      <c r="Q362" s="11">
        <f t="shared" si="70"/>
        <v>2896000</v>
      </c>
      <c r="R362" s="12">
        <f t="shared" si="71"/>
        <v>0.10761727174396306</v>
      </c>
    </row>
    <row r="363" spans="1:18" x14ac:dyDescent="0.3">
      <c r="A363" s="1">
        <v>15850001</v>
      </c>
      <c r="B363" s="1">
        <v>15900000</v>
      </c>
      <c r="C363">
        <v>7000</v>
      </c>
      <c r="D363" s="14">
        <v>0.03</v>
      </c>
      <c r="E363" s="3">
        <f t="shared" si="72"/>
        <v>2067000</v>
      </c>
      <c r="F363" s="3">
        <f t="shared" si="73"/>
        <v>1796700</v>
      </c>
      <c r="G363" s="2">
        <f t="shared" si="62"/>
        <v>0.18081761006289307</v>
      </c>
      <c r="H363" s="9">
        <f t="shared" si="63"/>
        <v>30000</v>
      </c>
      <c r="I363" s="9">
        <f t="shared" si="64"/>
        <v>2905000</v>
      </c>
      <c r="L363" s="9">
        <f t="shared" si="65"/>
        <v>22675700</v>
      </c>
      <c r="M363" s="9">
        <f t="shared" si="66"/>
        <v>24918351.648351651</v>
      </c>
      <c r="N363" s="11">
        <f t="shared" si="67"/>
        <v>2905000</v>
      </c>
      <c r="O363" s="12">
        <f t="shared" si="68"/>
        <v>0.11658074502661438</v>
      </c>
      <c r="P363" s="9">
        <f t="shared" si="69"/>
        <v>26994880.952380955</v>
      </c>
      <c r="Q363" s="11">
        <f t="shared" si="70"/>
        <v>2905000</v>
      </c>
      <c r="R363" s="12">
        <f t="shared" si="71"/>
        <v>0.10761299540918251</v>
      </c>
    </row>
    <row r="364" spans="1:18" x14ac:dyDescent="0.3">
      <c r="A364" s="1">
        <v>15900001</v>
      </c>
      <c r="B364" s="1">
        <v>15950000</v>
      </c>
      <c r="C364">
        <v>7000</v>
      </c>
      <c r="D364" s="14">
        <v>0.03</v>
      </c>
      <c r="E364" s="3">
        <f t="shared" si="72"/>
        <v>2073500</v>
      </c>
      <c r="F364" s="3">
        <f t="shared" si="73"/>
        <v>1802350</v>
      </c>
      <c r="G364" s="2">
        <f t="shared" si="62"/>
        <v>0.18081504702194356</v>
      </c>
      <c r="H364" s="9">
        <f t="shared" si="63"/>
        <v>30000</v>
      </c>
      <c r="I364" s="9">
        <f t="shared" si="64"/>
        <v>2914000</v>
      </c>
      <c r="L364" s="9">
        <f t="shared" si="65"/>
        <v>22746850</v>
      </c>
      <c r="M364" s="9">
        <f t="shared" si="66"/>
        <v>24996538.461538464</v>
      </c>
      <c r="N364" s="11">
        <f t="shared" si="67"/>
        <v>2914000</v>
      </c>
      <c r="O364" s="12">
        <f t="shared" si="68"/>
        <v>0.11657614131187394</v>
      </c>
      <c r="P364" s="9">
        <f t="shared" si="69"/>
        <v>27079583.333333336</v>
      </c>
      <c r="Q364" s="11">
        <f t="shared" si="70"/>
        <v>2914000</v>
      </c>
      <c r="R364" s="12">
        <f t="shared" si="71"/>
        <v>0.10760874582634518</v>
      </c>
    </row>
    <row r="365" spans="1:18" x14ac:dyDescent="0.3">
      <c r="A365" s="1">
        <v>15950001</v>
      </c>
      <c r="B365" s="1">
        <v>16000000</v>
      </c>
      <c r="C365">
        <v>7000</v>
      </c>
      <c r="D365" s="14">
        <v>0.03</v>
      </c>
      <c r="E365" s="3">
        <f t="shared" si="72"/>
        <v>2080000</v>
      </c>
      <c r="F365" s="3">
        <f t="shared" si="73"/>
        <v>1808000</v>
      </c>
      <c r="G365" s="2">
        <f t="shared" si="62"/>
        <v>0.18081249999999999</v>
      </c>
      <c r="H365" s="9">
        <f t="shared" si="63"/>
        <v>30000</v>
      </c>
      <c r="I365" s="9">
        <f t="shared" si="64"/>
        <v>2923000</v>
      </c>
      <c r="L365" s="9">
        <f t="shared" si="65"/>
        <v>22818000</v>
      </c>
      <c r="M365" s="9">
        <f t="shared" si="66"/>
        <v>25074725.274725277</v>
      </c>
      <c r="N365" s="11">
        <f t="shared" si="67"/>
        <v>2923000</v>
      </c>
      <c r="O365" s="12">
        <f t="shared" si="68"/>
        <v>0.11657156630730124</v>
      </c>
      <c r="P365" s="9">
        <f t="shared" si="69"/>
        <v>27164285.714285716</v>
      </c>
      <c r="Q365" s="11">
        <f t="shared" si="70"/>
        <v>2923000</v>
      </c>
      <c r="R365" s="12">
        <f t="shared" si="71"/>
        <v>0.10760452274520114</v>
      </c>
    </row>
    <row r="366" spans="1:18" x14ac:dyDescent="0.3">
      <c r="A366" s="1">
        <v>16000001</v>
      </c>
      <c r="B366" s="1">
        <v>16050000</v>
      </c>
      <c r="C366">
        <v>7000</v>
      </c>
      <c r="D366" s="14">
        <v>0.03</v>
      </c>
      <c r="E366" s="3">
        <f t="shared" si="72"/>
        <v>2086500</v>
      </c>
      <c r="F366" s="3">
        <f t="shared" si="73"/>
        <v>1813650</v>
      </c>
      <c r="G366" s="2">
        <f t="shared" si="62"/>
        <v>0.18080996884735201</v>
      </c>
      <c r="H366" s="9">
        <f t="shared" si="63"/>
        <v>30000</v>
      </c>
      <c r="I366" s="9">
        <f t="shared" si="64"/>
        <v>2931999.9999999995</v>
      </c>
      <c r="L366" s="9">
        <f t="shared" si="65"/>
        <v>22889150</v>
      </c>
      <c r="M366" s="9">
        <f t="shared" si="66"/>
        <v>25152912.08791209</v>
      </c>
      <c r="N366" s="11">
        <f t="shared" si="67"/>
        <v>2932000</v>
      </c>
      <c r="O366" s="12">
        <f t="shared" si="68"/>
        <v>0.11656701974516309</v>
      </c>
      <c r="P366" s="9">
        <f t="shared" si="69"/>
        <v>27248988.095238097</v>
      </c>
      <c r="Q366" s="11">
        <f t="shared" si="70"/>
        <v>2932000</v>
      </c>
      <c r="R366" s="12">
        <f t="shared" si="71"/>
        <v>0.10760032591861209</v>
      </c>
    </row>
    <row r="367" spans="1:18" x14ac:dyDescent="0.3">
      <c r="A367" s="1">
        <v>16050001</v>
      </c>
      <c r="B367" s="1">
        <v>16100000</v>
      </c>
      <c r="C367">
        <v>7000</v>
      </c>
      <c r="D367" s="14">
        <v>0.03</v>
      </c>
      <c r="E367" s="3">
        <f t="shared" si="72"/>
        <v>2093000</v>
      </c>
      <c r="F367" s="3">
        <f t="shared" si="73"/>
        <v>1819300</v>
      </c>
      <c r="G367" s="2">
        <f t="shared" si="62"/>
        <v>0.18080745341614907</v>
      </c>
      <c r="H367" s="9">
        <f t="shared" si="63"/>
        <v>30000</v>
      </c>
      <c r="I367" s="9">
        <f t="shared" si="64"/>
        <v>2941000</v>
      </c>
      <c r="L367" s="9">
        <f t="shared" si="65"/>
        <v>22960300</v>
      </c>
      <c r="M367" s="9">
        <f t="shared" si="66"/>
        <v>25231098.901098903</v>
      </c>
      <c r="N367" s="11">
        <f t="shared" si="67"/>
        <v>2941000</v>
      </c>
      <c r="O367" s="12">
        <f t="shared" si="68"/>
        <v>0.11656250136104493</v>
      </c>
      <c r="P367" s="9">
        <f t="shared" si="69"/>
        <v>27333690.476190478</v>
      </c>
      <c r="Q367" s="11">
        <f t="shared" si="70"/>
        <v>2941000</v>
      </c>
      <c r="R367" s="12">
        <f t="shared" si="71"/>
        <v>0.107596155102503</v>
      </c>
    </row>
    <row r="368" spans="1:18" x14ac:dyDescent="0.3">
      <c r="A368" s="1">
        <v>16100001</v>
      </c>
      <c r="B368" s="1">
        <v>16150000</v>
      </c>
      <c r="C368">
        <v>7000</v>
      </c>
      <c r="D368" s="14">
        <v>0.03</v>
      </c>
      <c r="E368" s="3">
        <f t="shared" si="72"/>
        <v>2099500</v>
      </c>
      <c r="F368" s="3">
        <f t="shared" si="73"/>
        <v>1824950</v>
      </c>
      <c r="G368" s="2">
        <f t="shared" si="62"/>
        <v>0.18080495356037152</v>
      </c>
      <c r="H368" s="9">
        <f t="shared" si="63"/>
        <v>30000</v>
      </c>
      <c r="I368" s="9">
        <f t="shared" si="64"/>
        <v>2950000</v>
      </c>
      <c r="L368" s="9">
        <f t="shared" si="65"/>
        <v>23031450</v>
      </c>
      <c r="M368" s="9">
        <f t="shared" si="66"/>
        <v>25309285.714285716</v>
      </c>
      <c r="N368" s="11">
        <f t="shared" si="67"/>
        <v>2950000</v>
      </c>
      <c r="O368" s="12">
        <f t="shared" si="68"/>
        <v>0.11655801089379955</v>
      </c>
      <c r="P368" s="9">
        <f t="shared" si="69"/>
        <v>27418392.857142858</v>
      </c>
      <c r="Q368" s="11">
        <f t="shared" si="70"/>
        <v>2950000</v>
      </c>
      <c r="R368" s="12">
        <f t="shared" si="71"/>
        <v>0.10759201005581498</v>
      </c>
    </row>
    <row r="369" spans="1:18" x14ac:dyDescent="0.3">
      <c r="A369" s="1">
        <v>16150001</v>
      </c>
      <c r="B369" s="1">
        <v>16200000</v>
      </c>
      <c r="C369">
        <v>7000</v>
      </c>
      <c r="D369" s="14">
        <v>0.03</v>
      </c>
      <c r="E369" s="3">
        <f t="shared" si="72"/>
        <v>2106000</v>
      </c>
      <c r="F369" s="3">
        <f t="shared" si="73"/>
        <v>1830600</v>
      </c>
      <c r="G369" s="2">
        <f t="shared" si="62"/>
        <v>0.18080246913580247</v>
      </c>
      <c r="H369" s="9">
        <f t="shared" si="63"/>
        <v>30000</v>
      </c>
      <c r="I369" s="9">
        <f t="shared" si="64"/>
        <v>2959000</v>
      </c>
      <c r="L369" s="9">
        <f t="shared" si="65"/>
        <v>23102600</v>
      </c>
      <c r="M369" s="9">
        <f t="shared" si="66"/>
        <v>25387472.52747253</v>
      </c>
      <c r="N369" s="11">
        <f t="shared" si="67"/>
        <v>2959000</v>
      </c>
      <c r="O369" s="12">
        <f t="shared" si="68"/>
        <v>0.11655354808549687</v>
      </c>
      <c r="P369" s="9">
        <f t="shared" si="69"/>
        <v>27503095.238095239</v>
      </c>
      <c r="Q369" s="11">
        <f t="shared" si="70"/>
        <v>2959000</v>
      </c>
      <c r="R369" s="12">
        <f t="shared" si="71"/>
        <v>0.10758789054045864</v>
      </c>
    </row>
    <row r="370" spans="1:18" x14ac:dyDescent="0.3">
      <c r="A370" s="1">
        <v>16200001</v>
      </c>
      <c r="B370" s="1">
        <v>16250000</v>
      </c>
      <c r="C370">
        <v>7000</v>
      </c>
      <c r="D370" s="14">
        <v>0.03</v>
      </c>
      <c r="E370" s="3">
        <f t="shared" si="72"/>
        <v>2112500</v>
      </c>
      <c r="F370" s="3">
        <f t="shared" si="73"/>
        <v>1836250</v>
      </c>
      <c r="G370" s="2">
        <f t="shared" si="62"/>
        <v>0.18079999999999999</v>
      </c>
      <c r="H370" s="9">
        <f t="shared" si="63"/>
        <v>30000</v>
      </c>
      <c r="I370" s="9">
        <f t="shared" si="64"/>
        <v>2968000</v>
      </c>
      <c r="L370" s="9">
        <f t="shared" si="65"/>
        <v>23173750</v>
      </c>
      <c r="M370" s="9">
        <f t="shared" si="66"/>
        <v>25465659.340659343</v>
      </c>
      <c r="N370" s="11">
        <f t="shared" si="67"/>
        <v>2968000</v>
      </c>
      <c r="O370" s="12">
        <f t="shared" si="68"/>
        <v>0.11654911268137438</v>
      </c>
      <c r="P370" s="9">
        <f t="shared" si="69"/>
        <v>27587797.619047619</v>
      </c>
      <c r="Q370" s="11">
        <f t="shared" si="70"/>
        <v>2968000</v>
      </c>
      <c r="R370" s="12">
        <f t="shared" si="71"/>
        <v>0.10758379632126867</v>
      </c>
    </row>
    <row r="371" spans="1:18" x14ac:dyDescent="0.3">
      <c r="A371" s="1">
        <v>16250001</v>
      </c>
      <c r="B371" s="1">
        <v>16300000</v>
      </c>
      <c r="C371">
        <v>7000</v>
      </c>
      <c r="D371" s="14">
        <v>0.03</v>
      </c>
      <c r="E371" s="3">
        <f t="shared" si="72"/>
        <v>2119000</v>
      </c>
      <c r="F371" s="3">
        <f t="shared" si="73"/>
        <v>1841900</v>
      </c>
      <c r="G371" s="2">
        <f t="shared" si="62"/>
        <v>0.18079754601226994</v>
      </c>
      <c r="H371" s="9">
        <f t="shared" si="63"/>
        <v>30000</v>
      </c>
      <c r="I371" s="9">
        <f t="shared" si="64"/>
        <v>2977000</v>
      </c>
      <c r="L371" s="9">
        <f t="shared" si="65"/>
        <v>23244900</v>
      </c>
      <c r="M371" s="9">
        <f t="shared" si="66"/>
        <v>25543846.153846156</v>
      </c>
      <c r="N371" s="11">
        <f t="shared" si="67"/>
        <v>2977000</v>
      </c>
      <c r="O371" s="12">
        <f t="shared" si="68"/>
        <v>0.11654470442978888</v>
      </c>
      <c r="P371" s="9">
        <f t="shared" si="69"/>
        <v>27672500</v>
      </c>
      <c r="Q371" s="11">
        <f t="shared" si="70"/>
        <v>2977000</v>
      </c>
      <c r="R371" s="12">
        <f t="shared" si="71"/>
        <v>0.10757972716595898</v>
      </c>
    </row>
    <row r="372" spans="1:18" x14ac:dyDescent="0.3">
      <c r="A372" s="1">
        <v>16300001</v>
      </c>
      <c r="B372" s="1">
        <v>16350000</v>
      </c>
      <c r="C372">
        <v>7000</v>
      </c>
      <c r="D372" s="14">
        <v>0.03</v>
      </c>
      <c r="E372" s="3">
        <f t="shared" si="72"/>
        <v>2125500</v>
      </c>
      <c r="F372" s="3">
        <f t="shared" si="73"/>
        <v>1847550</v>
      </c>
      <c r="G372" s="2">
        <f t="shared" si="62"/>
        <v>0.18079510703363913</v>
      </c>
      <c r="H372" s="9">
        <f t="shared" si="63"/>
        <v>30000</v>
      </c>
      <c r="I372" s="9">
        <f t="shared" si="64"/>
        <v>2986000</v>
      </c>
      <c r="L372" s="9">
        <f t="shared" si="65"/>
        <v>23316050</v>
      </c>
      <c r="M372" s="9">
        <f t="shared" si="66"/>
        <v>25622032.967032969</v>
      </c>
      <c r="N372" s="11">
        <f t="shared" si="67"/>
        <v>2986000</v>
      </c>
      <c r="O372" s="12">
        <f t="shared" si="68"/>
        <v>0.11654032308216872</v>
      </c>
      <c r="P372" s="9">
        <f t="shared" si="69"/>
        <v>27757202.380952381</v>
      </c>
      <c r="Q372" s="11">
        <f t="shared" si="70"/>
        <v>2986000</v>
      </c>
      <c r="R372" s="12">
        <f t="shared" si="71"/>
        <v>0.10757568284507882</v>
      </c>
    </row>
    <row r="373" spans="1:18" x14ac:dyDescent="0.3">
      <c r="A373" s="1">
        <v>16350001</v>
      </c>
      <c r="B373" s="1">
        <v>16400000</v>
      </c>
      <c r="C373">
        <v>7000</v>
      </c>
      <c r="D373" s="14">
        <v>0.03</v>
      </c>
      <c r="E373" s="3">
        <f t="shared" si="72"/>
        <v>2132000</v>
      </c>
      <c r="F373" s="3">
        <f t="shared" si="73"/>
        <v>1853200</v>
      </c>
      <c r="G373" s="2">
        <f t="shared" si="62"/>
        <v>0.18079268292682926</v>
      </c>
      <c r="H373" s="9">
        <f t="shared" si="63"/>
        <v>30000</v>
      </c>
      <c r="I373" s="9">
        <f t="shared" si="64"/>
        <v>2995000</v>
      </c>
      <c r="L373" s="9">
        <f t="shared" si="65"/>
        <v>23387200</v>
      </c>
      <c r="M373" s="9">
        <f t="shared" si="66"/>
        <v>25700219.780219782</v>
      </c>
      <c r="N373" s="11">
        <f t="shared" si="67"/>
        <v>2995000</v>
      </c>
      <c r="O373" s="12">
        <f t="shared" si="68"/>
        <v>0.11653596839296708</v>
      </c>
      <c r="P373" s="9">
        <f t="shared" si="69"/>
        <v>27841904.761904761</v>
      </c>
      <c r="Q373" s="11">
        <f t="shared" si="70"/>
        <v>2995000</v>
      </c>
      <c r="R373" s="12">
        <f t="shared" si="71"/>
        <v>0.10757166313196963</v>
      </c>
    </row>
    <row r="374" spans="1:18" x14ac:dyDescent="0.3">
      <c r="A374" s="1">
        <v>16400001</v>
      </c>
      <c r="B374" s="1">
        <v>16450000</v>
      </c>
      <c r="C374">
        <v>7000</v>
      </c>
      <c r="D374" s="14">
        <v>0.03</v>
      </c>
      <c r="E374" s="3">
        <f t="shared" si="72"/>
        <v>2138500</v>
      </c>
      <c r="F374" s="3">
        <f t="shared" si="73"/>
        <v>1858850</v>
      </c>
      <c r="G374" s="2">
        <f t="shared" si="62"/>
        <v>0.18079027355623101</v>
      </c>
      <c r="H374" s="9">
        <f t="shared" si="63"/>
        <v>30000</v>
      </c>
      <c r="I374" s="9">
        <f t="shared" si="64"/>
        <v>3004000</v>
      </c>
      <c r="L374" s="9">
        <f t="shared" si="65"/>
        <v>23458350</v>
      </c>
      <c r="M374" s="9">
        <f t="shared" si="66"/>
        <v>25778406.593406595</v>
      </c>
      <c r="N374" s="11">
        <f t="shared" si="67"/>
        <v>3004000</v>
      </c>
      <c r="O374" s="12">
        <f t="shared" si="68"/>
        <v>0.11653164011961625</v>
      </c>
      <c r="P374" s="9">
        <f t="shared" si="69"/>
        <v>27926607.142857146</v>
      </c>
      <c r="Q374" s="11">
        <f t="shared" si="70"/>
        <v>3004000</v>
      </c>
      <c r="R374" s="12">
        <f t="shared" si="71"/>
        <v>0.10756766780272269</v>
      </c>
    </row>
    <row r="375" spans="1:18" x14ac:dyDescent="0.3">
      <c r="A375" s="1">
        <v>16450001</v>
      </c>
      <c r="B375" s="1">
        <v>16500000</v>
      </c>
      <c r="C375">
        <v>7000</v>
      </c>
      <c r="D375" s="14">
        <v>0.03</v>
      </c>
      <c r="E375" s="3">
        <f t="shared" si="72"/>
        <v>2145000</v>
      </c>
      <c r="F375" s="3">
        <f t="shared" si="73"/>
        <v>1864500</v>
      </c>
      <c r="G375" s="2">
        <f t="shared" si="62"/>
        <v>0.18078787878787878</v>
      </c>
      <c r="H375" s="9">
        <f t="shared" si="63"/>
        <v>30000</v>
      </c>
      <c r="I375" s="9">
        <f t="shared" si="64"/>
        <v>3013000</v>
      </c>
      <c r="L375" s="9">
        <f t="shared" si="65"/>
        <v>23529500</v>
      </c>
      <c r="M375" s="9">
        <f t="shared" si="66"/>
        <v>25856593.406593408</v>
      </c>
      <c r="N375" s="11">
        <f t="shared" si="67"/>
        <v>3013000</v>
      </c>
      <c r="O375" s="12">
        <f t="shared" si="68"/>
        <v>0.11652733802248241</v>
      </c>
      <c r="P375" s="9">
        <f t="shared" si="69"/>
        <v>28011309.523809526</v>
      </c>
      <c r="Q375" s="11">
        <f t="shared" si="70"/>
        <v>3013000</v>
      </c>
      <c r="R375" s="12">
        <f t="shared" si="71"/>
        <v>0.1075636966361376</v>
      </c>
    </row>
    <row r="376" spans="1:18" x14ac:dyDescent="0.3">
      <c r="A376" s="1">
        <v>16500001</v>
      </c>
      <c r="B376" s="1">
        <v>16550000</v>
      </c>
      <c r="C376">
        <v>7000</v>
      </c>
      <c r="D376" s="14">
        <v>0.03</v>
      </c>
      <c r="E376" s="3">
        <f t="shared" si="72"/>
        <v>2151500</v>
      </c>
      <c r="F376" s="3">
        <f t="shared" si="73"/>
        <v>1870150</v>
      </c>
      <c r="G376" s="2">
        <f t="shared" si="62"/>
        <v>0.18078549848942599</v>
      </c>
      <c r="H376" s="9">
        <f t="shared" si="63"/>
        <v>30000</v>
      </c>
      <c r="I376" s="9">
        <f t="shared" si="64"/>
        <v>3022000</v>
      </c>
      <c r="L376" s="9">
        <f t="shared" si="65"/>
        <v>23600650</v>
      </c>
      <c r="M376" s="9">
        <f t="shared" si="66"/>
        <v>25934780.219780222</v>
      </c>
      <c r="N376" s="11">
        <f t="shared" si="67"/>
        <v>3022000</v>
      </c>
      <c r="O376" s="12">
        <f t="shared" si="68"/>
        <v>0.11652306186482152</v>
      </c>
      <c r="P376" s="9">
        <f t="shared" si="69"/>
        <v>28096011.904761907</v>
      </c>
      <c r="Q376" s="11">
        <f t="shared" si="70"/>
        <v>3022000</v>
      </c>
      <c r="R376" s="12">
        <f t="shared" si="71"/>
        <v>0.10755974941368139</v>
      </c>
    </row>
    <row r="377" spans="1:18" x14ac:dyDescent="0.3">
      <c r="A377" s="1">
        <v>16550001</v>
      </c>
      <c r="B377" s="1">
        <v>16600000</v>
      </c>
      <c r="C377">
        <v>7000</v>
      </c>
      <c r="D377" s="14">
        <v>0.03</v>
      </c>
      <c r="E377" s="3">
        <f t="shared" si="72"/>
        <v>2158000</v>
      </c>
      <c r="F377" s="3">
        <f t="shared" si="73"/>
        <v>1875800</v>
      </c>
      <c r="G377" s="2">
        <f t="shared" si="62"/>
        <v>0.18078313253012049</v>
      </c>
      <c r="H377" s="9">
        <f t="shared" si="63"/>
        <v>30000</v>
      </c>
      <c r="I377" s="9">
        <f t="shared" si="64"/>
        <v>3031000</v>
      </c>
      <c r="L377" s="9">
        <f t="shared" si="65"/>
        <v>23671800</v>
      </c>
      <c r="M377" s="9">
        <f t="shared" si="66"/>
        <v>26012967.032967035</v>
      </c>
      <c r="N377" s="11">
        <f t="shared" si="67"/>
        <v>3031000</v>
      </c>
      <c r="O377" s="12">
        <f t="shared" si="68"/>
        <v>0.11651881141273582</v>
      </c>
      <c r="P377" s="9">
        <f t="shared" si="69"/>
        <v>28180714.285714287</v>
      </c>
      <c r="Q377" s="11">
        <f t="shared" si="70"/>
        <v>3031000</v>
      </c>
      <c r="R377" s="12">
        <f t="shared" si="71"/>
        <v>0.10755582591944846</v>
      </c>
    </row>
    <row r="378" spans="1:18" x14ac:dyDescent="0.3">
      <c r="A378" s="1">
        <v>16600001</v>
      </c>
      <c r="B378" s="1">
        <v>16650000</v>
      </c>
      <c r="C378">
        <v>7000</v>
      </c>
      <c r="D378" s="14">
        <v>0.03</v>
      </c>
      <c r="E378" s="3">
        <f t="shared" si="72"/>
        <v>2164500</v>
      </c>
      <c r="F378" s="3">
        <f t="shared" si="73"/>
        <v>1881450</v>
      </c>
      <c r="G378" s="2">
        <f t="shared" si="62"/>
        <v>0.18078078078078078</v>
      </c>
      <c r="H378" s="9">
        <f t="shared" si="63"/>
        <v>30000</v>
      </c>
      <c r="I378" s="9">
        <f t="shared" si="64"/>
        <v>3040000</v>
      </c>
      <c r="L378" s="9">
        <f t="shared" si="65"/>
        <v>23742950</v>
      </c>
      <c r="M378" s="9">
        <f t="shared" si="66"/>
        <v>26091153.846153848</v>
      </c>
      <c r="N378" s="11">
        <f t="shared" si="67"/>
        <v>3040000</v>
      </c>
      <c r="O378" s="12">
        <f t="shared" si="68"/>
        <v>0.11651458643513127</v>
      </c>
      <c r="P378" s="9">
        <f t="shared" si="69"/>
        <v>28265416.666666668</v>
      </c>
      <c r="Q378" s="11">
        <f t="shared" si="70"/>
        <v>3040000</v>
      </c>
      <c r="R378" s="12">
        <f t="shared" si="71"/>
        <v>0.10755192594012117</v>
      </c>
    </row>
    <row r="379" spans="1:18" x14ac:dyDescent="0.3">
      <c r="A379" s="1">
        <v>16650001</v>
      </c>
      <c r="B379" s="1">
        <v>16700000</v>
      </c>
      <c r="C379">
        <v>7000</v>
      </c>
      <c r="D379" s="14">
        <v>0.03</v>
      </c>
      <c r="E379" s="3">
        <f t="shared" si="72"/>
        <v>2171000</v>
      </c>
      <c r="F379" s="3">
        <f t="shared" si="73"/>
        <v>1887100</v>
      </c>
      <c r="G379" s="2">
        <f t="shared" si="62"/>
        <v>0.18077844311377245</v>
      </c>
      <c r="H379" s="9">
        <f t="shared" si="63"/>
        <v>30000</v>
      </c>
      <c r="I379" s="9">
        <f t="shared" si="64"/>
        <v>3049000</v>
      </c>
      <c r="L379" s="9">
        <f t="shared" si="65"/>
        <v>23814100</v>
      </c>
      <c r="M379" s="9">
        <f t="shared" si="66"/>
        <v>26169340.659340661</v>
      </c>
      <c r="N379" s="11">
        <f t="shared" si="67"/>
        <v>3049000</v>
      </c>
      <c r="O379" s="12">
        <f t="shared" si="68"/>
        <v>0.11651038670367554</v>
      </c>
      <c r="P379" s="9">
        <f t="shared" si="69"/>
        <v>28350119.047619049</v>
      </c>
      <c r="Q379" s="11">
        <f t="shared" si="70"/>
        <v>3049000</v>
      </c>
      <c r="R379" s="12">
        <f t="shared" si="71"/>
        <v>0.10754804926493128</v>
      </c>
    </row>
    <row r="380" spans="1:18" x14ac:dyDescent="0.3">
      <c r="A380" s="1">
        <v>16700001</v>
      </c>
      <c r="B380" s="1">
        <v>16750000</v>
      </c>
      <c r="C380">
        <v>7000</v>
      </c>
      <c r="D380" s="14">
        <v>0.03</v>
      </c>
      <c r="E380" s="3">
        <f t="shared" si="72"/>
        <v>2177500</v>
      </c>
      <c r="F380" s="3">
        <f t="shared" si="73"/>
        <v>1892750</v>
      </c>
      <c r="G380" s="2">
        <f t="shared" si="62"/>
        <v>0.18077611940298507</v>
      </c>
      <c r="H380" s="9">
        <f t="shared" si="63"/>
        <v>30000</v>
      </c>
      <c r="I380" s="9">
        <f t="shared" si="64"/>
        <v>3058000</v>
      </c>
      <c r="L380" s="9">
        <f t="shared" si="65"/>
        <v>23885250</v>
      </c>
      <c r="M380" s="9">
        <f t="shared" si="66"/>
        <v>26247527.472527474</v>
      </c>
      <c r="N380" s="11">
        <f t="shared" si="67"/>
        <v>3058000</v>
      </c>
      <c r="O380" s="12">
        <f t="shared" si="68"/>
        <v>0.11650621199275703</v>
      </c>
      <c r="P380" s="9">
        <f t="shared" si="69"/>
        <v>28434821.428571429</v>
      </c>
      <c r="Q380" s="11">
        <f t="shared" si="70"/>
        <v>3058000</v>
      </c>
      <c r="R380" s="12">
        <f t="shared" si="71"/>
        <v>0.10754419568562187</v>
      </c>
    </row>
    <row r="381" spans="1:18" x14ac:dyDescent="0.3">
      <c r="A381" s="1">
        <v>16750001</v>
      </c>
      <c r="B381" s="1">
        <v>16800000</v>
      </c>
      <c r="C381">
        <v>7000</v>
      </c>
      <c r="D381" s="14">
        <v>0.03</v>
      </c>
      <c r="E381" s="3">
        <f t="shared" si="72"/>
        <v>2184000</v>
      </c>
      <c r="F381" s="3">
        <f t="shared" si="73"/>
        <v>1898400</v>
      </c>
      <c r="G381" s="2">
        <f t="shared" si="62"/>
        <v>0.1807738095238095</v>
      </c>
      <c r="H381" s="9">
        <f t="shared" si="63"/>
        <v>30000</v>
      </c>
      <c r="I381" s="9">
        <f t="shared" si="64"/>
        <v>3066999.9999999995</v>
      </c>
      <c r="L381" s="9">
        <f t="shared" si="65"/>
        <v>23956400</v>
      </c>
      <c r="M381" s="9">
        <f t="shared" si="66"/>
        <v>26325714.285714287</v>
      </c>
      <c r="N381" s="11">
        <f t="shared" si="67"/>
        <v>3067000</v>
      </c>
      <c r="O381" s="12">
        <f t="shared" si="68"/>
        <v>0.11650206207944432</v>
      </c>
      <c r="P381" s="9">
        <f t="shared" si="69"/>
        <v>28519523.80952381</v>
      </c>
      <c r="Q381" s="11">
        <f t="shared" si="70"/>
        <v>3067000</v>
      </c>
      <c r="R381" s="12">
        <f t="shared" si="71"/>
        <v>0.10754036499641015</v>
      </c>
    </row>
    <row r="382" spans="1:18" x14ac:dyDescent="0.3">
      <c r="A382" s="1">
        <v>16800001</v>
      </c>
      <c r="B382" s="1">
        <v>16850000</v>
      </c>
      <c r="C382">
        <v>7000</v>
      </c>
      <c r="D382" s="14">
        <v>0.03</v>
      </c>
      <c r="E382" s="3">
        <f t="shared" si="72"/>
        <v>2190500</v>
      </c>
      <c r="F382" s="3">
        <f t="shared" si="73"/>
        <v>1904050</v>
      </c>
      <c r="G382" s="2">
        <f t="shared" si="62"/>
        <v>0.18077151335311573</v>
      </c>
      <c r="H382" s="9">
        <f t="shared" si="63"/>
        <v>30000</v>
      </c>
      <c r="I382" s="9">
        <f t="shared" si="64"/>
        <v>3076000</v>
      </c>
      <c r="L382" s="9">
        <f t="shared" si="65"/>
        <v>24027550</v>
      </c>
      <c r="M382" s="9">
        <f t="shared" si="66"/>
        <v>26403901.0989011</v>
      </c>
      <c r="N382" s="11">
        <f t="shared" si="67"/>
        <v>3076000</v>
      </c>
      <c r="O382" s="12">
        <f t="shared" si="68"/>
        <v>0.11649793674344658</v>
      </c>
      <c r="P382" s="9">
        <f t="shared" si="69"/>
        <v>28604226.19047619</v>
      </c>
      <c r="Q382" s="11">
        <f t="shared" si="70"/>
        <v>3076000</v>
      </c>
      <c r="R382" s="12">
        <f t="shared" si="71"/>
        <v>0.10753655699395069</v>
      </c>
    </row>
    <row r="383" spans="1:18" x14ac:dyDescent="0.3">
      <c r="A383" s="1">
        <v>16850001</v>
      </c>
      <c r="B383" s="1">
        <v>16900000</v>
      </c>
      <c r="C383">
        <v>7000</v>
      </c>
      <c r="D383" s="14">
        <v>0.03</v>
      </c>
      <c r="E383" s="3">
        <f t="shared" si="72"/>
        <v>2197000</v>
      </c>
      <c r="F383" s="3">
        <f t="shared" si="73"/>
        <v>1909700</v>
      </c>
      <c r="G383" s="2">
        <f t="shared" si="62"/>
        <v>0.18076923076923077</v>
      </c>
      <c r="H383" s="9">
        <f t="shared" si="63"/>
        <v>30000</v>
      </c>
      <c r="I383" s="9">
        <f t="shared" si="64"/>
        <v>3085000</v>
      </c>
      <c r="L383" s="9">
        <f t="shared" si="65"/>
        <v>24098700</v>
      </c>
      <c r="M383" s="9">
        <f t="shared" si="66"/>
        <v>26482087.912087914</v>
      </c>
      <c r="N383" s="11">
        <f t="shared" si="67"/>
        <v>3085000</v>
      </c>
      <c r="O383" s="12">
        <f t="shared" si="68"/>
        <v>0.11649383576707456</v>
      </c>
      <c r="P383" s="9">
        <f t="shared" si="69"/>
        <v>28688928.571428571</v>
      </c>
      <c r="Q383" s="11">
        <f t="shared" si="70"/>
        <v>3085000</v>
      </c>
      <c r="R383" s="12">
        <f t="shared" si="71"/>
        <v>0.1075327714772996</v>
      </c>
    </row>
    <row r="384" spans="1:18" x14ac:dyDescent="0.3">
      <c r="A384" s="1">
        <v>16900001</v>
      </c>
      <c r="B384" s="1">
        <v>16950000</v>
      </c>
      <c r="C384">
        <v>7000</v>
      </c>
      <c r="D384" s="14">
        <v>0.03</v>
      </c>
      <c r="E384" s="3">
        <f t="shared" si="72"/>
        <v>2203500</v>
      </c>
      <c r="F384" s="3">
        <f t="shared" si="73"/>
        <v>1915350</v>
      </c>
      <c r="G384" s="2">
        <f t="shared" si="62"/>
        <v>0.18076696165191738</v>
      </c>
      <c r="H384" s="9">
        <f t="shared" si="63"/>
        <v>30000</v>
      </c>
      <c r="I384" s="9">
        <f t="shared" si="64"/>
        <v>3093999.9999999995</v>
      </c>
      <c r="L384" s="9">
        <f t="shared" si="65"/>
        <v>24169850</v>
      </c>
      <c r="M384" s="9">
        <f t="shared" si="66"/>
        <v>26560274.725274727</v>
      </c>
      <c r="N384" s="11">
        <f t="shared" si="67"/>
        <v>3094000</v>
      </c>
      <c r="O384" s="12">
        <f t="shared" si="68"/>
        <v>0.11648975893520232</v>
      </c>
      <c r="P384" s="9">
        <f t="shared" si="69"/>
        <v>28773630.952380955</v>
      </c>
      <c r="Q384" s="11">
        <f t="shared" si="70"/>
        <v>3094000</v>
      </c>
      <c r="R384" s="12">
        <f t="shared" si="71"/>
        <v>0.10752900824787906</v>
      </c>
    </row>
    <row r="385" spans="1:18" x14ac:dyDescent="0.3">
      <c r="A385" s="1">
        <v>16950001</v>
      </c>
      <c r="B385" s="1">
        <v>17000000</v>
      </c>
      <c r="C385">
        <v>7000</v>
      </c>
      <c r="D385" s="14">
        <v>0.03</v>
      </c>
      <c r="E385" s="3">
        <f t="shared" si="72"/>
        <v>2210000</v>
      </c>
      <c r="F385" s="3">
        <f t="shared" si="73"/>
        <v>1921000</v>
      </c>
      <c r="G385" s="2">
        <f t="shared" si="62"/>
        <v>0.18076470588235294</v>
      </c>
      <c r="H385" s="9">
        <f t="shared" si="63"/>
        <v>30000</v>
      </c>
      <c r="I385" s="9">
        <f t="shared" si="64"/>
        <v>3103000</v>
      </c>
      <c r="L385" s="9">
        <f t="shared" si="65"/>
        <v>24241000</v>
      </c>
      <c r="M385" s="9">
        <f t="shared" si="66"/>
        <v>26638461.53846154</v>
      </c>
      <c r="N385" s="11">
        <f t="shared" si="67"/>
        <v>3103000</v>
      </c>
      <c r="O385" s="12">
        <f t="shared" si="68"/>
        <v>0.11648570603522956</v>
      </c>
      <c r="P385" s="9">
        <f t="shared" si="69"/>
        <v>28858333.333333336</v>
      </c>
      <c r="Q385" s="11">
        <f t="shared" si="70"/>
        <v>3103000</v>
      </c>
      <c r="R385" s="12">
        <f t="shared" si="71"/>
        <v>0.10752526710944267</v>
      </c>
    </row>
    <row r="386" spans="1:18" x14ac:dyDescent="0.3">
      <c r="A386" s="1">
        <v>17000001</v>
      </c>
      <c r="B386" s="1">
        <v>17050000</v>
      </c>
      <c r="C386">
        <v>7000</v>
      </c>
      <c r="D386" s="14">
        <v>0.03</v>
      </c>
      <c r="E386" s="3">
        <f t="shared" si="72"/>
        <v>2216500</v>
      </c>
      <c r="F386" s="3">
        <f t="shared" si="73"/>
        <v>1926650</v>
      </c>
      <c r="G386" s="2">
        <f t="shared" si="62"/>
        <v>0.1807624633431085</v>
      </c>
      <c r="H386" s="9">
        <f t="shared" si="63"/>
        <v>30000</v>
      </c>
      <c r="I386" s="9">
        <f t="shared" si="64"/>
        <v>3112000</v>
      </c>
      <c r="L386" s="9">
        <f t="shared" si="65"/>
        <v>24312150</v>
      </c>
      <c r="M386" s="9">
        <f t="shared" si="66"/>
        <v>26716648.351648353</v>
      </c>
      <c r="N386" s="11">
        <f t="shared" si="67"/>
        <v>3112000</v>
      </c>
      <c r="O386" s="12">
        <f t="shared" si="68"/>
        <v>0.11648167685704472</v>
      </c>
      <c r="P386" s="9">
        <f t="shared" si="69"/>
        <v>28943035.714285716</v>
      </c>
      <c r="Q386" s="11">
        <f t="shared" si="70"/>
        <v>3112000</v>
      </c>
      <c r="R386" s="12">
        <f t="shared" si="71"/>
        <v>0.10752154786804129</v>
      </c>
    </row>
    <row r="387" spans="1:18" x14ac:dyDescent="0.3">
      <c r="A387" s="1">
        <v>17050001</v>
      </c>
      <c r="B387" s="1">
        <v>17100000</v>
      </c>
      <c r="C387">
        <v>7000</v>
      </c>
      <c r="D387" s="14">
        <v>0.03</v>
      </c>
      <c r="E387" s="3">
        <f t="shared" si="72"/>
        <v>2223000</v>
      </c>
      <c r="F387" s="3">
        <f t="shared" si="73"/>
        <v>1932300</v>
      </c>
      <c r="G387" s="2">
        <f t="shared" ref="G387:G446" si="74">MIN($K$2,MAX($K$3,$K$4/B387+$K$3))</f>
        <v>0.18076023391812865</v>
      </c>
      <c r="H387" s="9">
        <f t="shared" ref="H387:H446" si="75">MIN($K$11,$K$9+$K$10*(B387-$B$2))</f>
        <v>30000</v>
      </c>
      <c r="I387" s="9">
        <f t="shared" ref="I387:I446" si="76">B387*G387+H387</f>
        <v>3121000</v>
      </c>
      <c r="L387" s="9">
        <f t="shared" ref="L387:L446" si="77">B387+C387+E387+F387+I387</f>
        <v>24383300</v>
      </c>
      <c r="M387" s="9">
        <f t="shared" ref="M387:M446" si="78">L387/(1-$K$14-D387)</f>
        <v>26794835.164835166</v>
      </c>
      <c r="N387" s="11">
        <f t="shared" ref="N387:N446" si="79">M387*(1-$K$14-D387)-B387-C387-E387-F387</f>
        <v>3121000</v>
      </c>
      <c r="O387" s="12">
        <f t="shared" ref="O387:O446" si="80">N387/M387</f>
        <v>0.11647767119298864</v>
      </c>
      <c r="P387" s="9">
        <f t="shared" ref="P387:P446" si="81">L387/(1-$K$15-D387)</f>
        <v>29027738.095238097</v>
      </c>
      <c r="Q387" s="11">
        <f t="shared" ref="Q387:Q446" si="82">P387*(1-$K$15-D387)-B387-C387-E387-F387</f>
        <v>3121000</v>
      </c>
      <c r="R387" s="12">
        <f t="shared" ref="R387:R446" si="83">Q387/P387</f>
        <v>0.10751785033198952</v>
      </c>
    </row>
    <row r="388" spans="1:18" x14ac:dyDescent="0.3">
      <c r="A388" s="1">
        <v>17100001</v>
      </c>
      <c r="B388" s="1">
        <v>17150000</v>
      </c>
      <c r="C388">
        <v>7000</v>
      </c>
      <c r="D388" s="14">
        <v>0.03</v>
      </c>
      <c r="E388" s="3">
        <f t="shared" si="72"/>
        <v>2229500</v>
      </c>
      <c r="F388" s="3">
        <f t="shared" si="73"/>
        <v>1937950</v>
      </c>
      <c r="G388" s="2">
        <f t="shared" si="74"/>
        <v>0.18075801749271136</v>
      </c>
      <c r="H388" s="9">
        <f t="shared" si="75"/>
        <v>30000</v>
      </c>
      <c r="I388" s="9">
        <f t="shared" si="76"/>
        <v>3130000</v>
      </c>
      <c r="L388" s="9">
        <f t="shared" si="77"/>
        <v>24454450</v>
      </c>
      <c r="M388" s="9">
        <f t="shared" si="78"/>
        <v>26873021.978021979</v>
      </c>
      <c r="N388" s="11">
        <f t="shared" si="79"/>
        <v>3130000</v>
      </c>
      <c r="O388" s="12">
        <f t="shared" si="80"/>
        <v>0.11647368883781888</v>
      </c>
      <c r="P388" s="9">
        <f t="shared" si="81"/>
        <v>29112440.476190478</v>
      </c>
      <c r="Q388" s="11">
        <f t="shared" si="82"/>
        <v>3130000</v>
      </c>
      <c r="R388" s="12">
        <f t="shared" si="83"/>
        <v>0.10751417431183281</v>
      </c>
    </row>
    <row r="389" spans="1:18" x14ac:dyDescent="0.3">
      <c r="A389" s="1">
        <v>17150001</v>
      </c>
      <c r="B389" s="1">
        <v>17200000</v>
      </c>
      <c r="C389">
        <v>7000</v>
      </c>
      <c r="D389" s="14">
        <v>0.03</v>
      </c>
      <c r="E389" s="3">
        <f t="shared" si="72"/>
        <v>2236000</v>
      </c>
      <c r="F389" s="3">
        <f t="shared" si="73"/>
        <v>1943600</v>
      </c>
      <c r="G389" s="2">
        <f t="shared" si="74"/>
        <v>0.18075581395348836</v>
      </c>
      <c r="H389" s="9">
        <f t="shared" si="75"/>
        <v>30000</v>
      </c>
      <c r="I389" s="9">
        <f t="shared" si="76"/>
        <v>3139000</v>
      </c>
      <c r="L389" s="9">
        <f t="shared" si="77"/>
        <v>24525600</v>
      </c>
      <c r="M389" s="9">
        <f t="shared" si="78"/>
        <v>26951208.791208792</v>
      </c>
      <c r="N389" s="11">
        <f t="shared" si="79"/>
        <v>3139000</v>
      </c>
      <c r="O389" s="12">
        <f t="shared" si="80"/>
        <v>0.11646972958867469</v>
      </c>
      <c r="P389" s="9">
        <f t="shared" si="81"/>
        <v>29197142.857142858</v>
      </c>
      <c r="Q389" s="11">
        <f t="shared" si="82"/>
        <v>3139000</v>
      </c>
      <c r="R389" s="12">
        <f t="shared" si="83"/>
        <v>0.10751051962031509</v>
      </c>
    </row>
    <row r="390" spans="1:18" x14ac:dyDescent="0.3">
      <c r="A390" s="1">
        <v>17200001</v>
      </c>
      <c r="B390" s="1">
        <v>17250000</v>
      </c>
      <c r="C390">
        <v>7000</v>
      </c>
      <c r="D390" s="14">
        <v>0.03</v>
      </c>
      <c r="E390" s="3">
        <f t="shared" si="72"/>
        <v>2242500</v>
      </c>
      <c r="F390" s="3">
        <f t="shared" si="73"/>
        <v>1949250</v>
      </c>
      <c r="G390" s="2">
        <f t="shared" si="74"/>
        <v>0.18075362318840579</v>
      </c>
      <c r="H390" s="9">
        <f t="shared" si="75"/>
        <v>30000</v>
      </c>
      <c r="I390" s="9">
        <f t="shared" si="76"/>
        <v>3148000</v>
      </c>
      <c r="L390" s="9">
        <f t="shared" si="77"/>
        <v>24596750</v>
      </c>
      <c r="M390" s="9">
        <f t="shared" si="78"/>
        <v>27029395.604395606</v>
      </c>
      <c r="N390" s="11">
        <f t="shared" si="79"/>
        <v>3148000</v>
      </c>
      <c r="O390" s="12">
        <f t="shared" si="80"/>
        <v>0.11646579324504253</v>
      </c>
      <c r="P390" s="9">
        <f t="shared" si="81"/>
        <v>29281845.238095239</v>
      </c>
      <c r="Q390" s="11">
        <f t="shared" si="82"/>
        <v>3148000</v>
      </c>
      <c r="R390" s="12">
        <f t="shared" si="83"/>
        <v>0.10750688607234696</v>
      </c>
    </row>
    <row r="391" spans="1:18" x14ac:dyDescent="0.3">
      <c r="A391" s="1">
        <v>17250001</v>
      </c>
      <c r="B391" s="1">
        <v>17300000</v>
      </c>
      <c r="C391">
        <v>7000</v>
      </c>
      <c r="D391" s="14">
        <v>0.03</v>
      </c>
      <c r="E391" s="3">
        <f t="shared" si="72"/>
        <v>2249000</v>
      </c>
      <c r="F391" s="3">
        <f t="shared" si="73"/>
        <v>1954900</v>
      </c>
      <c r="G391" s="2">
        <f t="shared" si="74"/>
        <v>0.18075144508670521</v>
      </c>
      <c r="H391" s="9">
        <f t="shared" si="75"/>
        <v>30000</v>
      </c>
      <c r="I391" s="9">
        <f t="shared" si="76"/>
        <v>3157000</v>
      </c>
      <c r="L391" s="9">
        <f t="shared" si="77"/>
        <v>24667900</v>
      </c>
      <c r="M391" s="9">
        <f t="shared" si="78"/>
        <v>27107582.417582419</v>
      </c>
      <c r="N391" s="11">
        <f t="shared" si="79"/>
        <v>3157000</v>
      </c>
      <c r="O391" s="12">
        <f t="shared" si="80"/>
        <v>0.11646187960872226</v>
      </c>
      <c r="P391" s="9">
        <f t="shared" si="81"/>
        <v>29366547.619047619</v>
      </c>
      <c r="Q391" s="11">
        <f t="shared" si="82"/>
        <v>3157000</v>
      </c>
      <c r="R391" s="12">
        <f t="shared" si="83"/>
        <v>0.1075032734849744</v>
      </c>
    </row>
    <row r="392" spans="1:18" x14ac:dyDescent="0.3">
      <c r="A392" s="1">
        <v>17300001</v>
      </c>
      <c r="B392" s="1">
        <v>17350000</v>
      </c>
      <c r="C392">
        <v>7000</v>
      </c>
      <c r="D392" s="14">
        <v>0.03</v>
      </c>
      <c r="E392" s="3">
        <f t="shared" si="72"/>
        <v>2255500</v>
      </c>
      <c r="F392" s="3">
        <f t="shared" si="73"/>
        <v>1960550</v>
      </c>
      <c r="G392" s="2">
        <f t="shared" si="74"/>
        <v>0.18074927953890491</v>
      </c>
      <c r="H392" s="9">
        <f t="shared" si="75"/>
        <v>30000</v>
      </c>
      <c r="I392" s="9">
        <f t="shared" si="76"/>
        <v>3166000</v>
      </c>
      <c r="L392" s="9">
        <f t="shared" si="77"/>
        <v>24739050</v>
      </c>
      <c r="M392" s="9">
        <f t="shared" si="78"/>
        <v>27185769.230769232</v>
      </c>
      <c r="N392" s="11">
        <f t="shared" si="79"/>
        <v>3166000</v>
      </c>
      <c r="O392" s="12">
        <f t="shared" si="80"/>
        <v>0.11645798848379384</v>
      </c>
      <c r="P392" s="9">
        <f t="shared" si="81"/>
        <v>29451250</v>
      </c>
      <c r="Q392" s="11">
        <f t="shared" si="82"/>
        <v>3166000</v>
      </c>
      <c r="R392" s="12">
        <f t="shared" si="83"/>
        <v>0.10749968167734816</v>
      </c>
    </row>
    <row r="393" spans="1:18" x14ac:dyDescent="0.3">
      <c r="A393" s="1">
        <v>17350001</v>
      </c>
      <c r="B393" s="1">
        <v>17400000</v>
      </c>
      <c r="C393">
        <v>7000</v>
      </c>
      <c r="D393" s="14">
        <v>0.03</v>
      </c>
      <c r="E393" s="3">
        <f t="shared" si="72"/>
        <v>2262000</v>
      </c>
      <c r="F393" s="3">
        <f t="shared" si="73"/>
        <v>1966200</v>
      </c>
      <c r="G393" s="2">
        <f t="shared" si="74"/>
        <v>0.18074712643678159</v>
      </c>
      <c r="H393" s="9">
        <f t="shared" si="75"/>
        <v>30000</v>
      </c>
      <c r="I393" s="9">
        <f t="shared" si="76"/>
        <v>3174999.9999999995</v>
      </c>
      <c r="L393" s="9">
        <f t="shared" si="77"/>
        <v>24810200</v>
      </c>
      <c r="M393" s="9">
        <f t="shared" si="78"/>
        <v>27263956.043956045</v>
      </c>
      <c r="N393" s="11">
        <f t="shared" si="79"/>
        <v>3175000</v>
      </c>
      <c r="O393" s="12">
        <f t="shared" si="80"/>
        <v>0.11645411967658463</v>
      </c>
      <c r="P393" s="9">
        <f t="shared" si="81"/>
        <v>29535952.380952381</v>
      </c>
      <c r="Q393" s="11">
        <f t="shared" si="82"/>
        <v>3175000</v>
      </c>
      <c r="R393" s="12">
        <f t="shared" si="83"/>
        <v>0.1074961104706935</v>
      </c>
    </row>
    <row r="394" spans="1:18" x14ac:dyDescent="0.3">
      <c r="A394" s="1">
        <v>17400001</v>
      </c>
      <c r="B394" s="1">
        <v>17450000</v>
      </c>
      <c r="C394">
        <v>7000</v>
      </c>
      <c r="D394" s="14">
        <v>0.03</v>
      </c>
      <c r="E394" s="3">
        <f t="shared" si="72"/>
        <v>2268500</v>
      </c>
      <c r="F394" s="3">
        <f t="shared" si="73"/>
        <v>1971850</v>
      </c>
      <c r="G394" s="2">
        <f t="shared" si="74"/>
        <v>0.18074498567335243</v>
      </c>
      <c r="H394" s="9">
        <f t="shared" si="75"/>
        <v>30000</v>
      </c>
      <c r="I394" s="9">
        <f t="shared" si="76"/>
        <v>3184000</v>
      </c>
      <c r="L394" s="9">
        <f t="shared" si="77"/>
        <v>24881350</v>
      </c>
      <c r="M394" s="9">
        <f t="shared" si="78"/>
        <v>27342142.857142858</v>
      </c>
      <c r="N394" s="11">
        <f t="shared" si="79"/>
        <v>3184000</v>
      </c>
      <c r="O394" s="12">
        <f t="shared" si="80"/>
        <v>0.11645027299563729</v>
      </c>
      <c r="P394" s="9">
        <f t="shared" si="81"/>
        <v>29620654.761904761</v>
      </c>
      <c r="Q394" s="11">
        <f t="shared" si="82"/>
        <v>3184000</v>
      </c>
      <c r="R394" s="12">
        <f t="shared" si="83"/>
        <v>0.10749255968828059</v>
      </c>
    </row>
    <row r="395" spans="1:18" x14ac:dyDescent="0.3">
      <c r="A395" s="1">
        <v>17450001</v>
      </c>
      <c r="B395" s="1">
        <v>17500000</v>
      </c>
      <c r="C395">
        <v>7000</v>
      </c>
      <c r="D395" s="14">
        <v>0.03</v>
      </c>
      <c r="E395" s="3">
        <f t="shared" si="72"/>
        <v>2275000</v>
      </c>
      <c r="F395" s="3">
        <f t="shared" si="73"/>
        <v>1977500</v>
      </c>
      <c r="G395" s="2">
        <f t="shared" si="74"/>
        <v>0.18074285714285715</v>
      </c>
      <c r="H395" s="9">
        <f t="shared" si="75"/>
        <v>30000</v>
      </c>
      <c r="I395" s="9">
        <f t="shared" si="76"/>
        <v>3193000</v>
      </c>
      <c r="L395" s="9">
        <f t="shared" si="77"/>
        <v>24952500</v>
      </c>
      <c r="M395" s="9">
        <f t="shared" si="78"/>
        <v>27420329.670329671</v>
      </c>
      <c r="N395" s="11">
        <f t="shared" si="79"/>
        <v>3193000</v>
      </c>
      <c r="O395" s="12">
        <f t="shared" si="80"/>
        <v>0.11644644825167819</v>
      </c>
      <c r="P395" s="9">
        <f t="shared" si="81"/>
        <v>29705357.142857146</v>
      </c>
      <c r="Q395" s="11">
        <f t="shared" si="82"/>
        <v>3193000</v>
      </c>
      <c r="R395" s="12">
        <f t="shared" si="83"/>
        <v>0.10748902915539524</v>
      </c>
    </row>
    <row r="396" spans="1:18" x14ac:dyDescent="0.3">
      <c r="A396" s="1">
        <v>17500001</v>
      </c>
      <c r="B396" s="1">
        <v>17550000</v>
      </c>
      <c r="C396">
        <v>7000</v>
      </c>
      <c r="D396" s="14">
        <v>0.03</v>
      </c>
      <c r="E396" s="3">
        <f t="shared" si="72"/>
        <v>2281500</v>
      </c>
      <c r="F396" s="3">
        <f t="shared" si="73"/>
        <v>1983150</v>
      </c>
      <c r="G396" s="2">
        <f t="shared" si="74"/>
        <v>0.18074074074074073</v>
      </c>
      <c r="H396" s="9">
        <f t="shared" si="75"/>
        <v>30000</v>
      </c>
      <c r="I396" s="9">
        <f t="shared" si="76"/>
        <v>3202000</v>
      </c>
      <c r="L396" s="9">
        <f t="shared" si="77"/>
        <v>25023650</v>
      </c>
      <c r="M396" s="9">
        <f t="shared" si="78"/>
        <v>27498516.483516484</v>
      </c>
      <c r="N396" s="11">
        <f t="shared" si="79"/>
        <v>3202000</v>
      </c>
      <c r="O396" s="12">
        <f t="shared" si="80"/>
        <v>0.11644264525758632</v>
      </c>
      <c r="P396" s="9">
        <f t="shared" si="81"/>
        <v>29790059.523809526</v>
      </c>
      <c r="Q396" s="11">
        <f t="shared" si="82"/>
        <v>3202000</v>
      </c>
      <c r="R396" s="12">
        <f t="shared" si="83"/>
        <v>0.10748551869931045</v>
      </c>
    </row>
    <row r="397" spans="1:18" x14ac:dyDescent="0.3">
      <c r="A397" s="1">
        <v>17550001</v>
      </c>
      <c r="B397" s="1">
        <v>17600000</v>
      </c>
      <c r="C397">
        <v>7000</v>
      </c>
      <c r="D397" s="14">
        <v>0.03</v>
      </c>
      <c r="E397" s="3">
        <f t="shared" si="72"/>
        <v>2288000</v>
      </c>
      <c r="F397" s="3">
        <f t="shared" si="73"/>
        <v>1988800</v>
      </c>
      <c r="G397" s="2">
        <f t="shared" si="74"/>
        <v>0.18073863636363635</v>
      </c>
      <c r="H397" s="9">
        <f t="shared" si="75"/>
        <v>30000</v>
      </c>
      <c r="I397" s="9">
        <f t="shared" si="76"/>
        <v>3211000</v>
      </c>
      <c r="L397" s="9">
        <f t="shared" si="77"/>
        <v>25094800</v>
      </c>
      <c r="M397" s="9">
        <f t="shared" si="78"/>
        <v>27576703.296703298</v>
      </c>
      <c r="N397" s="11">
        <f t="shared" si="79"/>
        <v>3211000</v>
      </c>
      <c r="O397" s="12">
        <f t="shared" si="80"/>
        <v>0.11643886382836284</v>
      </c>
      <c r="P397" s="9">
        <f t="shared" si="81"/>
        <v>29874761.904761907</v>
      </c>
      <c r="Q397" s="11">
        <f t="shared" si="82"/>
        <v>3211000</v>
      </c>
      <c r="R397" s="12">
        <f t="shared" si="83"/>
        <v>0.107482028149258</v>
      </c>
    </row>
    <row r="398" spans="1:18" x14ac:dyDescent="0.3">
      <c r="A398" s="1">
        <v>17600001</v>
      </c>
      <c r="B398" s="1">
        <v>17650000</v>
      </c>
      <c r="C398">
        <v>7000</v>
      </c>
      <c r="D398" s="14">
        <v>0.03</v>
      </c>
      <c r="E398" s="3">
        <f t="shared" si="72"/>
        <v>2294500</v>
      </c>
      <c r="F398" s="3">
        <f t="shared" si="73"/>
        <v>1994450</v>
      </c>
      <c r="G398" s="2">
        <f t="shared" si="74"/>
        <v>0.18073654390934843</v>
      </c>
      <c r="H398" s="9">
        <f t="shared" si="75"/>
        <v>30000</v>
      </c>
      <c r="I398" s="9">
        <f t="shared" si="76"/>
        <v>3220000</v>
      </c>
      <c r="L398" s="9">
        <f t="shared" si="77"/>
        <v>25165950</v>
      </c>
      <c r="M398" s="9">
        <f t="shared" si="78"/>
        <v>27654890.109890111</v>
      </c>
      <c r="N398" s="11">
        <f t="shared" si="79"/>
        <v>3220000</v>
      </c>
      <c r="O398" s="12">
        <f t="shared" si="80"/>
        <v>0.11643510378110104</v>
      </c>
      <c r="P398" s="9">
        <f t="shared" si="81"/>
        <v>29959464.285714287</v>
      </c>
      <c r="Q398" s="11">
        <f t="shared" si="82"/>
        <v>3220000</v>
      </c>
      <c r="R398" s="12">
        <f t="shared" si="83"/>
        <v>0.10747855733640096</v>
      </c>
    </row>
    <row r="399" spans="1:18" x14ac:dyDescent="0.3">
      <c r="A399" s="1">
        <v>17650001</v>
      </c>
      <c r="B399" s="1">
        <v>17700000</v>
      </c>
      <c r="C399">
        <v>7000</v>
      </c>
      <c r="D399" s="14">
        <v>0.03</v>
      </c>
      <c r="E399" s="3">
        <f t="shared" si="72"/>
        <v>2301000</v>
      </c>
      <c r="F399" s="3">
        <f t="shared" si="73"/>
        <v>2000100</v>
      </c>
      <c r="G399" s="2">
        <f t="shared" si="74"/>
        <v>0.18073446327683615</v>
      </c>
      <c r="H399" s="9">
        <f t="shared" si="75"/>
        <v>30000</v>
      </c>
      <c r="I399" s="9">
        <f t="shared" si="76"/>
        <v>3229000</v>
      </c>
      <c r="L399" s="9">
        <f t="shared" si="77"/>
        <v>25237100</v>
      </c>
      <c r="M399" s="9">
        <f t="shared" si="78"/>
        <v>27733076.923076924</v>
      </c>
      <c r="N399" s="11">
        <f t="shared" si="79"/>
        <v>3229000</v>
      </c>
      <c r="O399" s="12">
        <f t="shared" si="80"/>
        <v>0.11643136493495687</v>
      </c>
      <c r="P399" s="9">
        <f t="shared" si="81"/>
        <v>30044166.666666668</v>
      </c>
      <c r="Q399" s="11">
        <f t="shared" si="82"/>
        <v>3229000</v>
      </c>
      <c r="R399" s="12">
        <f t="shared" si="83"/>
        <v>0.10747510609380634</v>
      </c>
    </row>
    <row r="400" spans="1:18" x14ac:dyDescent="0.3">
      <c r="A400" s="1">
        <v>17700001</v>
      </c>
      <c r="B400" s="1">
        <v>17750000</v>
      </c>
      <c r="C400">
        <v>7000</v>
      </c>
      <c r="D400" s="14">
        <v>0.03</v>
      </c>
      <c r="E400" s="3">
        <f t="shared" si="72"/>
        <v>2307500</v>
      </c>
      <c r="F400" s="3">
        <f t="shared" si="73"/>
        <v>2005750</v>
      </c>
      <c r="G400" s="2">
        <f t="shared" si="74"/>
        <v>0.18073239436619717</v>
      </c>
      <c r="H400" s="9">
        <f t="shared" si="75"/>
        <v>30000</v>
      </c>
      <c r="I400" s="9">
        <f t="shared" si="76"/>
        <v>3238000</v>
      </c>
      <c r="L400" s="9">
        <f t="shared" si="77"/>
        <v>25308250</v>
      </c>
      <c r="M400" s="9">
        <f t="shared" si="78"/>
        <v>27811263.736263737</v>
      </c>
      <c r="N400" s="11">
        <f t="shared" si="79"/>
        <v>3238000</v>
      </c>
      <c r="O400" s="12">
        <f t="shared" si="80"/>
        <v>0.11642764711111989</v>
      </c>
      <c r="P400" s="9">
        <f t="shared" si="81"/>
        <v>30128869.047619049</v>
      </c>
      <c r="Q400" s="11">
        <f t="shared" si="82"/>
        <v>3238000</v>
      </c>
      <c r="R400" s="12">
        <f t="shared" si="83"/>
        <v>0.10747167425641836</v>
      </c>
    </row>
    <row r="401" spans="1:18" x14ac:dyDescent="0.3">
      <c r="A401" s="1">
        <v>17750001</v>
      </c>
      <c r="B401" s="1">
        <v>17800000</v>
      </c>
      <c r="C401">
        <v>7000</v>
      </c>
      <c r="D401" s="14">
        <v>0.03</v>
      </c>
      <c r="E401" s="3">
        <f t="shared" si="72"/>
        <v>2314000</v>
      </c>
      <c r="F401" s="3">
        <f t="shared" si="73"/>
        <v>2011400</v>
      </c>
      <c r="G401" s="2">
        <f t="shared" si="74"/>
        <v>0.18073033707865169</v>
      </c>
      <c r="H401" s="9">
        <f t="shared" si="75"/>
        <v>30000</v>
      </c>
      <c r="I401" s="9">
        <f t="shared" si="76"/>
        <v>3247000</v>
      </c>
      <c r="L401" s="9">
        <f t="shared" si="77"/>
        <v>25379400</v>
      </c>
      <c r="M401" s="9">
        <f t="shared" si="78"/>
        <v>27889450.54945055</v>
      </c>
      <c r="N401" s="11">
        <f t="shared" si="79"/>
        <v>3247000</v>
      </c>
      <c r="O401" s="12">
        <f t="shared" si="80"/>
        <v>0.11642395013278485</v>
      </c>
      <c r="P401" s="9">
        <f t="shared" si="81"/>
        <v>30213571.428571429</v>
      </c>
      <c r="Q401" s="11">
        <f t="shared" si="82"/>
        <v>3247000</v>
      </c>
      <c r="R401" s="12">
        <f t="shared" si="83"/>
        <v>0.10746826166103217</v>
      </c>
    </row>
    <row r="402" spans="1:18" x14ac:dyDescent="0.3">
      <c r="A402" s="1">
        <v>17800001</v>
      </c>
      <c r="B402" s="1">
        <v>17850000</v>
      </c>
      <c r="C402">
        <v>7000</v>
      </c>
      <c r="D402" s="14">
        <v>0.03</v>
      </c>
      <c r="E402" s="3">
        <f t="shared" si="72"/>
        <v>2320500</v>
      </c>
      <c r="F402" s="3">
        <f t="shared" si="73"/>
        <v>2017050</v>
      </c>
      <c r="G402" s="2">
        <f t="shared" si="74"/>
        <v>0.1807282913165266</v>
      </c>
      <c r="H402" s="9">
        <f t="shared" si="75"/>
        <v>30000</v>
      </c>
      <c r="I402" s="9">
        <f t="shared" si="76"/>
        <v>3255999.9999999995</v>
      </c>
      <c r="L402" s="9">
        <f t="shared" si="77"/>
        <v>25450550</v>
      </c>
      <c r="M402" s="9">
        <f t="shared" si="78"/>
        <v>27967637.362637363</v>
      </c>
      <c r="N402" s="11">
        <f t="shared" si="79"/>
        <v>3256000</v>
      </c>
      <c r="O402" s="12">
        <f t="shared" si="80"/>
        <v>0.11642027382512361</v>
      </c>
      <c r="P402" s="9">
        <f t="shared" si="81"/>
        <v>30298273.80952381</v>
      </c>
      <c r="Q402" s="11">
        <f t="shared" si="82"/>
        <v>3256000</v>
      </c>
      <c r="R402" s="12">
        <f t="shared" si="83"/>
        <v>0.10746486814626796</v>
      </c>
    </row>
    <row r="403" spans="1:18" x14ac:dyDescent="0.3">
      <c r="A403" s="1">
        <v>17850001</v>
      </c>
      <c r="B403" s="1">
        <v>17900000</v>
      </c>
      <c r="C403">
        <v>7000</v>
      </c>
      <c r="D403" s="14">
        <v>0.03</v>
      </c>
      <c r="E403" s="3">
        <f t="shared" si="72"/>
        <v>2327000</v>
      </c>
      <c r="F403" s="3">
        <f t="shared" si="73"/>
        <v>2022700</v>
      </c>
      <c r="G403" s="2">
        <f t="shared" si="74"/>
        <v>0.18072625698324021</v>
      </c>
      <c r="H403" s="9">
        <f t="shared" si="75"/>
        <v>30000</v>
      </c>
      <c r="I403" s="9">
        <f t="shared" si="76"/>
        <v>3265000</v>
      </c>
      <c r="L403" s="9">
        <f t="shared" si="77"/>
        <v>25521700</v>
      </c>
      <c r="M403" s="9">
        <f t="shared" si="78"/>
        <v>28045824.175824177</v>
      </c>
      <c r="N403" s="11">
        <f t="shared" si="79"/>
        <v>3265000</v>
      </c>
      <c r="O403" s="12">
        <f t="shared" si="80"/>
        <v>0.1164166180152576</v>
      </c>
      <c r="P403" s="9">
        <f t="shared" si="81"/>
        <v>30382976.19047619</v>
      </c>
      <c r="Q403" s="11">
        <f t="shared" si="82"/>
        <v>3265000</v>
      </c>
      <c r="R403" s="12">
        <f t="shared" si="83"/>
        <v>0.10746149355254549</v>
      </c>
    </row>
    <row r="404" spans="1:18" x14ac:dyDescent="0.3">
      <c r="A404" s="1">
        <v>17900001</v>
      </c>
      <c r="B404" s="1">
        <v>17950000</v>
      </c>
      <c r="C404">
        <v>7000</v>
      </c>
      <c r="D404" s="14">
        <v>0.03</v>
      </c>
      <c r="E404" s="3">
        <f t="shared" si="72"/>
        <v>2333500</v>
      </c>
      <c r="F404" s="3">
        <f t="shared" si="73"/>
        <v>2028350</v>
      </c>
      <c r="G404" s="2">
        <f t="shared" si="74"/>
        <v>0.18072423398328691</v>
      </c>
      <c r="H404" s="9">
        <f t="shared" si="75"/>
        <v>30000</v>
      </c>
      <c r="I404" s="9">
        <f t="shared" si="76"/>
        <v>3274000</v>
      </c>
      <c r="L404" s="9">
        <f t="shared" si="77"/>
        <v>25592850</v>
      </c>
      <c r="M404" s="9">
        <f t="shared" si="78"/>
        <v>28124010.98901099</v>
      </c>
      <c r="N404" s="11">
        <f t="shared" si="79"/>
        <v>3274000</v>
      </c>
      <c r="O404" s="12">
        <f t="shared" si="80"/>
        <v>0.11641298253223067</v>
      </c>
      <c r="P404" s="9">
        <f t="shared" si="81"/>
        <v>30467678.571428571</v>
      </c>
      <c r="Q404" s="11">
        <f t="shared" si="82"/>
        <v>3274000</v>
      </c>
      <c r="R404" s="12">
        <f t="shared" si="83"/>
        <v>0.10745813772205909</v>
      </c>
    </row>
    <row r="405" spans="1:18" x14ac:dyDescent="0.3">
      <c r="A405" s="1">
        <v>17950001</v>
      </c>
      <c r="B405" s="1">
        <v>18000000</v>
      </c>
      <c r="C405">
        <v>7000</v>
      </c>
      <c r="D405" s="14">
        <v>0.03</v>
      </c>
      <c r="E405" s="3">
        <f t="shared" si="72"/>
        <v>2340000</v>
      </c>
      <c r="F405" s="3">
        <f t="shared" si="73"/>
        <v>2034000</v>
      </c>
      <c r="G405" s="2">
        <f t="shared" si="74"/>
        <v>0.18072222222222223</v>
      </c>
      <c r="H405" s="9">
        <f t="shared" si="75"/>
        <v>30000</v>
      </c>
      <c r="I405" s="9">
        <f t="shared" si="76"/>
        <v>3283000</v>
      </c>
      <c r="L405" s="9">
        <f t="shared" si="77"/>
        <v>25664000</v>
      </c>
      <c r="M405" s="9">
        <f t="shared" si="78"/>
        <v>28202197.802197807</v>
      </c>
      <c r="N405" s="11">
        <f t="shared" si="79"/>
        <v>3283000</v>
      </c>
      <c r="O405" s="12">
        <f t="shared" si="80"/>
        <v>0.11640936720698253</v>
      </c>
      <c r="P405" s="9">
        <f t="shared" si="81"/>
        <v>30552380.952380955</v>
      </c>
      <c r="Q405" s="11">
        <f t="shared" si="82"/>
        <v>3283000</v>
      </c>
      <c r="R405" s="12">
        <f t="shared" si="83"/>
        <v>0.10745480049875311</v>
      </c>
    </row>
    <row r="406" spans="1:18" x14ac:dyDescent="0.3">
      <c r="A406" s="1">
        <v>18000001</v>
      </c>
      <c r="B406" s="1">
        <v>18050000</v>
      </c>
      <c r="C406">
        <v>7000</v>
      </c>
      <c r="D406" s="14">
        <v>0.03</v>
      </c>
      <c r="E406" s="3">
        <f t="shared" si="72"/>
        <v>2346500</v>
      </c>
      <c r="F406" s="3">
        <f t="shared" si="73"/>
        <v>2039650</v>
      </c>
      <c r="G406" s="2">
        <f t="shared" si="74"/>
        <v>0.18072022160664819</v>
      </c>
      <c r="H406" s="9">
        <f t="shared" si="75"/>
        <v>30000</v>
      </c>
      <c r="I406" s="9">
        <f t="shared" si="76"/>
        <v>3292000</v>
      </c>
      <c r="L406" s="9">
        <f t="shared" si="77"/>
        <v>25735150</v>
      </c>
      <c r="M406" s="9">
        <f t="shared" si="78"/>
        <v>28280384.61538462</v>
      </c>
      <c r="N406" s="11">
        <f t="shared" si="79"/>
        <v>3292000</v>
      </c>
      <c r="O406" s="12">
        <f t="shared" si="80"/>
        <v>0.11640577187232247</v>
      </c>
      <c r="P406" s="9">
        <f t="shared" si="81"/>
        <v>30637083.333333336</v>
      </c>
      <c r="Q406" s="11">
        <f t="shared" si="82"/>
        <v>3292000</v>
      </c>
      <c r="R406" s="12">
        <f t="shared" si="83"/>
        <v>0.10745148172829767</v>
      </c>
    </row>
    <row r="407" spans="1:18" x14ac:dyDescent="0.3">
      <c r="A407" s="1">
        <v>18050001</v>
      </c>
      <c r="B407" s="1">
        <v>18100000</v>
      </c>
      <c r="C407">
        <v>7000</v>
      </c>
      <c r="D407" s="14">
        <v>0.03</v>
      </c>
      <c r="E407" s="3">
        <f t="shared" si="72"/>
        <v>2353000</v>
      </c>
      <c r="F407" s="3">
        <f t="shared" si="73"/>
        <v>2045300</v>
      </c>
      <c r="G407" s="2">
        <f t="shared" si="74"/>
        <v>0.1807182320441989</v>
      </c>
      <c r="H407" s="9">
        <f t="shared" si="75"/>
        <v>30000</v>
      </c>
      <c r="I407" s="9">
        <f t="shared" si="76"/>
        <v>3301000</v>
      </c>
      <c r="L407" s="9">
        <f t="shared" si="77"/>
        <v>25806300</v>
      </c>
      <c r="M407" s="9">
        <f t="shared" si="78"/>
        <v>28358571.428571433</v>
      </c>
      <c r="N407" s="11">
        <f t="shared" si="79"/>
        <v>3301000</v>
      </c>
      <c r="O407" s="12">
        <f t="shared" si="80"/>
        <v>0.11640219636290361</v>
      </c>
      <c r="P407" s="9">
        <f t="shared" si="81"/>
        <v>30721785.714285716</v>
      </c>
      <c r="Q407" s="11">
        <f t="shared" si="82"/>
        <v>3301000</v>
      </c>
      <c r="R407" s="12">
        <f t="shared" si="83"/>
        <v>0.10744818125806488</v>
      </c>
    </row>
    <row r="408" spans="1:18" x14ac:dyDescent="0.3">
      <c r="A408" s="1">
        <v>18100001</v>
      </c>
      <c r="B408" s="1">
        <v>18150000</v>
      </c>
      <c r="C408">
        <v>7000</v>
      </c>
      <c r="D408" s="14">
        <v>0.03</v>
      </c>
      <c r="E408" s="3">
        <f t="shared" si="72"/>
        <v>2359500</v>
      </c>
      <c r="F408" s="3">
        <f t="shared" si="73"/>
        <v>2050950</v>
      </c>
      <c r="G408" s="2">
        <f t="shared" si="74"/>
        <v>0.18071625344352615</v>
      </c>
      <c r="H408" s="9">
        <f t="shared" si="75"/>
        <v>30000</v>
      </c>
      <c r="I408" s="9">
        <f t="shared" si="76"/>
        <v>3309999.9999999995</v>
      </c>
      <c r="L408" s="9">
        <f t="shared" si="77"/>
        <v>25877450</v>
      </c>
      <c r="M408" s="9">
        <f t="shared" si="78"/>
        <v>28436758.241758246</v>
      </c>
      <c r="N408" s="11">
        <f t="shared" si="79"/>
        <v>3310000</v>
      </c>
      <c r="O408" s="12">
        <f t="shared" si="80"/>
        <v>0.11639864051519758</v>
      </c>
      <c r="P408" s="9">
        <f t="shared" si="81"/>
        <v>30806488.095238097</v>
      </c>
      <c r="Q408" s="11">
        <f t="shared" si="82"/>
        <v>3310000</v>
      </c>
      <c r="R408" s="12">
        <f t="shared" si="83"/>
        <v>0.10744489893710546</v>
      </c>
    </row>
    <row r="409" spans="1:18" x14ac:dyDescent="0.3">
      <c r="A409" s="1">
        <v>18150001</v>
      </c>
      <c r="B409" s="1">
        <v>18200000</v>
      </c>
      <c r="C409">
        <v>7000</v>
      </c>
      <c r="D409" s="14">
        <v>0.03</v>
      </c>
      <c r="E409" s="3">
        <f t="shared" si="72"/>
        <v>2366000</v>
      </c>
      <c r="F409" s="3">
        <f t="shared" si="73"/>
        <v>2056600</v>
      </c>
      <c r="G409" s="2">
        <f t="shared" si="74"/>
        <v>0.18071428571428572</v>
      </c>
      <c r="H409" s="9">
        <f t="shared" si="75"/>
        <v>30000</v>
      </c>
      <c r="I409" s="9">
        <f t="shared" si="76"/>
        <v>3319000</v>
      </c>
      <c r="L409" s="9">
        <f t="shared" si="77"/>
        <v>25948600</v>
      </c>
      <c r="M409" s="9">
        <f t="shared" si="78"/>
        <v>28514945.054945059</v>
      </c>
      <c r="N409" s="11">
        <f t="shared" si="79"/>
        <v>3319000</v>
      </c>
      <c r="O409" s="12">
        <f t="shared" si="80"/>
        <v>0.11639510416746952</v>
      </c>
      <c r="P409" s="9">
        <f t="shared" si="81"/>
        <v>30891190.476190478</v>
      </c>
      <c r="Q409" s="11">
        <f t="shared" si="82"/>
        <v>3319000</v>
      </c>
      <c r="R409" s="12">
        <f t="shared" si="83"/>
        <v>0.10744163461612571</v>
      </c>
    </row>
    <row r="410" spans="1:18" x14ac:dyDescent="0.3">
      <c r="A410" s="1">
        <v>18200001</v>
      </c>
      <c r="B410" s="1">
        <v>18250000</v>
      </c>
      <c r="C410">
        <v>7000</v>
      </c>
      <c r="D410" s="14">
        <v>0.03</v>
      </c>
      <c r="E410" s="3">
        <f t="shared" si="72"/>
        <v>2372500</v>
      </c>
      <c r="F410" s="3">
        <f t="shared" si="73"/>
        <v>2062250</v>
      </c>
      <c r="G410" s="2">
        <f t="shared" si="74"/>
        <v>0.18071232876712329</v>
      </c>
      <c r="H410" s="9">
        <f t="shared" si="75"/>
        <v>30000</v>
      </c>
      <c r="I410" s="9">
        <f t="shared" si="76"/>
        <v>3328000</v>
      </c>
      <c r="L410" s="9">
        <f t="shared" si="77"/>
        <v>26019750</v>
      </c>
      <c r="M410" s="9">
        <f t="shared" si="78"/>
        <v>28593131.868131872</v>
      </c>
      <c r="N410" s="11">
        <f t="shared" si="79"/>
        <v>3328000</v>
      </c>
      <c r="O410" s="12">
        <f t="shared" si="80"/>
        <v>0.11639158715975363</v>
      </c>
      <c r="P410" s="9">
        <f t="shared" si="81"/>
        <v>30975892.857142858</v>
      </c>
      <c r="Q410" s="11">
        <f t="shared" si="82"/>
        <v>3328000</v>
      </c>
      <c r="R410" s="12">
        <f t="shared" si="83"/>
        <v>0.1074383881474649</v>
      </c>
    </row>
    <row r="411" spans="1:18" x14ac:dyDescent="0.3">
      <c r="A411" s="1">
        <v>18250001</v>
      </c>
      <c r="B411" s="1">
        <v>18300000</v>
      </c>
      <c r="C411">
        <v>7000</v>
      </c>
      <c r="D411" s="14">
        <v>0.03</v>
      </c>
      <c r="E411" s="3">
        <f t="shared" si="72"/>
        <v>2379000</v>
      </c>
      <c r="F411" s="3">
        <f t="shared" si="73"/>
        <v>2067900</v>
      </c>
      <c r="G411" s="2">
        <f t="shared" si="74"/>
        <v>0.1807103825136612</v>
      </c>
      <c r="H411" s="9">
        <f t="shared" si="75"/>
        <v>30000</v>
      </c>
      <c r="I411" s="9">
        <f t="shared" si="76"/>
        <v>3337000</v>
      </c>
      <c r="L411" s="9">
        <f t="shared" si="77"/>
        <v>26090900</v>
      </c>
      <c r="M411" s="9">
        <f t="shared" si="78"/>
        <v>28671318.681318685</v>
      </c>
      <c r="N411" s="11">
        <f t="shared" si="79"/>
        <v>3337000</v>
      </c>
      <c r="O411" s="12">
        <f t="shared" si="80"/>
        <v>0.11638808933382902</v>
      </c>
      <c r="P411" s="9">
        <f t="shared" si="81"/>
        <v>31060595.238095239</v>
      </c>
      <c r="Q411" s="11">
        <f t="shared" si="82"/>
        <v>3337000</v>
      </c>
      <c r="R411" s="12">
        <f t="shared" si="83"/>
        <v>0.10743515938507295</v>
      </c>
    </row>
    <row r="412" spans="1:18" x14ac:dyDescent="0.3">
      <c r="A412" s="1">
        <v>18300001</v>
      </c>
      <c r="B412" s="1">
        <v>18350000</v>
      </c>
      <c r="C412">
        <v>7000</v>
      </c>
      <c r="D412" s="14">
        <v>0.03</v>
      </c>
      <c r="E412" s="3">
        <f t="shared" si="72"/>
        <v>2385500</v>
      </c>
      <c r="F412" s="3">
        <f t="shared" si="73"/>
        <v>2073550</v>
      </c>
      <c r="G412" s="2">
        <f t="shared" si="74"/>
        <v>0.18070844686648502</v>
      </c>
      <c r="H412" s="9">
        <f t="shared" si="75"/>
        <v>30000</v>
      </c>
      <c r="I412" s="9">
        <f t="shared" si="76"/>
        <v>3346000</v>
      </c>
      <c r="L412" s="9">
        <f t="shared" si="77"/>
        <v>26162050</v>
      </c>
      <c r="M412" s="9">
        <f t="shared" si="78"/>
        <v>28749505.494505499</v>
      </c>
      <c r="N412" s="11">
        <f t="shared" si="79"/>
        <v>3346000</v>
      </c>
      <c r="O412" s="12">
        <f t="shared" si="80"/>
        <v>0.11638461053319597</v>
      </c>
      <c r="P412" s="9">
        <f t="shared" si="81"/>
        <v>31145297.619047619</v>
      </c>
      <c r="Q412" s="11">
        <f t="shared" si="82"/>
        <v>3346000</v>
      </c>
      <c r="R412" s="12">
        <f t="shared" si="83"/>
        <v>0.1074319481844886</v>
      </c>
    </row>
    <row r="413" spans="1:18" x14ac:dyDescent="0.3">
      <c r="A413" s="1">
        <v>18350001</v>
      </c>
      <c r="B413" s="1">
        <v>18400000</v>
      </c>
      <c r="C413">
        <v>7000</v>
      </c>
      <c r="D413" s="14">
        <v>0.03</v>
      </c>
      <c r="E413" s="3">
        <f t="shared" si="72"/>
        <v>2392000</v>
      </c>
      <c r="F413" s="3">
        <f t="shared" si="73"/>
        <v>2079200</v>
      </c>
      <c r="G413" s="2">
        <f t="shared" si="74"/>
        <v>0.18070652173913043</v>
      </c>
      <c r="H413" s="9">
        <f t="shared" si="75"/>
        <v>30000</v>
      </c>
      <c r="I413" s="9">
        <f t="shared" si="76"/>
        <v>3355000</v>
      </c>
      <c r="L413" s="9">
        <f t="shared" si="77"/>
        <v>26233200</v>
      </c>
      <c r="M413" s="9">
        <f t="shared" si="78"/>
        <v>28827692.307692312</v>
      </c>
      <c r="N413" s="11">
        <f t="shared" si="79"/>
        <v>3355000</v>
      </c>
      <c r="O413" s="12">
        <f t="shared" si="80"/>
        <v>0.11638115060305261</v>
      </c>
      <c r="P413" s="9">
        <f t="shared" si="81"/>
        <v>31230000</v>
      </c>
      <c r="Q413" s="11">
        <f t="shared" si="82"/>
        <v>3355000</v>
      </c>
      <c r="R413" s="12">
        <f t="shared" si="83"/>
        <v>0.10742875440281781</v>
      </c>
    </row>
    <row r="414" spans="1:18" x14ac:dyDescent="0.3">
      <c r="A414" s="1">
        <v>18400001</v>
      </c>
      <c r="B414" s="1">
        <v>18450000</v>
      </c>
      <c r="C414">
        <v>7000</v>
      </c>
      <c r="D414" s="14">
        <v>0.03</v>
      </c>
      <c r="E414" s="3">
        <f t="shared" si="72"/>
        <v>2398500</v>
      </c>
      <c r="F414" s="3">
        <f t="shared" si="73"/>
        <v>2084850</v>
      </c>
      <c r="G414" s="2">
        <f t="shared" si="74"/>
        <v>0.18070460704607044</v>
      </c>
      <c r="H414" s="9">
        <f t="shared" si="75"/>
        <v>30000</v>
      </c>
      <c r="I414" s="9">
        <f t="shared" si="76"/>
        <v>3363999.9999999995</v>
      </c>
      <c r="L414" s="9">
        <f t="shared" si="77"/>
        <v>26304350</v>
      </c>
      <c r="M414" s="9">
        <f t="shared" si="78"/>
        <v>28905879.120879125</v>
      </c>
      <c r="N414" s="11">
        <f t="shared" si="79"/>
        <v>3364000</v>
      </c>
      <c r="O414" s="12">
        <f t="shared" si="80"/>
        <v>0.11637770939027194</v>
      </c>
      <c r="P414" s="9">
        <f t="shared" si="81"/>
        <v>31314702.380952381</v>
      </c>
      <c r="Q414" s="11">
        <f t="shared" si="82"/>
        <v>3364000</v>
      </c>
      <c r="R414" s="12">
        <f t="shared" si="83"/>
        <v>0.10742557789871257</v>
      </c>
    </row>
    <row r="415" spans="1:18" x14ac:dyDescent="0.3">
      <c r="A415" s="1">
        <v>18450001</v>
      </c>
      <c r="B415" s="1">
        <v>18500000</v>
      </c>
      <c r="C415">
        <v>7000</v>
      </c>
      <c r="D415" s="14">
        <v>0.03</v>
      </c>
      <c r="E415" s="3">
        <f t="shared" si="72"/>
        <v>2405000</v>
      </c>
      <c r="F415" s="3">
        <f t="shared" si="73"/>
        <v>2090500</v>
      </c>
      <c r="G415" s="2">
        <f t="shared" si="74"/>
        <v>0.18070270270270269</v>
      </c>
      <c r="H415" s="9">
        <f t="shared" si="75"/>
        <v>30000</v>
      </c>
      <c r="I415" s="9">
        <f t="shared" si="76"/>
        <v>3373000</v>
      </c>
      <c r="L415" s="9">
        <f t="shared" si="77"/>
        <v>26375500</v>
      </c>
      <c r="M415" s="9">
        <f t="shared" si="78"/>
        <v>28984065.934065938</v>
      </c>
      <c r="N415" s="11">
        <f t="shared" si="79"/>
        <v>3373000</v>
      </c>
      <c r="O415" s="12">
        <f t="shared" si="80"/>
        <v>0.11637428674337925</v>
      </c>
      <c r="P415" s="9">
        <f t="shared" si="81"/>
        <v>31399404.761904765</v>
      </c>
      <c r="Q415" s="11">
        <f t="shared" si="82"/>
        <v>3373000</v>
      </c>
      <c r="R415" s="12">
        <f t="shared" si="83"/>
        <v>0.10742241853235009</v>
      </c>
    </row>
    <row r="416" spans="1:18" x14ac:dyDescent="0.3">
      <c r="A416" s="1">
        <v>18500001</v>
      </c>
      <c r="B416" s="1">
        <v>18550000</v>
      </c>
      <c r="C416">
        <v>7000</v>
      </c>
      <c r="D416" s="14">
        <v>0.03</v>
      </c>
      <c r="E416" s="3">
        <f t="shared" si="72"/>
        <v>2411500</v>
      </c>
      <c r="F416" s="3">
        <f t="shared" si="73"/>
        <v>2096150</v>
      </c>
      <c r="G416" s="2">
        <f t="shared" si="74"/>
        <v>0.18070080862533691</v>
      </c>
      <c r="H416" s="9">
        <f t="shared" si="75"/>
        <v>30000</v>
      </c>
      <c r="I416" s="9">
        <f t="shared" si="76"/>
        <v>3381999.9999999995</v>
      </c>
      <c r="L416" s="9">
        <f t="shared" si="77"/>
        <v>26446650</v>
      </c>
      <c r="M416" s="9">
        <f t="shared" si="78"/>
        <v>29062252.747252751</v>
      </c>
      <c r="N416" s="11">
        <f t="shared" si="79"/>
        <v>3382000</v>
      </c>
      <c r="O416" s="12">
        <f t="shared" si="80"/>
        <v>0.11637088251252993</v>
      </c>
      <c r="P416" s="9">
        <f t="shared" si="81"/>
        <v>31484107.142857146</v>
      </c>
      <c r="Q416" s="11">
        <f t="shared" si="82"/>
        <v>3382000</v>
      </c>
      <c r="R416" s="12">
        <f t="shared" si="83"/>
        <v>0.10741927616541225</v>
      </c>
    </row>
    <row r="417" spans="1:18" x14ac:dyDescent="0.3">
      <c r="A417" s="1">
        <v>18550001</v>
      </c>
      <c r="B417" s="1">
        <v>18600000</v>
      </c>
      <c r="C417">
        <v>7000</v>
      </c>
      <c r="D417" s="14">
        <v>0.03</v>
      </c>
      <c r="E417" s="3">
        <f t="shared" ref="E417:E446" si="84">B417*13%</f>
        <v>2418000</v>
      </c>
      <c r="F417" s="3">
        <f t="shared" ref="F417:F446" si="85">(B417+E417)*10%</f>
        <v>2101800</v>
      </c>
      <c r="G417" s="2">
        <f t="shared" si="74"/>
        <v>0.18069892473118279</v>
      </c>
      <c r="H417" s="9">
        <f t="shared" si="75"/>
        <v>30000</v>
      </c>
      <c r="I417" s="9">
        <f t="shared" si="76"/>
        <v>3391000</v>
      </c>
      <c r="L417" s="9">
        <f t="shared" si="77"/>
        <v>26517800</v>
      </c>
      <c r="M417" s="9">
        <f t="shared" si="78"/>
        <v>29140439.560439564</v>
      </c>
      <c r="N417" s="11">
        <f t="shared" si="79"/>
        <v>3391000</v>
      </c>
      <c r="O417" s="12">
        <f t="shared" si="80"/>
        <v>0.1163674965494875</v>
      </c>
      <c r="P417" s="9">
        <f t="shared" si="81"/>
        <v>31568809.523809526</v>
      </c>
      <c r="Q417" s="11">
        <f t="shared" si="82"/>
        <v>3391000</v>
      </c>
      <c r="R417" s="12">
        <f t="shared" si="83"/>
        <v>0.10741615066106538</v>
      </c>
    </row>
    <row r="418" spans="1:18" x14ac:dyDescent="0.3">
      <c r="A418" s="1">
        <v>18600001</v>
      </c>
      <c r="B418" s="1">
        <v>18650000</v>
      </c>
      <c r="C418">
        <v>7000</v>
      </c>
      <c r="D418" s="14">
        <v>0.03</v>
      </c>
      <c r="E418" s="3">
        <f t="shared" si="84"/>
        <v>2424500</v>
      </c>
      <c r="F418" s="3">
        <f t="shared" si="85"/>
        <v>2107450</v>
      </c>
      <c r="G418" s="2">
        <f t="shared" si="74"/>
        <v>0.18069705093833779</v>
      </c>
      <c r="H418" s="9">
        <f t="shared" si="75"/>
        <v>30000</v>
      </c>
      <c r="I418" s="9">
        <f t="shared" si="76"/>
        <v>3400000</v>
      </c>
      <c r="L418" s="9">
        <f t="shared" si="77"/>
        <v>26588950</v>
      </c>
      <c r="M418" s="9">
        <f t="shared" si="78"/>
        <v>29218626.373626377</v>
      </c>
      <c r="N418" s="11">
        <f t="shared" si="79"/>
        <v>3400000</v>
      </c>
      <c r="O418" s="12">
        <f t="shared" si="80"/>
        <v>0.1163641287076022</v>
      </c>
      <c r="P418" s="9">
        <f t="shared" si="81"/>
        <v>31653511.904761907</v>
      </c>
      <c r="Q418" s="11">
        <f t="shared" si="82"/>
        <v>3400000</v>
      </c>
      <c r="R418" s="12">
        <f t="shared" si="83"/>
        <v>0.1074130418839405</v>
      </c>
    </row>
    <row r="419" spans="1:18" x14ac:dyDescent="0.3">
      <c r="A419" s="1">
        <v>18650001</v>
      </c>
      <c r="B419" s="1">
        <v>18700000</v>
      </c>
      <c r="C419">
        <v>7000</v>
      </c>
      <c r="D419" s="14">
        <v>0.03</v>
      </c>
      <c r="E419" s="3">
        <f t="shared" si="84"/>
        <v>2431000</v>
      </c>
      <c r="F419" s="3">
        <f t="shared" si="85"/>
        <v>2113100</v>
      </c>
      <c r="G419" s="2">
        <f t="shared" si="74"/>
        <v>0.1806951871657754</v>
      </c>
      <c r="H419" s="9">
        <f t="shared" si="75"/>
        <v>30000</v>
      </c>
      <c r="I419" s="9">
        <f t="shared" si="76"/>
        <v>3409000</v>
      </c>
      <c r="L419" s="9">
        <f t="shared" si="77"/>
        <v>26660100</v>
      </c>
      <c r="M419" s="9">
        <f t="shared" si="78"/>
        <v>29296813.186813191</v>
      </c>
      <c r="N419" s="11">
        <f t="shared" si="79"/>
        <v>3409000</v>
      </c>
      <c r="O419" s="12">
        <f t="shared" si="80"/>
        <v>0.11636077884178977</v>
      </c>
      <c r="P419" s="9">
        <f t="shared" si="81"/>
        <v>31738214.285714287</v>
      </c>
      <c r="Q419" s="11">
        <f t="shared" si="82"/>
        <v>3409000</v>
      </c>
      <c r="R419" s="12">
        <f t="shared" si="83"/>
        <v>0.10740994970011365</v>
      </c>
    </row>
    <row r="420" spans="1:18" x14ac:dyDescent="0.3">
      <c r="A420" s="1">
        <v>18700001</v>
      </c>
      <c r="B420" s="1">
        <v>18750000</v>
      </c>
      <c r="C420">
        <v>7000</v>
      </c>
      <c r="D420" s="14">
        <v>0.03</v>
      </c>
      <c r="E420" s="3">
        <f t="shared" si="84"/>
        <v>2437500</v>
      </c>
      <c r="F420" s="3">
        <f t="shared" si="85"/>
        <v>2118750</v>
      </c>
      <c r="G420" s="2">
        <f t="shared" si="74"/>
        <v>0.18069333333333332</v>
      </c>
      <c r="H420" s="9">
        <f t="shared" si="75"/>
        <v>30000</v>
      </c>
      <c r="I420" s="9">
        <f t="shared" si="76"/>
        <v>3417999.9999999995</v>
      </c>
      <c r="L420" s="9">
        <f t="shared" si="77"/>
        <v>26731250</v>
      </c>
      <c r="M420" s="9">
        <f t="shared" si="78"/>
        <v>29375000.000000004</v>
      </c>
      <c r="N420" s="11">
        <f t="shared" si="79"/>
        <v>3418000</v>
      </c>
      <c r="O420" s="12">
        <f t="shared" si="80"/>
        <v>0.11635744680851062</v>
      </c>
      <c r="P420" s="9">
        <f t="shared" si="81"/>
        <v>31822916.666666668</v>
      </c>
      <c r="Q420" s="11">
        <f t="shared" si="82"/>
        <v>3418000</v>
      </c>
      <c r="R420" s="12">
        <f t="shared" si="83"/>
        <v>0.10740687397708674</v>
      </c>
    </row>
    <row r="421" spans="1:18" x14ac:dyDescent="0.3">
      <c r="A421" s="1">
        <v>18750001</v>
      </c>
      <c r="B421" s="1">
        <v>18800000</v>
      </c>
      <c r="C421">
        <v>7000</v>
      </c>
      <c r="D421" s="14">
        <v>0.03</v>
      </c>
      <c r="E421" s="3">
        <f t="shared" si="84"/>
        <v>2444000</v>
      </c>
      <c r="F421" s="3">
        <f t="shared" si="85"/>
        <v>2124400</v>
      </c>
      <c r="G421" s="2">
        <f t="shared" si="74"/>
        <v>0.18069148936170212</v>
      </c>
      <c r="H421" s="9">
        <f t="shared" si="75"/>
        <v>30000</v>
      </c>
      <c r="I421" s="9">
        <f t="shared" si="76"/>
        <v>3427000</v>
      </c>
      <c r="L421" s="9">
        <f t="shared" si="77"/>
        <v>26802400</v>
      </c>
      <c r="M421" s="9">
        <f t="shared" si="78"/>
        <v>29453186.813186817</v>
      </c>
      <c r="N421" s="11">
        <f t="shared" si="79"/>
        <v>3427000</v>
      </c>
      <c r="O421" s="12">
        <f t="shared" si="80"/>
        <v>0.11635413246574933</v>
      </c>
      <c r="P421" s="9">
        <f t="shared" si="81"/>
        <v>31907619.047619049</v>
      </c>
      <c r="Q421" s="11">
        <f t="shared" si="82"/>
        <v>3427000</v>
      </c>
      <c r="R421" s="12">
        <f t="shared" si="83"/>
        <v>0.10740381458376862</v>
      </c>
    </row>
    <row r="422" spans="1:18" x14ac:dyDescent="0.3">
      <c r="A422" s="1">
        <v>18800001</v>
      </c>
      <c r="B422" s="1">
        <v>18850000</v>
      </c>
      <c r="C422">
        <v>7000</v>
      </c>
      <c r="D422" s="14">
        <v>0.03</v>
      </c>
      <c r="E422" s="3">
        <f t="shared" si="84"/>
        <v>2450500</v>
      </c>
      <c r="F422" s="3">
        <f t="shared" si="85"/>
        <v>2130050</v>
      </c>
      <c r="G422" s="2">
        <f t="shared" si="74"/>
        <v>0.18068965517241378</v>
      </c>
      <c r="H422" s="9">
        <f t="shared" si="75"/>
        <v>30000</v>
      </c>
      <c r="I422" s="9">
        <f t="shared" si="76"/>
        <v>3436000</v>
      </c>
      <c r="L422" s="9">
        <f t="shared" si="77"/>
        <v>26873550</v>
      </c>
      <c r="M422" s="9">
        <f t="shared" si="78"/>
        <v>29531373.62637363</v>
      </c>
      <c r="N422" s="11">
        <f t="shared" si="79"/>
        <v>3436000</v>
      </c>
      <c r="O422" s="12">
        <f t="shared" si="80"/>
        <v>0.11635083567299444</v>
      </c>
      <c r="P422" s="9">
        <f t="shared" si="81"/>
        <v>31992321.428571429</v>
      </c>
      <c r="Q422" s="11">
        <f t="shared" si="82"/>
        <v>3436000</v>
      </c>
      <c r="R422" s="12">
        <f t="shared" si="83"/>
        <v>0.10740077139045641</v>
      </c>
    </row>
    <row r="423" spans="1:18" x14ac:dyDescent="0.3">
      <c r="A423" s="1">
        <v>18850001</v>
      </c>
      <c r="B423" s="1">
        <v>18900000</v>
      </c>
      <c r="C423">
        <v>7000</v>
      </c>
      <c r="D423" s="14">
        <v>0.03</v>
      </c>
      <c r="E423" s="3">
        <f t="shared" si="84"/>
        <v>2457000</v>
      </c>
      <c r="F423" s="3">
        <f t="shared" si="85"/>
        <v>2135700</v>
      </c>
      <c r="G423" s="2">
        <f t="shared" si="74"/>
        <v>0.18068783068783068</v>
      </c>
      <c r="H423" s="9">
        <f t="shared" si="75"/>
        <v>30000</v>
      </c>
      <c r="I423" s="9">
        <f t="shared" si="76"/>
        <v>3444999.9999999995</v>
      </c>
      <c r="L423" s="9">
        <f t="shared" si="77"/>
        <v>26944700</v>
      </c>
      <c r="M423" s="9">
        <f t="shared" si="78"/>
        <v>29609560.439560443</v>
      </c>
      <c r="N423" s="11">
        <f t="shared" si="79"/>
        <v>3445000</v>
      </c>
      <c r="O423" s="12">
        <f t="shared" si="80"/>
        <v>0.11634755629121867</v>
      </c>
      <c r="P423" s="9">
        <f t="shared" si="81"/>
        <v>32077023.80952381</v>
      </c>
      <c r="Q423" s="11">
        <f t="shared" si="82"/>
        <v>3445000</v>
      </c>
      <c r="R423" s="12">
        <f t="shared" si="83"/>
        <v>0.10739774426881725</v>
      </c>
    </row>
    <row r="424" spans="1:18" x14ac:dyDescent="0.3">
      <c r="A424" s="1">
        <v>18900001</v>
      </c>
      <c r="B424" s="1">
        <v>18950000</v>
      </c>
      <c r="C424">
        <v>7000</v>
      </c>
      <c r="D424" s="14">
        <v>0.03</v>
      </c>
      <c r="E424" s="3">
        <f t="shared" si="84"/>
        <v>2463500</v>
      </c>
      <c r="F424" s="3">
        <f t="shared" si="85"/>
        <v>2141350</v>
      </c>
      <c r="G424" s="2">
        <f t="shared" si="74"/>
        <v>0.18068601583113456</v>
      </c>
      <c r="H424" s="9">
        <f t="shared" si="75"/>
        <v>30000</v>
      </c>
      <c r="I424" s="9">
        <f t="shared" si="76"/>
        <v>3454000</v>
      </c>
      <c r="L424" s="9">
        <f t="shared" si="77"/>
        <v>27015850</v>
      </c>
      <c r="M424" s="9">
        <f t="shared" si="78"/>
        <v>29687747.252747256</v>
      </c>
      <c r="N424" s="11">
        <f t="shared" si="79"/>
        <v>3454000</v>
      </c>
      <c r="O424" s="12">
        <f t="shared" si="80"/>
        <v>0.11634429418285931</v>
      </c>
      <c r="P424" s="9">
        <f t="shared" si="81"/>
        <v>32161726.19047619</v>
      </c>
      <c r="Q424" s="11">
        <f t="shared" si="82"/>
        <v>3454000</v>
      </c>
      <c r="R424" s="12">
        <f t="shared" si="83"/>
        <v>0.10739473309187014</v>
      </c>
    </row>
    <row r="425" spans="1:18" x14ac:dyDescent="0.3">
      <c r="A425" s="1">
        <v>18950001</v>
      </c>
      <c r="B425" s="1">
        <v>19000000</v>
      </c>
      <c r="C425">
        <v>7000</v>
      </c>
      <c r="D425" s="14">
        <v>0.03</v>
      </c>
      <c r="E425" s="3">
        <f t="shared" si="84"/>
        <v>2470000</v>
      </c>
      <c r="F425" s="3">
        <f t="shared" si="85"/>
        <v>2147000</v>
      </c>
      <c r="G425" s="2">
        <f t="shared" si="74"/>
        <v>0.18068421052631578</v>
      </c>
      <c r="H425" s="9">
        <f t="shared" si="75"/>
        <v>30000</v>
      </c>
      <c r="I425" s="9">
        <f t="shared" si="76"/>
        <v>3463000</v>
      </c>
      <c r="L425" s="9">
        <f t="shared" si="77"/>
        <v>27087000</v>
      </c>
      <c r="M425" s="9">
        <f t="shared" si="78"/>
        <v>29765934.065934069</v>
      </c>
      <c r="N425" s="11">
        <f t="shared" si="79"/>
        <v>3463000</v>
      </c>
      <c r="O425" s="12">
        <f t="shared" si="80"/>
        <v>0.11634104921179901</v>
      </c>
      <c r="P425" s="9">
        <f t="shared" si="81"/>
        <v>32246428.571428571</v>
      </c>
      <c r="Q425" s="11">
        <f t="shared" si="82"/>
        <v>3463000</v>
      </c>
      <c r="R425" s="12">
        <f t="shared" si="83"/>
        <v>0.10739173773396833</v>
      </c>
    </row>
    <row r="426" spans="1:18" x14ac:dyDescent="0.3">
      <c r="A426" s="1">
        <v>19000001</v>
      </c>
      <c r="B426" s="1">
        <v>19050000</v>
      </c>
      <c r="C426">
        <v>7000</v>
      </c>
      <c r="D426" s="14">
        <v>0.03</v>
      </c>
      <c r="E426" s="3">
        <f t="shared" si="84"/>
        <v>2476500</v>
      </c>
      <c r="F426" s="3">
        <f t="shared" si="85"/>
        <v>2152650</v>
      </c>
      <c r="G426" s="2">
        <f t="shared" si="74"/>
        <v>0.18068241469816274</v>
      </c>
      <c r="H426" s="9">
        <f t="shared" si="75"/>
        <v>30000</v>
      </c>
      <c r="I426" s="9">
        <f t="shared" si="76"/>
        <v>3472000</v>
      </c>
      <c r="L426" s="9">
        <f t="shared" si="77"/>
        <v>27158150</v>
      </c>
      <c r="M426" s="9">
        <f t="shared" si="78"/>
        <v>29844120.879120883</v>
      </c>
      <c r="N426" s="11">
        <f t="shared" si="79"/>
        <v>3472000</v>
      </c>
      <c r="O426" s="12">
        <f t="shared" si="80"/>
        <v>0.11633782124334682</v>
      </c>
      <c r="P426" s="9">
        <f t="shared" si="81"/>
        <v>32331130.952380955</v>
      </c>
      <c r="Q426" s="11">
        <f t="shared" si="82"/>
        <v>3472000</v>
      </c>
      <c r="R426" s="12">
        <f t="shared" si="83"/>
        <v>0.10738875807078169</v>
      </c>
    </row>
    <row r="427" spans="1:18" x14ac:dyDescent="0.3">
      <c r="A427" s="1">
        <v>19050001</v>
      </c>
      <c r="B427" s="1">
        <v>19100000</v>
      </c>
      <c r="C427">
        <v>7000</v>
      </c>
      <c r="D427" s="14">
        <v>0.03</v>
      </c>
      <c r="E427" s="3">
        <f t="shared" si="84"/>
        <v>2483000</v>
      </c>
      <c r="F427" s="3">
        <f t="shared" si="85"/>
        <v>2158300</v>
      </c>
      <c r="G427" s="2">
        <f t="shared" si="74"/>
        <v>0.18068062827225131</v>
      </c>
      <c r="H427" s="9">
        <f t="shared" si="75"/>
        <v>30000</v>
      </c>
      <c r="I427" s="9">
        <f t="shared" si="76"/>
        <v>3481000</v>
      </c>
      <c r="L427" s="9">
        <f t="shared" si="77"/>
        <v>27229300</v>
      </c>
      <c r="M427" s="9">
        <f t="shared" si="78"/>
        <v>29922307.692307696</v>
      </c>
      <c r="N427" s="11">
        <f t="shared" si="79"/>
        <v>3481000</v>
      </c>
      <c r="O427" s="12">
        <f t="shared" si="80"/>
        <v>0.11633461014421963</v>
      </c>
      <c r="P427" s="9">
        <f t="shared" si="81"/>
        <v>32415833.333333336</v>
      </c>
      <c r="Q427" s="11">
        <f t="shared" si="82"/>
        <v>3481000</v>
      </c>
      <c r="R427" s="12">
        <f t="shared" si="83"/>
        <v>0.10738579397927966</v>
      </c>
    </row>
    <row r="428" spans="1:18" x14ac:dyDescent="0.3">
      <c r="A428" s="1">
        <v>19100001</v>
      </c>
      <c r="B428" s="1">
        <v>19150000</v>
      </c>
      <c r="C428">
        <v>7000</v>
      </c>
      <c r="D428" s="14">
        <v>0.03</v>
      </c>
      <c r="E428" s="3">
        <f t="shared" si="84"/>
        <v>2489500</v>
      </c>
      <c r="F428" s="3">
        <f t="shared" si="85"/>
        <v>2163950</v>
      </c>
      <c r="G428" s="2">
        <f t="shared" si="74"/>
        <v>0.18067885117493471</v>
      </c>
      <c r="H428" s="9">
        <f t="shared" si="75"/>
        <v>30000</v>
      </c>
      <c r="I428" s="9">
        <f t="shared" si="76"/>
        <v>3489999.9999999995</v>
      </c>
      <c r="L428" s="9">
        <f t="shared" si="77"/>
        <v>27300450</v>
      </c>
      <c r="M428" s="9">
        <f t="shared" si="78"/>
        <v>30000494.505494509</v>
      </c>
      <c r="N428" s="11">
        <f t="shared" si="79"/>
        <v>3490000</v>
      </c>
      <c r="O428" s="12">
        <f t="shared" si="80"/>
        <v>0.11633141578252372</v>
      </c>
      <c r="P428" s="9">
        <f t="shared" si="81"/>
        <v>32500535.714285716</v>
      </c>
      <c r="Q428" s="11">
        <f t="shared" si="82"/>
        <v>3490000</v>
      </c>
      <c r="R428" s="12">
        <f t="shared" si="83"/>
        <v>0.10738284533771421</v>
      </c>
    </row>
    <row r="429" spans="1:18" x14ac:dyDescent="0.3">
      <c r="A429" s="1">
        <v>19150001</v>
      </c>
      <c r="B429" s="1">
        <v>19200000</v>
      </c>
      <c r="C429">
        <v>7000</v>
      </c>
      <c r="D429" s="14">
        <v>0.03</v>
      </c>
      <c r="E429" s="3">
        <f t="shared" si="84"/>
        <v>2496000</v>
      </c>
      <c r="F429" s="3">
        <f t="shared" si="85"/>
        <v>2169600</v>
      </c>
      <c r="G429" s="2">
        <f t="shared" si="74"/>
        <v>0.18067708333333332</v>
      </c>
      <c r="H429" s="9">
        <f t="shared" si="75"/>
        <v>30000</v>
      </c>
      <c r="I429" s="9">
        <f t="shared" si="76"/>
        <v>3499000</v>
      </c>
      <c r="L429" s="9">
        <f t="shared" si="77"/>
        <v>27371600</v>
      </c>
      <c r="M429" s="9">
        <f t="shared" si="78"/>
        <v>30078681.318681322</v>
      </c>
      <c r="N429" s="11">
        <f t="shared" si="79"/>
        <v>3499000</v>
      </c>
      <c r="O429" s="12">
        <f t="shared" si="80"/>
        <v>0.11632823802773677</v>
      </c>
      <c r="P429" s="9">
        <f t="shared" si="81"/>
        <v>32585238.095238097</v>
      </c>
      <c r="Q429" s="11">
        <f t="shared" si="82"/>
        <v>3499000</v>
      </c>
      <c r="R429" s="12">
        <f t="shared" si="83"/>
        <v>0.10737991202560318</v>
      </c>
    </row>
    <row r="430" spans="1:18" x14ac:dyDescent="0.3">
      <c r="A430" s="1">
        <v>19200001</v>
      </c>
      <c r="B430" s="1">
        <v>19250000</v>
      </c>
      <c r="C430">
        <v>7000</v>
      </c>
      <c r="D430" s="14">
        <v>0.03</v>
      </c>
      <c r="E430" s="3">
        <f t="shared" si="84"/>
        <v>2502500</v>
      </c>
      <c r="F430" s="3">
        <f t="shared" si="85"/>
        <v>2175250</v>
      </c>
      <c r="G430" s="2">
        <f t="shared" si="74"/>
        <v>0.18067532467532466</v>
      </c>
      <c r="H430" s="9">
        <f t="shared" si="75"/>
        <v>30000</v>
      </c>
      <c r="I430" s="9">
        <f t="shared" si="76"/>
        <v>3507999.9999999995</v>
      </c>
      <c r="L430" s="9">
        <f t="shared" si="77"/>
        <v>27442750</v>
      </c>
      <c r="M430" s="9">
        <f t="shared" si="78"/>
        <v>30156868.131868135</v>
      </c>
      <c r="N430" s="11">
        <f t="shared" si="79"/>
        <v>3508000</v>
      </c>
      <c r="O430" s="12">
        <f t="shared" si="80"/>
        <v>0.11632507675069007</v>
      </c>
      <c r="P430" s="9">
        <f t="shared" si="81"/>
        <v>32669940.476190478</v>
      </c>
      <c r="Q430" s="11">
        <f t="shared" si="82"/>
        <v>3508000</v>
      </c>
      <c r="R430" s="12">
        <f t="shared" si="83"/>
        <v>0.10737699392371391</v>
      </c>
    </row>
    <row r="431" spans="1:18" x14ac:dyDescent="0.3">
      <c r="A431" s="1">
        <v>19250001</v>
      </c>
      <c r="B431" s="1">
        <v>19300000</v>
      </c>
      <c r="C431">
        <v>7000</v>
      </c>
      <c r="D431" s="14">
        <v>0.03</v>
      </c>
      <c r="E431" s="3">
        <f t="shared" si="84"/>
        <v>2509000</v>
      </c>
      <c r="F431" s="3">
        <f t="shared" si="85"/>
        <v>2180900</v>
      </c>
      <c r="G431" s="2">
        <f t="shared" si="74"/>
        <v>0.18067357512953366</v>
      </c>
      <c r="H431" s="9">
        <f t="shared" si="75"/>
        <v>30000</v>
      </c>
      <c r="I431" s="9">
        <f t="shared" si="76"/>
        <v>3516999.9999999995</v>
      </c>
      <c r="L431" s="9">
        <f t="shared" si="77"/>
        <v>27513900</v>
      </c>
      <c r="M431" s="9">
        <f t="shared" si="78"/>
        <v>30235054.945054948</v>
      </c>
      <c r="N431" s="11">
        <f t="shared" si="79"/>
        <v>3517000</v>
      </c>
      <c r="O431" s="12">
        <f t="shared" si="80"/>
        <v>0.11632193182355099</v>
      </c>
      <c r="P431" s="9">
        <f t="shared" si="81"/>
        <v>32754642.857142858</v>
      </c>
      <c r="Q431" s="11">
        <f t="shared" si="82"/>
        <v>3517000</v>
      </c>
      <c r="R431" s="12">
        <f t="shared" si="83"/>
        <v>0.10737409091404708</v>
      </c>
    </row>
    <row r="432" spans="1:18" x14ac:dyDescent="0.3">
      <c r="A432" s="1">
        <v>19300001</v>
      </c>
      <c r="B432" s="1">
        <v>19350000</v>
      </c>
      <c r="C432">
        <v>7000</v>
      </c>
      <c r="D432" s="14">
        <v>0.03</v>
      </c>
      <c r="E432" s="3">
        <f t="shared" si="84"/>
        <v>2515500</v>
      </c>
      <c r="F432" s="3">
        <f t="shared" si="85"/>
        <v>2186550</v>
      </c>
      <c r="G432" s="2">
        <f t="shared" si="74"/>
        <v>0.18067183462532299</v>
      </c>
      <c r="H432" s="9">
        <f t="shared" si="75"/>
        <v>30000</v>
      </c>
      <c r="I432" s="9">
        <f t="shared" si="76"/>
        <v>3526000</v>
      </c>
      <c r="L432" s="9">
        <f t="shared" si="77"/>
        <v>27585050</v>
      </c>
      <c r="M432" s="9">
        <f t="shared" si="78"/>
        <v>30313241.758241761</v>
      </c>
      <c r="N432" s="11">
        <f t="shared" si="79"/>
        <v>3526000</v>
      </c>
      <c r="O432" s="12">
        <f t="shared" si="80"/>
        <v>0.11631880311980583</v>
      </c>
      <c r="P432" s="9">
        <f t="shared" si="81"/>
        <v>32839345.238095239</v>
      </c>
      <c r="Q432" s="11">
        <f t="shared" si="82"/>
        <v>3526000</v>
      </c>
      <c r="R432" s="12">
        <f t="shared" si="83"/>
        <v>0.10737120287982077</v>
      </c>
    </row>
    <row r="433" spans="1:18" x14ac:dyDescent="0.3">
      <c r="A433" s="1">
        <v>19350001</v>
      </c>
      <c r="B433" s="1">
        <v>19400000</v>
      </c>
      <c r="C433">
        <v>7000</v>
      </c>
      <c r="D433" s="14">
        <v>0.03</v>
      </c>
      <c r="E433" s="3">
        <f t="shared" si="84"/>
        <v>2522000</v>
      </c>
      <c r="F433" s="3">
        <f t="shared" si="85"/>
        <v>2192200</v>
      </c>
      <c r="G433" s="2">
        <f t="shared" si="74"/>
        <v>0.1806701030927835</v>
      </c>
      <c r="H433" s="9">
        <f t="shared" si="75"/>
        <v>30000</v>
      </c>
      <c r="I433" s="9">
        <f t="shared" si="76"/>
        <v>3535000</v>
      </c>
      <c r="L433" s="9">
        <f t="shared" si="77"/>
        <v>27656200</v>
      </c>
      <c r="M433" s="9">
        <f t="shared" si="78"/>
        <v>30391428.571428575</v>
      </c>
      <c r="N433" s="11">
        <f t="shared" si="79"/>
        <v>3535000</v>
      </c>
      <c r="O433" s="12">
        <f t="shared" si="80"/>
        <v>0.11631569051424273</v>
      </c>
      <c r="P433" s="9">
        <f t="shared" si="81"/>
        <v>32924047.619047619</v>
      </c>
      <c r="Q433" s="11">
        <f t="shared" si="82"/>
        <v>3535000</v>
      </c>
      <c r="R433" s="12">
        <f t="shared" si="83"/>
        <v>0.10736832970545483</v>
      </c>
    </row>
    <row r="434" spans="1:18" x14ac:dyDescent="0.3">
      <c r="A434" s="1">
        <v>19400001</v>
      </c>
      <c r="B434" s="1">
        <v>19450000</v>
      </c>
      <c r="C434">
        <v>7000</v>
      </c>
      <c r="D434" s="14">
        <v>0.03</v>
      </c>
      <c r="E434" s="3">
        <f t="shared" si="84"/>
        <v>2528500</v>
      </c>
      <c r="F434" s="3">
        <f t="shared" si="85"/>
        <v>2197850</v>
      </c>
      <c r="G434" s="2">
        <f t="shared" si="74"/>
        <v>0.18066838046272493</v>
      </c>
      <c r="H434" s="9">
        <f t="shared" si="75"/>
        <v>30000</v>
      </c>
      <c r="I434" s="9">
        <f t="shared" si="76"/>
        <v>3544000</v>
      </c>
      <c r="L434" s="9">
        <f t="shared" si="77"/>
        <v>27727350</v>
      </c>
      <c r="M434" s="9">
        <f t="shared" si="78"/>
        <v>30469615.384615388</v>
      </c>
      <c r="N434" s="11">
        <f t="shared" si="79"/>
        <v>3544000</v>
      </c>
      <c r="O434" s="12">
        <f t="shared" si="80"/>
        <v>0.11631259388293506</v>
      </c>
      <c r="P434" s="9">
        <f t="shared" si="81"/>
        <v>33008750</v>
      </c>
      <c r="Q434" s="11">
        <f t="shared" si="82"/>
        <v>3544000</v>
      </c>
      <c r="R434" s="12">
        <f t="shared" si="83"/>
        <v>0.10736547127655546</v>
      </c>
    </row>
    <row r="435" spans="1:18" x14ac:dyDescent="0.3">
      <c r="A435" s="1">
        <v>19450001</v>
      </c>
      <c r="B435" s="1">
        <v>19500000</v>
      </c>
      <c r="C435">
        <v>7000</v>
      </c>
      <c r="D435" s="14">
        <v>0.03</v>
      </c>
      <c r="E435" s="3">
        <f t="shared" si="84"/>
        <v>2535000</v>
      </c>
      <c r="F435" s="3">
        <f t="shared" si="85"/>
        <v>2203500</v>
      </c>
      <c r="G435" s="2">
        <f t="shared" si="74"/>
        <v>0.18066666666666667</v>
      </c>
      <c r="H435" s="9">
        <f t="shared" si="75"/>
        <v>30000</v>
      </c>
      <c r="I435" s="9">
        <f t="shared" si="76"/>
        <v>3553000</v>
      </c>
      <c r="L435" s="9">
        <f t="shared" si="77"/>
        <v>27798500</v>
      </c>
      <c r="M435" s="9">
        <f t="shared" si="78"/>
        <v>30547802.197802201</v>
      </c>
      <c r="N435" s="11">
        <f t="shared" si="79"/>
        <v>3553000</v>
      </c>
      <c r="O435" s="12">
        <f t="shared" si="80"/>
        <v>0.11630951310322499</v>
      </c>
      <c r="P435" s="9">
        <f t="shared" si="81"/>
        <v>33093452.380952381</v>
      </c>
      <c r="Q435" s="11">
        <f t="shared" si="82"/>
        <v>3553000</v>
      </c>
      <c r="R435" s="12">
        <f t="shared" si="83"/>
        <v>0.1073626274799</v>
      </c>
    </row>
    <row r="436" spans="1:18" x14ac:dyDescent="0.3">
      <c r="A436" s="1">
        <v>19500001</v>
      </c>
      <c r="B436" s="1">
        <v>19550000</v>
      </c>
      <c r="C436">
        <v>7000</v>
      </c>
      <c r="D436" s="14">
        <v>0.03</v>
      </c>
      <c r="E436" s="3">
        <f t="shared" si="84"/>
        <v>2541500</v>
      </c>
      <c r="F436" s="3">
        <f t="shared" si="85"/>
        <v>2209150</v>
      </c>
      <c r="G436" s="2">
        <f t="shared" si="74"/>
        <v>0.18066496163682863</v>
      </c>
      <c r="H436" s="9">
        <f t="shared" si="75"/>
        <v>30000</v>
      </c>
      <c r="I436" s="9">
        <f t="shared" si="76"/>
        <v>3561999.9999999995</v>
      </c>
      <c r="L436" s="9">
        <f t="shared" si="77"/>
        <v>27869650</v>
      </c>
      <c r="M436" s="9">
        <f t="shared" si="78"/>
        <v>30625989.010989014</v>
      </c>
      <c r="N436" s="11">
        <f t="shared" si="79"/>
        <v>3562000</v>
      </c>
      <c r="O436" s="12">
        <f t="shared" si="80"/>
        <v>0.11630644805370716</v>
      </c>
      <c r="P436" s="9">
        <f t="shared" si="81"/>
        <v>33178154.761904765</v>
      </c>
      <c r="Q436" s="11">
        <f t="shared" si="82"/>
        <v>3562000</v>
      </c>
      <c r="R436" s="12">
        <f t="shared" si="83"/>
        <v>0.10735979820342199</v>
      </c>
    </row>
    <row r="437" spans="1:18" x14ac:dyDescent="0.3">
      <c r="A437" s="1">
        <v>19550001</v>
      </c>
      <c r="B437" s="1">
        <v>19600000</v>
      </c>
      <c r="C437">
        <v>7000</v>
      </c>
      <c r="D437" s="14">
        <v>0.03</v>
      </c>
      <c r="E437" s="3">
        <f t="shared" si="84"/>
        <v>2548000</v>
      </c>
      <c r="F437" s="3">
        <f t="shared" si="85"/>
        <v>2214800</v>
      </c>
      <c r="G437" s="2">
        <f t="shared" si="74"/>
        <v>0.18066326530612245</v>
      </c>
      <c r="H437" s="9">
        <f t="shared" si="75"/>
        <v>30000</v>
      </c>
      <c r="I437" s="9">
        <f t="shared" si="76"/>
        <v>3571000</v>
      </c>
      <c r="L437" s="9">
        <f t="shared" si="77"/>
        <v>27940800</v>
      </c>
      <c r="M437" s="9">
        <f t="shared" si="78"/>
        <v>30704175.824175827</v>
      </c>
      <c r="N437" s="11">
        <f t="shared" si="79"/>
        <v>3571000</v>
      </c>
      <c r="O437" s="12">
        <f t="shared" si="80"/>
        <v>0.11630339861421289</v>
      </c>
      <c r="P437" s="9">
        <f t="shared" si="81"/>
        <v>33262857.142857146</v>
      </c>
      <c r="Q437" s="11">
        <f t="shared" si="82"/>
        <v>3571000</v>
      </c>
      <c r="R437" s="12">
        <f t="shared" si="83"/>
        <v>0.10735698333619652</v>
      </c>
    </row>
    <row r="438" spans="1:18" x14ac:dyDescent="0.3">
      <c r="A438" s="1">
        <v>19600001</v>
      </c>
      <c r="B438" s="1">
        <v>19650000</v>
      </c>
      <c r="C438">
        <v>7000</v>
      </c>
      <c r="D438" s="14">
        <v>0.03</v>
      </c>
      <c r="E438" s="3">
        <f t="shared" si="84"/>
        <v>2554500</v>
      </c>
      <c r="F438" s="3">
        <f t="shared" si="85"/>
        <v>2220450</v>
      </c>
      <c r="G438" s="2">
        <f t="shared" si="74"/>
        <v>0.1806615776081425</v>
      </c>
      <c r="H438" s="9">
        <f t="shared" si="75"/>
        <v>30000</v>
      </c>
      <c r="I438" s="9">
        <f t="shared" si="76"/>
        <v>3580000</v>
      </c>
      <c r="L438" s="9">
        <f t="shared" si="77"/>
        <v>28011950</v>
      </c>
      <c r="M438" s="9">
        <f t="shared" si="78"/>
        <v>30782362.63736264</v>
      </c>
      <c r="N438" s="11">
        <f t="shared" si="79"/>
        <v>3580000</v>
      </c>
      <c r="O438" s="12">
        <f t="shared" si="80"/>
        <v>0.11630036466579441</v>
      </c>
      <c r="P438" s="9">
        <f t="shared" si="81"/>
        <v>33347559.523809526</v>
      </c>
      <c r="Q438" s="11">
        <f t="shared" si="82"/>
        <v>3580000</v>
      </c>
      <c r="R438" s="12">
        <f t="shared" si="83"/>
        <v>0.10735418276842561</v>
      </c>
    </row>
    <row r="439" spans="1:18" x14ac:dyDescent="0.3">
      <c r="A439" s="1">
        <v>19650001</v>
      </c>
      <c r="B439" s="1">
        <v>19700000</v>
      </c>
      <c r="C439">
        <v>7000</v>
      </c>
      <c r="D439" s="14">
        <v>0.03</v>
      </c>
      <c r="E439" s="3">
        <f t="shared" si="84"/>
        <v>2561000</v>
      </c>
      <c r="F439" s="3">
        <f t="shared" si="85"/>
        <v>2226100</v>
      </c>
      <c r="G439" s="2">
        <f t="shared" si="74"/>
        <v>0.18065989847715735</v>
      </c>
      <c r="H439" s="9">
        <f t="shared" si="75"/>
        <v>30000</v>
      </c>
      <c r="I439" s="9">
        <f t="shared" si="76"/>
        <v>3589000</v>
      </c>
      <c r="L439" s="9">
        <f t="shared" si="77"/>
        <v>28083100</v>
      </c>
      <c r="M439" s="9">
        <f t="shared" si="78"/>
        <v>30860549.450549453</v>
      </c>
      <c r="N439" s="11">
        <f t="shared" si="79"/>
        <v>3589000</v>
      </c>
      <c r="O439" s="12">
        <f t="shared" si="80"/>
        <v>0.11629734609070935</v>
      </c>
      <c r="P439" s="9">
        <f t="shared" si="81"/>
        <v>33432261.904761907</v>
      </c>
      <c r="Q439" s="11">
        <f t="shared" si="82"/>
        <v>3589000</v>
      </c>
      <c r="R439" s="12">
        <f t="shared" si="83"/>
        <v>0.10735139639142402</v>
      </c>
    </row>
    <row r="440" spans="1:18" x14ac:dyDescent="0.3">
      <c r="A440" s="1">
        <v>19700001</v>
      </c>
      <c r="B440" s="1">
        <v>19750000</v>
      </c>
      <c r="C440">
        <v>7000</v>
      </c>
      <c r="D440" s="14">
        <v>0.03</v>
      </c>
      <c r="E440" s="3">
        <f t="shared" si="84"/>
        <v>2567500</v>
      </c>
      <c r="F440" s="3">
        <f t="shared" si="85"/>
        <v>2231750</v>
      </c>
      <c r="G440" s="2">
        <f t="shared" si="74"/>
        <v>0.18065822784810126</v>
      </c>
      <c r="H440" s="9">
        <f t="shared" si="75"/>
        <v>30000</v>
      </c>
      <c r="I440" s="9">
        <f t="shared" si="76"/>
        <v>3598000</v>
      </c>
      <c r="L440" s="9">
        <f t="shared" si="77"/>
        <v>28154250</v>
      </c>
      <c r="M440" s="9">
        <f t="shared" si="78"/>
        <v>30938736.263736267</v>
      </c>
      <c r="N440" s="11">
        <f t="shared" si="79"/>
        <v>3598000</v>
      </c>
      <c r="O440" s="12">
        <f t="shared" si="80"/>
        <v>0.11629434277240558</v>
      </c>
      <c r="P440" s="9">
        <f t="shared" si="81"/>
        <v>33516964.285714287</v>
      </c>
      <c r="Q440" s="11">
        <f t="shared" si="82"/>
        <v>3598000</v>
      </c>
      <c r="R440" s="12">
        <f t="shared" si="83"/>
        <v>0.10734862409760515</v>
      </c>
    </row>
    <row r="441" spans="1:18" x14ac:dyDescent="0.3">
      <c r="A441" s="1">
        <v>19750001</v>
      </c>
      <c r="B441" s="1">
        <v>19800000</v>
      </c>
      <c r="C441">
        <v>7000</v>
      </c>
      <c r="D441" s="14">
        <v>0.03</v>
      </c>
      <c r="E441" s="3">
        <f t="shared" si="84"/>
        <v>2574000</v>
      </c>
      <c r="F441" s="3">
        <f t="shared" si="85"/>
        <v>2237400</v>
      </c>
      <c r="G441" s="2">
        <f t="shared" si="74"/>
        <v>0.18065656565656565</v>
      </c>
      <c r="H441" s="9">
        <f t="shared" si="75"/>
        <v>30000</v>
      </c>
      <c r="I441" s="9">
        <f t="shared" si="76"/>
        <v>3607000</v>
      </c>
      <c r="L441" s="9">
        <f t="shared" si="77"/>
        <v>28225400</v>
      </c>
      <c r="M441" s="9">
        <f t="shared" si="78"/>
        <v>31016923.07692308</v>
      </c>
      <c r="N441" s="11">
        <f t="shared" si="79"/>
        <v>3607000</v>
      </c>
      <c r="O441" s="12">
        <f t="shared" si="80"/>
        <v>0.11629135459550616</v>
      </c>
      <c r="P441" s="9">
        <f t="shared" si="81"/>
        <v>33601666.666666672</v>
      </c>
      <c r="Q441" s="11">
        <f t="shared" si="82"/>
        <v>3607000.0000000037</v>
      </c>
      <c r="R441" s="12">
        <f t="shared" si="83"/>
        <v>0.10734586578046733</v>
      </c>
    </row>
    <row r="442" spans="1:18" x14ac:dyDescent="0.3">
      <c r="A442" s="1">
        <v>19800001</v>
      </c>
      <c r="B442" s="1">
        <v>19850000</v>
      </c>
      <c r="C442">
        <v>7000</v>
      </c>
      <c r="D442" s="14">
        <v>0.03</v>
      </c>
      <c r="E442" s="3">
        <f t="shared" si="84"/>
        <v>2580500</v>
      </c>
      <c r="F442" s="3">
        <f t="shared" si="85"/>
        <v>2243050</v>
      </c>
      <c r="G442" s="2">
        <f t="shared" si="74"/>
        <v>0.18065491183879093</v>
      </c>
      <c r="H442" s="9">
        <f t="shared" si="75"/>
        <v>30000</v>
      </c>
      <c r="I442" s="9">
        <f t="shared" si="76"/>
        <v>3616000</v>
      </c>
      <c r="L442" s="9">
        <f t="shared" si="77"/>
        <v>28296550</v>
      </c>
      <c r="M442" s="9">
        <f t="shared" si="78"/>
        <v>31095109.890109893</v>
      </c>
      <c r="N442" s="11">
        <f t="shared" si="79"/>
        <v>3616000</v>
      </c>
      <c r="O442" s="12">
        <f t="shared" si="80"/>
        <v>0.11628838144579462</v>
      </c>
      <c r="P442" s="9">
        <f t="shared" si="81"/>
        <v>33686369.047619052</v>
      </c>
      <c r="Q442" s="11">
        <f t="shared" si="82"/>
        <v>3616000.0000000037</v>
      </c>
      <c r="R442" s="12">
        <f t="shared" si="83"/>
        <v>0.10734312133457975</v>
      </c>
    </row>
    <row r="443" spans="1:18" x14ac:dyDescent="0.3">
      <c r="A443" s="1">
        <v>19850001</v>
      </c>
      <c r="B443" s="1">
        <v>19900000</v>
      </c>
      <c r="C443">
        <v>7000</v>
      </c>
      <c r="D443" s="14">
        <v>0.03</v>
      </c>
      <c r="E443" s="3">
        <f t="shared" si="84"/>
        <v>2587000</v>
      </c>
      <c r="F443" s="3">
        <f t="shared" si="85"/>
        <v>2248700</v>
      </c>
      <c r="G443" s="2">
        <f t="shared" si="74"/>
        <v>0.18065326633165829</v>
      </c>
      <c r="H443" s="9">
        <f t="shared" si="75"/>
        <v>30000</v>
      </c>
      <c r="I443" s="9">
        <f t="shared" si="76"/>
        <v>3625000</v>
      </c>
      <c r="L443" s="9">
        <f t="shared" si="77"/>
        <v>28367700</v>
      </c>
      <c r="M443" s="9">
        <f t="shared" si="78"/>
        <v>31173296.703296706</v>
      </c>
      <c r="N443" s="11">
        <f t="shared" si="79"/>
        <v>3625000</v>
      </c>
      <c r="O443" s="12">
        <f t="shared" si="80"/>
        <v>0.11628542321020033</v>
      </c>
      <c r="P443" s="9">
        <f t="shared" si="81"/>
        <v>33771071.428571433</v>
      </c>
      <c r="Q443" s="11">
        <f t="shared" si="82"/>
        <v>3625000.0000000037</v>
      </c>
      <c r="R443" s="12">
        <f t="shared" si="83"/>
        <v>0.10734039065556963</v>
      </c>
    </row>
    <row r="444" spans="1:18" x14ac:dyDescent="0.3">
      <c r="A444" s="1">
        <v>19900001</v>
      </c>
      <c r="B444" s="1">
        <v>19950000</v>
      </c>
      <c r="C444">
        <v>7000</v>
      </c>
      <c r="D444" s="14">
        <v>0.03</v>
      </c>
      <c r="E444" s="3">
        <f t="shared" si="84"/>
        <v>2593500</v>
      </c>
      <c r="F444" s="3">
        <f t="shared" si="85"/>
        <v>2254350</v>
      </c>
      <c r="G444" s="2">
        <f t="shared" si="74"/>
        <v>0.1806516290726817</v>
      </c>
      <c r="H444" s="9">
        <f t="shared" si="75"/>
        <v>30000</v>
      </c>
      <c r="I444" s="9">
        <f t="shared" si="76"/>
        <v>3634000</v>
      </c>
      <c r="L444" s="9">
        <f t="shared" si="77"/>
        <v>28438850</v>
      </c>
      <c r="M444" s="9">
        <f t="shared" si="78"/>
        <v>31251483.516483519</v>
      </c>
      <c r="N444" s="11">
        <f t="shared" si="79"/>
        <v>3634000</v>
      </c>
      <c r="O444" s="12">
        <f t="shared" si="80"/>
        <v>0.11628247977678421</v>
      </c>
      <c r="P444" s="9">
        <f t="shared" si="81"/>
        <v>33855773.809523813</v>
      </c>
      <c r="Q444" s="11">
        <f t="shared" si="82"/>
        <v>3634000.0000000037</v>
      </c>
      <c r="R444" s="12">
        <f t="shared" si="83"/>
        <v>0.10733767364010861</v>
      </c>
    </row>
    <row r="445" spans="1:18" x14ac:dyDescent="0.3">
      <c r="A445" s="1">
        <v>19950001</v>
      </c>
      <c r="B445" s="1">
        <v>20000000</v>
      </c>
      <c r="C445">
        <v>7000</v>
      </c>
      <c r="D445" s="14">
        <v>0.03</v>
      </c>
      <c r="E445" s="3">
        <f t="shared" si="84"/>
        <v>2600000</v>
      </c>
      <c r="F445" s="3">
        <f t="shared" si="85"/>
        <v>2260000</v>
      </c>
      <c r="G445" s="2">
        <f t="shared" si="74"/>
        <v>0.18065000000000001</v>
      </c>
      <c r="H445" s="9">
        <f t="shared" si="75"/>
        <v>30000</v>
      </c>
      <c r="I445" s="9">
        <f t="shared" si="76"/>
        <v>3643000</v>
      </c>
      <c r="L445" s="9">
        <f t="shared" si="77"/>
        <v>28510000</v>
      </c>
      <c r="M445" s="9">
        <f t="shared" si="78"/>
        <v>31329670.329670332</v>
      </c>
      <c r="N445" s="11">
        <f t="shared" si="79"/>
        <v>3643000</v>
      </c>
      <c r="O445" s="12">
        <f t="shared" si="80"/>
        <v>0.11627955103472465</v>
      </c>
      <c r="P445" s="9">
        <f t="shared" si="81"/>
        <v>33940476.190476194</v>
      </c>
      <c r="Q445" s="11">
        <f t="shared" si="82"/>
        <v>3643000.0000000037</v>
      </c>
      <c r="R445" s="12">
        <f t="shared" si="83"/>
        <v>0.10733497018589978</v>
      </c>
    </row>
    <row r="446" spans="1:18" x14ac:dyDescent="0.3">
      <c r="A446" s="1">
        <v>20000001</v>
      </c>
      <c r="B446" s="1">
        <v>20050000</v>
      </c>
      <c r="C446">
        <v>7000</v>
      </c>
      <c r="D446" s="14">
        <v>0.03</v>
      </c>
      <c r="E446" s="3">
        <f t="shared" si="84"/>
        <v>2606500</v>
      </c>
      <c r="F446" s="3">
        <f t="shared" si="85"/>
        <v>2265650</v>
      </c>
      <c r="G446" s="2">
        <f t="shared" si="74"/>
        <v>0.18064837905236908</v>
      </c>
      <c r="H446" s="9">
        <f t="shared" si="75"/>
        <v>30000</v>
      </c>
      <c r="I446" s="9">
        <f t="shared" si="76"/>
        <v>3652000</v>
      </c>
      <c r="L446" s="9">
        <f t="shared" si="77"/>
        <v>28581150</v>
      </c>
      <c r="M446" s="9">
        <f t="shared" si="78"/>
        <v>31407857.142857146</v>
      </c>
      <c r="N446" s="11">
        <f t="shared" si="79"/>
        <v>3652000</v>
      </c>
      <c r="O446" s="12">
        <f t="shared" si="80"/>
        <v>0.11627663687430351</v>
      </c>
      <c r="P446" s="9">
        <f t="shared" si="81"/>
        <v>34025178.571428575</v>
      </c>
      <c r="Q446" s="11">
        <f t="shared" si="82"/>
        <v>3652000</v>
      </c>
      <c r="R446" s="12">
        <f t="shared" si="83"/>
        <v>0.10733228019166477</v>
      </c>
    </row>
  </sheetData>
  <phoneticPr fontId="2" type="noConversion"/>
  <pageMargins left="0.7" right="0.7" top="0.75" bottom="0.75" header="0.3" footer="0.3"/>
  <ignoredErrors>
    <ignoredError sqref="A1:H1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구간별 계산식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이광성</dc:creator>
  <cp:lastModifiedBy>광성 이</cp:lastModifiedBy>
  <dcterms:created xsi:type="dcterms:W3CDTF">2026-07-03T08:40:46Z</dcterms:created>
  <dcterms:modified xsi:type="dcterms:W3CDTF">2026-07-29T14:23:24Z</dcterms:modified>
</cp:coreProperties>
</file>