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defaultThemeVersion="202300"/>
  <mc:AlternateContent xmlns:mc="http://schemas.openxmlformats.org/markup-compatibility/2006">
    <mc:Choice Requires="x15">
      <x15ac:absPath xmlns:x15ac="http://schemas.microsoft.com/office/spreadsheetml/2010/11/ac" url="E:\ALL8\구간별 마진식\"/>
    </mc:Choice>
  </mc:AlternateContent>
  <xr:revisionPtr revIDLastSave="0" documentId="13_ncr:1_{00CEF2C9-8CCC-498E-A4EB-AC897FE6BFAD}" xr6:coauthVersionLast="47" xr6:coauthVersionMax="47" xr10:uidLastSave="{00000000-0000-0000-0000-000000000000}"/>
  <bookViews>
    <workbookView xWindow="28680" yWindow="555" windowWidth="29040" windowHeight="15720" xr2:uid="{4C2688A3-C0B3-46DC-841B-F1999402428B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I12" i="1" l="1"/>
  <c r="L12" i="1" s="1"/>
  <c r="P12" i="1" s="1"/>
  <c r="Q12" i="1" s="1"/>
  <c r="R12" i="1" s="1"/>
  <c r="A12" i="1"/>
  <c r="H11" i="1"/>
  <c r="I11" i="1" s="1"/>
  <c r="L11" i="1" s="1"/>
  <c r="C11" i="1"/>
  <c r="A11" i="1"/>
  <c r="I10" i="1"/>
  <c r="H10" i="1"/>
  <c r="C10" i="1"/>
  <c r="L10" i="1" s="1"/>
  <c r="A10" i="1"/>
  <c r="H9" i="1"/>
  <c r="I9" i="1" s="1"/>
  <c r="C9" i="1"/>
  <c r="A9" i="1"/>
  <c r="H8" i="1"/>
  <c r="C8" i="1"/>
  <c r="A8" i="1"/>
  <c r="C7" i="1"/>
  <c r="A7" i="1"/>
  <c r="C6" i="1"/>
  <c r="A6" i="1"/>
  <c r="C5" i="1"/>
  <c r="C4" i="1"/>
  <c r="A4" i="1"/>
  <c r="I3" i="1"/>
  <c r="L3" i="1" s="1"/>
  <c r="H3" i="1"/>
  <c r="C3" i="1"/>
  <c r="B3" i="1"/>
  <c r="B4" i="1" s="1"/>
  <c r="B5" i="1" s="1"/>
  <c r="B6" i="1" s="1"/>
  <c r="B7" i="1" s="1"/>
  <c r="B8" i="1" s="1"/>
  <c r="B9" i="1" s="1"/>
  <c r="B10" i="1" s="1"/>
  <c r="B11" i="1" s="1"/>
  <c r="B12" i="1" s="1"/>
  <c r="H12" i="1" s="1"/>
  <c r="A3" i="1"/>
  <c r="I2" i="1"/>
  <c r="L2" i="1" s="1"/>
  <c r="H2" i="1"/>
  <c r="C2" i="1"/>
  <c r="M12" i="1" l="1"/>
  <c r="N12" i="1" s="1"/>
  <c r="O12" i="1" s="1"/>
  <c r="P2" i="1"/>
  <c r="Q2" i="1" s="1"/>
  <c r="R2" i="1" s="1"/>
  <c r="M2" i="1"/>
  <c r="N2" i="1" s="1"/>
  <c r="O2" i="1" s="1"/>
  <c r="P10" i="1"/>
  <c r="Q10" i="1" s="1"/>
  <c r="R10" i="1" s="1"/>
  <c r="M10" i="1"/>
  <c r="N10" i="1" s="1"/>
  <c r="O10" i="1" s="1"/>
  <c r="P3" i="1"/>
  <c r="Q3" i="1" s="1"/>
  <c r="R3" i="1" s="1"/>
  <c r="M3" i="1"/>
  <c r="N3" i="1" s="1"/>
  <c r="O3" i="1" s="1"/>
  <c r="P11" i="1"/>
  <c r="Q11" i="1" s="1"/>
  <c r="R11" i="1" s="1"/>
  <c r="M11" i="1"/>
  <c r="N11" i="1" s="1"/>
  <c r="O11" i="1" s="1"/>
  <c r="A5" i="1"/>
  <c r="H7" i="1"/>
  <c r="I7" i="1" s="1"/>
  <c r="L7" i="1" s="1"/>
  <c r="I8" i="1"/>
  <c r="L8" i="1" s="1"/>
  <c r="L9" i="1"/>
  <c r="H6" i="1"/>
  <c r="H5" i="1"/>
  <c r="I6" i="1"/>
  <c r="A13" i="1"/>
  <c r="H4" i="1"/>
  <c r="I4" i="1" s="1"/>
  <c r="L4" i="1" s="1"/>
  <c r="I5" i="1"/>
  <c r="L5" i="1" s="1"/>
  <c r="L6" i="1"/>
  <c r="B13" i="1"/>
  <c r="M8" i="1" l="1"/>
  <c r="N8" i="1" s="1"/>
  <c r="O8" i="1" s="1"/>
  <c r="P8" i="1"/>
  <c r="Q8" i="1" s="1"/>
  <c r="R8" i="1" s="1"/>
  <c r="M7" i="1"/>
  <c r="N7" i="1" s="1"/>
  <c r="O7" i="1" s="1"/>
  <c r="P7" i="1"/>
  <c r="Q7" i="1" s="1"/>
  <c r="R7" i="1" s="1"/>
  <c r="M5" i="1"/>
  <c r="N5" i="1" s="1"/>
  <c r="O5" i="1" s="1"/>
  <c r="P5" i="1"/>
  <c r="Q5" i="1" s="1"/>
  <c r="R5" i="1" s="1"/>
  <c r="P4" i="1"/>
  <c r="Q4" i="1" s="1"/>
  <c r="R4" i="1" s="1"/>
  <c r="M4" i="1"/>
  <c r="N4" i="1" s="1"/>
  <c r="O4" i="1" s="1"/>
  <c r="H13" i="1"/>
  <c r="I13" i="1" s="1"/>
  <c r="L13" i="1" s="1"/>
  <c r="B14" i="1"/>
  <c r="A14" i="1"/>
  <c r="M6" i="1"/>
  <c r="N6" i="1" s="1"/>
  <c r="O6" i="1" s="1"/>
  <c r="P6" i="1"/>
  <c r="Q6" i="1" s="1"/>
  <c r="R6" i="1" s="1"/>
  <c r="P9" i="1"/>
  <c r="Q9" i="1" s="1"/>
  <c r="R9" i="1" s="1"/>
  <c r="M9" i="1"/>
  <c r="N9" i="1" s="1"/>
  <c r="O9" i="1" s="1"/>
  <c r="M13" i="1" l="1"/>
  <c r="N13" i="1" s="1"/>
  <c r="O13" i="1" s="1"/>
  <c r="P13" i="1"/>
  <c r="Q13" i="1" s="1"/>
  <c r="R13" i="1" s="1"/>
  <c r="H14" i="1"/>
  <c r="I14" i="1" s="1"/>
  <c r="L14" i="1" s="1"/>
  <c r="B15" i="1"/>
  <c r="A15" i="1"/>
  <c r="M14" i="1" l="1"/>
  <c r="N14" i="1" s="1"/>
  <c r="O14" i="1" s="1"/>
  <c r="P14" i="1"/>
  <c r="Q14" i="1" s="1"/>
  <c r="R14" i="1" s="1"/>
  <c r="H15" i="1"/>
  <c r="I15" i="1" s="1"/>
  <c r="L15" i="1" s="1"/>
  <c r="B16" i="1"/>
  <c r="A16" i="1"/>
  <c r="M15" i="1" l="1"/>
  <c r="N15" i="1" s="1"/>
  <c r="O15" i="1" s="1"/>
  <c r="P15" i="1"/>
  <c r="Q15" i="1" s="1"/>
  <c r="R15" i="1" s="1"/>
  <c r="B17" i="1"/>
  <c r="A17" i="1"/>
  <c r="H16" i="1"/>
  <c r="I16" i="1" s="1"/>
  <c r="L16" i="1" s="1"/>
  <c r="M16" i="1" l="1"/>
  <c r="N16" i="1" s="1"/>
  <c r="O16" i="1" s="1"/>
  <c r="P16" i="1"/>
  <c r="Q16" i="1" s="1"/>
  <c r="R16" i="1" s="1"/>
  <c r="H17" i="1"/>
  <c r="B18" i="1"/>
  <c r="A18" i="1"/>
  <c r="I17" i="1"/>
  <c r="L17" i="1" s="1"/>
  <c r="M17" i="1" l="1"/>
  <c r="N17" i="1" s="1"/>
  <c r="O17" i="1" s="1"/>
  <c r="P17" i="1"/>
  <c r="Q17" i="1" s="1"/>
  <c r="R17" i="1" s="1"/>
  <c r="H18" i="1"/>
  <c r="I18" i="1" s="1"/>
  <c r="L18" i="1" s="1"/>
  <c r="B19" i="1"/>
  <c r="A19" i="1"/>
  <c r="P18" i="1" l="1"/>
  <c r="Q18" i="1" s="1"/>
  <c r="R18" i="1" s="1"/>
  <c r="M18" i="1"/>
  <c r="N18" i="1" s="1"/>
  <c r="O18" i="1" s="1"/>
  <c r="H19" i="1"/>
  <c r="I19" i="1" s="1"/>
  <c r="L19" i="1" s="1"/>
  <c r="B20" i="1"/>
  <c r="A20" i="1"/>
  <c r="P19" i="1" l="1"/>
  <c r="Q19" i="1" s="1"/>
  <c r="R19" i="1" s="1"/>
  <c r="M19" i="1"/>
  <c r="N19" i="1" s="1"/>
  <c r="O19" i="1" s="1"/>
  <c r="B21" i="1"/>
  <c r="A21" i="1"/>
  <c r="H20" i="1"/>
  <c r="I20" i="1" s="1"/>
  <c r="L20" i="1" s="1"/>
  <c r="P20" i="1" l="1"/>
  <c r="Q20" i="1" s="1"/>
  <c r="R20" i="1" s="1"/>
  <c r="M20" i="1"/>
  <c r="N20" i="1" s="1"/>
  <c r="O20" i="1" s="1"/>
  <c r="A22" i="1"/>
  <c r="H21" i="1"/>
  <c r="I21" i="1" s="1"/>
  <c r="L21" i="1" s="1"/>
  <c r="B22" i="1"/>
  <c r="P21" i="1" l="1"/>
  <c r="Q21" i="1" s="1"/>
  <c r="R21" i="1" s="1"/>
  <c r="M21" i="1"/>
  <c r="N21" i="1" s="1"/>
  <c r="O21" i="1" s="1"/>
  <c r="B23" i="1"/>
  <c r="A23" i="1"/>
  <c r="H22" i="1"/>
  <c r="I22" i="1" s="1"/>
  <c r="L22" i="1" s="1"/>
  <c r="M22" i="1" l="1"/>
  <c r="N22" i="1" s="1"/>
  <c r="O22" i="1" s="1"/>
  <c r="P22" i="1"/>
  <c r="Q22" i="1" s="1"/>
  <c r="R22" i="1" s="1"/>
  <c r="B24" i="1"/>
  <c r="H23" i="1"/>
  <c r="I23" i="1" s="1"/>
  <c r="L23" i="1" s="1"/>
  <c r="A24" i="1"/>
  <c r="P23" i="1" l="1"/>
  <c r="Q23" i="1" s="1"/>
  <c r="R23" i="1" s="1"/>
  <c r="M23" i="1"/>
  <c r="N23" i="1" s="1"/>
  <c r="O23" i="1" s="1"/>
  <c r="H24" i="1"/>
  <c r="A25" i="1"/>
  <c r="B25" i="1"/>
  <c r="I24" i="1"/>
  <c r="L24" i="1" s="1"/>
  <c r="P24" i="1" l="1"/>
  <c r="Q24" i="1" s="1"/>
  <c r="R24" i="1" s="1"/>
  <c r="M24" i="1"/>
  <c r="N24" i="1" s="1"/>
  <c r="O24" i="1" s="1"/>
  <c r="H25" i="1"/>
  <c r="I25" i="1" s="1"/>
  <c r="L25" i="1" s="1"/>
  <c r="B26" i="1"/>
  <c r="A26" i="1"/>
  <c r="P25" i="1" l="1"/>
  <c r="Q25" i="1" s="1"/>
  <c r="R25" i="1" s="1"/>
  <c r="M25" i="1"/>
  <c r="N25" i="1" s="1"/>
  <c r="O25" i="1" s="1"/>
  <c r="H26" i="1"/>
  <c r="I26" i="1" s="1"/>
  <c r="L26" i="1" s="1"/>
  <c r="B27" i="1"/>
  <c r="A27" i="1"/>
  <c r="M26" i="1" l="1"/>
  <c r="N26" i="1" s="1"/>
  <c r="O26" i="1" s="1"/>
  <c r="P26" i="1"/>
  <c r="Q26" i="1" s="1"/>
  <c r="R26" i="1" s="1"/>
  <c r="H27" i="1"/>
  <c r="I27" i="1" s="1"/>
  <c r="L27" i="1" s="1"/>
  <c r="A28" i="1"/>
  <c r="B28" i="1"/>
  <c r="M27" i="1" l="1"/>
  <c r="N27" i="1" s="1"/>
  <c r="O27" i="1" s="1"/>
  <c r="P27" i="1"/>
  <c r="Q27" i="1" s="1"/>
  <c r="R27" i="1" s="1"/>
  <c r="A29" i="1"/>
  <c r="H28" i="1"/>
  <c r="I28" i="1" s="1"/>
  <c r="L28" i="1" s="1"/>
  <c r="B29" i="1"/>
  <c r="M28" i="1" l="1"/>
  <c r="N28" i="1" s="1"/>
  <c r="O28" i="1" s="1"/>
  <c r="P28" i="1"/>
  <c r="Q28" i="1" s="1"/>
  <c r="R28" i="1" s="1"/>
  <c r="B30" i="1"/>
  <c r="A30" i="1"/>
  <c r="H29" i="1"/>
  <c r="I29" i="1" s="1"/>
  <c r="L29" i="1" s="1"/>
  <c r="P29" i="1" l="1"/>
  <c r="Q29" i="1" s="1"/>
  <c r="R29" i="1" s="1"/>
  <c r="M29" i="1"/>
  <c r="N29" i="1" s="1"/>
  <c r="O29" i="1" s="1"/>
  <c r="H30" i="1"/>
  <c r="I30" i="1" s="1"/>
  <c r="L30" i="1" s="1"/>
  <c r="B31" i="1"/>
  <c r="A31" i="1"/>
  <c r="P30" i="1" l="1"/>
  <c r="Q30" i="1" s="1"/>
  <c r="R30" i="1" s="1"/>
  <c r="M30" i="1"/>
  <c r="N30" i="1" s="1"/>
  <c r="O30" i="1" s="1"/>
  <c r="H31" i="1"/>
  <c r="I31" i="1" s="1"/>
  <c r="L31" i="1" s="1"/>
  <c r="A32" i="1"/>
  <c r="B32" i="1"/>
  <c r="P31" i="1" l="1"/>
  <c r="Q31" i="1" s="1"/>
  <c r="R31" i="1" s="1"/>
  <c r="M31" i="1"/>
  <c r="N31" i="1" s="1"/>
  <c r="O31" i="1" s="1"/>
  <c r="A33" i="1"/>
  <c r="H32" i="1"/>
  <c r="I32" i="1" s="1"/>
  <c r="L32" i="1" s="1"/>
  <c r="B33" i="1"/>
  <c r="P32" i="1" l="1"/>
  <c r="Q32" i="1" s="1"/>
  <c r="R32" i="1" s="1"/>
  <c r="M32" i="1"/>
  <c r="N32" i="1" s="1"/>
  <c r="O32" i="1" s="1"/>
  <c r="A34" i="1"/>
  <c r="B34" i="1"/>
  <c r="H33" i="1"/>
  <c r="I33" i="1" s="1"/>
  <c r="L33" i="1" s="1"/>
  <c r="P33" i="1" l="1"/>
  <c r="Q33" i="1" s="1"/>
  <c r="R33" i="1" s="1"/>
  <c r="M33" i="1"/>
  <c r="N33" i="1" s="1"/>
  <c r="O33" i="1" s="1"/>
  <c r="B35" i="1"/>
  <c r="A35" i="1"/>
  <c r="H34" i="1"/>
  <c r="I34" i="1" s="1"/>
  <c r="L34" i="1" s="1"/>
  <c r="P34" i="1" l="1"/>
  <c r="Q34" i="1" s="1"/>
  <c r="R34" i="1" s="1"/>
  <c r="M34" i="1"/>
  <c r="N34" i="1" s="1"/>
  <c r="O34" i="1" s="1"/>
  <c r="B36" i="1"/>
  <c r="H35" i="1"/>
  <c r="I35" i="1" s="1"/>
  <c r="L35" i="1" s="1"/>
  <c r="A36" i="1"/>
  <c r="M35" i="1" l="1"/>
  <c r="N35" i="1" s="1"/>
  <c r="O35" i="1" s="1"/>
  <c r="P35" i="1"/>
  <c r="Q35" i="1" s="1"/>
  <c r="R35" i="1" s="1"/>
  <c r="H36" i="1"/>
  <c r="I36" i="1"/>
  <c r="L36" i="1" s="1"/>
  <c r="B37" i="1"/>
  <c r="A37" i="1"/>
  <c r="P36" i="1" l="1"/>
  <c r="Q36" i="1" s="1"/>
  <c r="R36" i="1" s="1"/>
  <c r="M36" i="1"/>
  <c r="N36" i="1" s="1"/>
  <c r="O36" i="1" s="1"/>
  <c r="H37" i="1"/>
  <c r="I37" i="1" s="1"/>
  <c r="L37" i="1" s="1"/>
  <c r="B38" i="1"/>
  <c r="A38" i="1"/>
  <c r="P37" i="1" l="1"/>
  <c r="Q37" i="1" s="1"/>
  <c r="R37" i="1" s="1"/>
  <c r="M37" i="1"/>
  <c r="N37" i="1" s="1"/>
  <c r="O37" i="1" s="1"/>
  <c r="H38" i="1"/>
  <c r="I38" i="1" s="1"/>
  <c r="L38" i="1" s="1"/>
  <c r="B39" i="1"/>
  <c r="A39" i="1"/>
  <c r="M38" i="1" l="1"/>
  <c r="N38" i="1" s="1"/>
  <c r="O38" i="1" s="1"/>
  <c r="P38" i="1"/>
  <c r="Q38" i="1" s="1"/>
  <c r="R38" i="1" s="1"/>
  <c r="H39" i="1"/>
  <c r="I39" i="1" s="1"/>
  <c r="L39" i="1" s="1"/>
  <c r="B40" i="1"/>
  <c r="A40" i="1"/>
  <c r="M39" i="1" l="1"/>
  <c r="N39" i="1" s="1"/>
  <c r="O39" i="1" s="1"/>
  <c r="P39" i="1"/>
  <c r="Q39" i="1" s="1"/>
  <c r="R39" i="1" s="1"/>
  <c r="H40" i="1"/>
  <c r="I40" i="1" s="1"/>
  <c r="L40" i="1" s="1"/>
  <c r="B41" i="1"/>
  <c r="A41" i="1"/>
  <c r="M40" i="1" l="1"/>
  <c r="N40" i="1" s="1"/>
  <c r="O40" i="1" s="1"/>
  <c r="P40" i="1"/>
  <c r="Q40" i="1" s="1"/>
  <c r="R40" i="1" s="1"/>
  <c r="H41" i="1"/>
  <c r="I41" i="1" s="1"/>
  <c r="L41" i="1" s="1"/>
  <c r="B42" i="1"/>
  <c r="A42" i="1"/>
  <c r="M41" i="1" l="1"/>
  <c r="N41" i="1" s="1"/>
  <c r="O41" i="1" s="1"/>
  <c r="P41" i="1"/>
  <c r="Q41" i="1" s="1"/>
  <c r="R41" i="1" s="1"/>
  <c r="B43" i="1"/>
  <c r="A43" i="1"/>
  <c r="H42" i="1"/>
  <c r="I42" i="1"/>
  <c r="L42" i="1" s="1"/>
  <c r="P42" i="1" l="1"/>
  <c r="Q42" i="1" s="1"/>
  <c r="R42" i="1" s="1"/>
  <c r="M42" i="1"/>
  <c r="N42" i="1" s="1"/>
  <c r="O42" i="1" s="1"/>
  <c r="H43" i="1"/>
  <c r="I43" i="1" s="1"/>
  <c r="L43" i="1" s="1"/>
  <c r="B44" i="1"/>
  <c r="A44" i="1"/>
  <c r="P43" i="1" l="1"/>
  <c r="Q43" i="1" s="1"/>
  <c r="R43" i="1" s="1"/>
  <c r="M43" i="1"/>
  <c r="N43" i="1" s="1"/>
  <c r="O43" i="1" s="1"/>
  <c r="B45" i="1"/>
  <c r="A45" i="1"/>
  <c r="H44" i="1"/>
  <c r="I44" i="1" s="1"/>
  <c r="L44" i="1" s="1"/>
  <c r="P44" i="1" l="1"/>
  <c r="Q44" i="1" s="1"/>
  <c r="R44" i="1" s="1"/>
  <c r="M44" i="1"/>
  <c r="N44" i="1" s="1"/>
  <c r="O44" i="1" s="1"/>
  <c r="A46" i="1"/>
  <c r="H45" i="1"/>
  <c r="I45" i="1" s="1"/>
  <c r="L45" i="1" s="1"/>
  <c r="B46" i="1"/>
  <c r="P45" i="1" l="1"/>
  <c r="Q45" i="1" s="1"/>
  <c r="R45" i="1" s="1"/>
  <c r="M45" i="1"/>
  <c r="N45" i="1" s="1"/>
  <c r="O45" i="1" s="1"/>
  <c r="B47" i="1"/>
  <c r="A47" i="1"/>
  <c r="H46" i="1"/>
  <c r="I46" i="1" s="1"/>
  <c r="L46" i="1" s="1"/>
  <c r="P46" i="1" l="1"/>
  <c r="Q46" i="1" s="1"/>
  <c r="R46" i="1" s="1"/>
  <c r="M46" i="1"/>
  <c r="N46" i="1" s="1"/>
  <c r="O46" i="1" s="1"/>
  <c r="B48" i="1"/>
  <c r="A48" i="1"/>
  <c r="H47" i="1"/>
  <c r="I47" i="1" s="1"/>
  <c r="L47" i="1" s="1"/>
  <c r="M47" i="1" l="1"/>
  <c r="N47" i="1" s="1"/>
  <c r="O47" i="1" s="1"/>
  <c r="P47" i="1"/>
  <c r="Q47" i="1" s="1"/>
  <c r="R47" i="1" s="1"/>
  <c r="H48" i="1"/>
  <c r="B49" i="1"/>
  <c r="A49" i="1"/>
  <c r="I48" i="1"/>
  <c r="L48" i="1" s="1"/>
  <c r="P48" i="1" l="1"/>
  <c r="Q48" i="1" s="1"/>
  <c r="R48" i="1" s="1"/>
  <c r="M48" i="1"/>
  <c r="N48" i="1" s="1"/>
  <c r="O48" i="1" s="1"/>
  <c r="H49" i="1"/>
  <c r="I49" i="1" s="1"/>
  <c r="L49" i="1" s="1"/>
  <c r="B50" i="1"/>
  <c r="A50" i="1"/>
  <c r="M49" i="1" l="1"/>
  <c r="N49" i="1" s="1"/>
  <c r="O49" i="1" s="1"/>
  <c r="P49" i="1"/>
  <c r="Q49" i="1" s="1"/>
  <c r="R49" i="1" s="1"/>
  <c r="H50" i="1"/>
  <c r="I50" i="1" s="1"/>
  <c r="L50" i="1" s="1"/>
  <c r="B51" i="1"/>
  <c r="A51" i="1"/>
  <c r="P50" i="1" l="1"/>
  <c r="Q50" i="1" s="1"/>
  <c r="R50" i="1" s="1"/>
  <c r="M50" i="1"/>
  <c r="N50" i="1" s="1"/>
  <c r="O50" i="1" s="1"/>
  <c r="H51" i="1"/>
  <c r="I51" i="1" s="1"/>
  <c r="L51" i="1" s="1"/>
  <c r="B52" i="1"/>
  <c r="A52" i="1"/>
  <c r="M51" i="1" l="1"/>
  <c r="N51" i="1" s="1"/>
  <c r="O51" i="1" s="1"/>
  <c r="P51" i="1"/>
  <c r="Q51" i="1" s="1"/>
  <c r="R51" i="1" s="1"/>
  <c r="H52" i="1"/>
  <c r="I52" i="1" s="1"/>
  <c r="L52" i="1" s="1"/>
  <c r="A53" i="1"/>
  <c r="B53" i="1"/>
  <c r="M52" i="1" l="1"/>
  <c r="N52" i="1" s="1"/>
  <c r="O52" i="1" s="1"/>
  <c r="P52" i="1"/>
  <c r="Q52" i="1" s="1"/>
  <c r="R52" i="1" s="1"/>
  <c r="B54" i="1"/>
  <c r="A54" i="1"/>
  <c r="H53" i="1"/>
  <c r="I53" i="1" s="1"/>
  <c r="L53" i="1" s="1"/>
  <c r="M53" i="1" l="1"/>
  <c r="N53" i="1" s="1"/>
  <c r="O53" i="1" s="1"/>
  <c r="P53" i="1"/>
  <c r="Q53" i="1" s="1"/>
  <c r="R53" i="1" s="1"/>
  <c r="A55" i="1"/>
  <c r="H54" i="1"/>
  <c r="I54" i="1" s="1"/>
  <c r="L54" i="1" s="1"/>
  <c r="B55" i="1"/>
  <c r="P54" i="1" l="1"/>
  <c r="Q54" i="1" s="1"/>
  <c r="R54" i="1" s="1"/>
  <c r="M54" i="1"/>
  <c r="N54" i="1" s="1"/>
  <c r="O54" i="1" s="1"/>
  <c r="B56" i="1"/>
  <c r="A56" i="1"/>
  <c r="H55" i="1"/>
  <c r="I55" i="1" s="1"/>
  <c r="L55" i="1" s="1"/>
  <c r="P55" i="1" l="1"/>
  <c r="Q55" i="1" s="1"/>
  <c r="R55" i="1" s="1"/>
  <c r="M55" i="1"/>
  <c r="N55" i="1" s="1"/>
  <c r="O55" i="1" s="1"/>
  <c r="A57" i="1"/>
  <c r="H56" i="1"/>
  <c r="I56" i="1" s="1"/>
  <c r="L56" i="1" s="1"/>
  <c r="B57" i="1"/>
  <c r="P56" i="1" l="1"/>
  <c r="Q56" i="1" s="1"/>
  <c r="R56" i="1" s="1"/>
  <c r="M56" i="1"/>
  <c r="N56" i="1" s="1"/>
  <c r="O56" i="1" s="1"/>
  <c r="A58" i="1"/>
  <c r="B58" i="1"/>
  <c r="H57" i="1"/>
  <c r="I57" i="1" s="1"/>
  <c r="L57" i="1" s="1"/>
  <c r="P57" i="1" l="1"/>
  <c r="Q57" i="1" s="1"/>
  <c r="R57" i="1" s="1"/>
  <c r="M57" i="1"/>
  <c r="N57" i="1" s="1"/>
  <c r="O57" i="1" s="1"/>
  <c r="B59" i="1"/>
  <c r="A59" i="1"/>
  <c r="H58" i="1"/>
  <c r="I58" i="1" s="1"/>
  <c r="L58" i="1" s="1"/>
  <c r="P58" i="1" l="1"/>
  <c r="Q58" i="1" s="1"/>
  <c r="R58" i="1" s="1"/>
  <c r="M58" i="1"/>
  <c r="N58" i="1" s="1"/>
  <c r="O58" i="1" s="1"/>
  <c r="B60" i="1"/>
  <c r="A60" i="1"/>
  <c r="H59" i="1"/>
  <c r="I59" i="1" s="1"/>
  <c r="L59" i="1" s="1"/>
  <c r="P59" i="1" l="1"/>
  <c r="Q59" i="1" s="1"/>
  <c r="R59" i="1" s="1"/>
  <c r="M59" i="1"/>
  <c r="N59" i="1" s="1"/>
  <c r="O59" i="1" s="1"/>
  <c r="H60" i="1"/>
  <c r="B61" i="1"/>
  <c r="A61" i="1"/>
  <c r="I60" i="1"/>
  <c r="L60" i="1" s="1"/>
  <c r="M60" i="1" l="1"/>
  <c r="N60" i="1" s="1"/>
  <c r="O60" i="1" s="1"/>
  <c r="P60" i="1"/>
  <c r="Q60" i="1" s="1"/>
  <c r="R60" i="1" s="1"/>
  <c r="H61" i="1"/>
  <c r="I61" i="1" s="1"/>
  <c r="L61" i="1" s="1"/>
  <c r="B62" i="1"/>
  <c r="A62" i="1"/>
  <c r="P61" i="1" l="1"/>
  <c r="Q61" i="1" s="1"/>
  <c r="R61" i="1" s="1"/>
  <c r="M61" i="1"/>
  <c r="N61" i="1" s="1"/>
  <c r="O61" i="1" s="1"/>
  <c r="H62" i="1"/>
  <c r="I62" i="1" s="1"/>
  <c r="L62" i="1" s="1"/>
  <c r="B63" i="1"/>
  <c r="A63" i="1"/>
  <c r="M62" i="1" l="1"/>
  <c r="N62" i="1" s="1"/>
  <c r="O62" i="1" s="1"/>
  <c r="P62" i="1"/>
  <c r="Q62" i="1" s="1"/>
  <c r="R62" i="1" s="1"/>
  <c r="H63" i="1"/>
  <c r="I63" i="1" s="1"/>
  <c r="L63" i="1" s="1"/>
  <c r="B64" i="1"/>
  <c r="A64" i="1"/>
  <c r="M63" i="1" l="1"/>
  <c r="N63" i="1" s="1"/>
  <c r="O63" i="1" s="1"/>
  <c r="P63" i="1"/>
  <c r="Q63" i="1" s="1"/>
  <c r="R63" i="1" s="1"/>
  <c r="H64" i="1"/>
  <c r="I64" i="1" s="1"/>
  <c r="L64" i="1" s="1"/>
  <c r="B65" i="1"/>
  <c r="A65" i="1"/>
  <c r="M64" i="1" l="1"/>
  <c r="N64" i="1" s="1"/>
  <c r="O64" i="1" s="1"/>
  <c r="P64" i="1"/>
  <c r="Q64" i="1" s="1"/>
  <c r="R64" i="1" s="1"/>
  <c r="B66" i="1"/>
  <c r="A66" i="1"/>
  <c r="H65" i="1"/>
  <c r="I65" i="1" s="1"/>
  <c r="L65" i="1" s="1"/>
  <c r="M65" i="1" l="1"/>
  <c r="N65" i="1" s="1"/>
  <c r="O65" i="1" s="1"/>
  <c r="P65" i="1"/>
  <c r="Q65" i="1" s="1"/>
  <c r="R65" i="1" s="1"/>
  <c r="B67" i="1"/>
  <c r="A67" i="1"/>
  <c r="H66" i="1"/>
  <c r="I66" i="1" s="1"/>
  <c r="L66" i="1" s="1"/>
  <c r="P66" i="1" l="1"/>
  <c r="Q66" i="1" s="1"/>
  <c r="R66" i="1" s="1"/>
  <c r="M66" i="1"/>
  <c r="N66" i="1" s="1"/>
  <c r="O66" i="1" s="1"/>
  <c r="B68" i="1"/>
  <c r="A68" i="1"/>
  <c r="H67" i="1"/>
  <c r="I67" i="1" s="1"/>
  <c r="L67" i="1" s="1"/>
  <c r="P67" i="1" l="1"/>
  <c r="Q67" i="1" s="1"/>
  <c r="R67" i="1" s="1"/>
  <c r="M67" i="1"/>
  <c r="N67" i="1" s="1"/>
  <c r="O67" i="1" s="1"/>
  <c r="B69" i="1"/>
  <c r="A69" i="1"/>
  <c r="H68" i="1"/>
  <c r="I68" i="1" s="1"/>
  <c r="L68" i="1" s="1"/>
  <c r="P68" i="1" l="1"/>
  <c r="Q68" i="1" s="1"/>
  <c r="R68" i="1" s="1"/>
  <c r="M68" i="1"/>
  <c r="N68" i="1" s="1"/>
  <c r="O68" i="1" s="1"/>
  <c r="A70" i="1"/>
  <c r="B70" i="1"/>
  <c r="H69" i="1"/>
  <c r="I69" i="1" s="1"/>
  <c r="L69" i="1" s="1"/>
  <c r="P69" i="1" l="1"/>
  <c r="Q69" i="1" s="1"/>
  <c r="R69" i="1" s="1"/>
  <c r="M69" i="1"/>
  <c r="N69" i="1" s="1"/>
  <c r="O69" i="1" s="1"/>
  <c r="A71" i="1"/>
  <c r="B71" i="1"/>
  <c r="H70" i="1"/>
  <c r="I70" i="1" s="1"/>
  <c r="L70" i="1" s="1"/>
  <c r="P70" i="1" l="1"/>
  <c r="Q70" i="1" s="1"/>
  <c r="R70" i="1" s="1"/>
  <c r="M70" i="1"/>
  <c r="N70" i="1" s="1"/>
  <c r="O70" i="1" s="1"/>
  <c r="B72" i="1"/>
  <c r="H71" i="1"/>
  <c r="I71" i="1" s="1"/>
  <c r="L71" i="1" s="1"/>
  <c r="A72" i="1"/>
  <c r="P71" i="1" l="1"/>
  <c r="Q71" i="1" s="1"/>
  <c r="R71" i="1" s="1"/>
  <c r="M71" i="1"/>
  <c r="N71" i="1" s="1"/>
  <c r="O71" i="1" s="1"/>
  <c r="A73" i="1"/>
  <c r="H72" i="1"/>
  <c r="I72" i="1" s="1"/>
  <c r="L72" i="1" s="1"/>
  <c r="B73" i="1"/>
  <c r="M72" i="1" l="1"/>
  <c r="N72" i="1" s="1"/>
  <c r="O72" i="1" s="1"/>
  <c r="P72" i="1"/>
  <c r="Q72" i="1" s="1"/>
  <c r="R72" i="1" s="1"/>
  <c r="H73" i="1"/>
  <c r="B74" i="1"/>
  <c r="A74" i="1"/>
  <c r="I73" i="1"/>
  <c r="L73" i="1" s="1"/>
  <c r="P73" i="1" l="1"/>
  <c r="Q73" i="1" s="1"/>
  <c r="R73" i="1" s="1"/>
  <c r="M73" i="1"/>
  <c r="N73" i="1" s="1"/>
  <c r="O73" i="1" s="1"/>
  <c r="B75" i="1"/>
  <c r="A75" i="1"/>
  <c r="H74" i="1"/>
  <c r="I74" i="1" s="1"/>
  <c r="L74" i="1" s="1"/>
  <c r="P74" i="1" l="1"/>
  <c r="Q74" i="1" s="1"/>
  <c r="R74" i="1" s="1"/>
  <c r="M74" i="1"/>
  <c r="N74" i="1" s="1"/>
  <c r="O74" i="1" s="1"/>
  <c r="H75" i="1"/>
  <c r="I75" i="1" s="1"/>
  <c r="L75" i="1" s="1"/>
  <c r="B76" i="1"/>
  <c r="A76" i="1"/>
  <c r="P75" i="1" l="1"/>
  <c r="Q75" i="1" s="1"/>
  <c r="R75" i="1" s="1"/>
  <c r="M75" i="1"/>
  <c r="N75" i="1" s="1"/>
  <c r="O75" i="1" s="1"/>
  <c r="H76" i="1"/>
  <c r="I76" i="1" s="1"/>
  <c r="L76" i="1" s="1"/>
  <c r="A77" i="1"/>
  <c r="B77" i="1"/>
  <c r="M76" i="1" l="1"/>
  <c r="N76" i="1" s="1"/>
  <c r="O76" i="1" s="1"/>
  <c r="P76" i="1"/>
  <c r="Q76" i="1" s="1"/>
  <c r="R76" i="1" s="1"/>
  <c r="B78" i="1"/>
  <c r="A78" i="1"/>
  <c r="H77" i="1"/>
  <c r="I77" i="1" s="1"/>
  <c r="L77" i="1" s="1"/>
  <c r="P77" i="1" l="1"/>
  <c r="Q77" i="1" s="1"/>
  <c r="R77" i="1" s="1"/>
  <c r="M77" i="1"/>
  <c r="N77" i="1" s="1"/>
  <c r="O77" i="1" s="1"/>
  <c r="B79" i="1"/>
  <c r="A79" i="1"/>
  <c r="H78" i="1"/>
  <c r="I78" i="1" s="1"/>
  <c r="L78" i="1" s="1"/>
  <c r="M78" i="1" l="1"/>
  <c r="N78" i="1" s="1"/>
  <c r="O78" i="1" s="1"/>
  <c r="P78" i="1"/>
  <c r="Q78" i="1" s="1"/>
  <c r="R78" i="1" s="1"/>
  <c r="B80" i="1"/>
  <c r="A80" i="1"/>
  <c r="H79" i="1"/>
  <c r="I79" i="1" s="1"/>
  <c r="L79" i="1" s="1"/>
  <c r="P79" i="1" l="1"/>
  <c r="Q79" i="1" s="1"/>
  <c r="R79" i="1" s="1"/>
  <c r="M79" i="1"/>
  <c r="N79" i="1" s="1"/>
  <c r="O79" i="1" s="1"/>
  <c r="H80" i="1"/>
  <c r="I80" i="1" s="1"/>
  <c r="L80" i="1" s="1"/>
  <c r="A81" i="1"/>
  <c r="B81" i="1"/>
  <c r="P80" i="1" l="1"/>
  <c r="Q80" i="1" s="1"/>
  <c r="R80" i="1" s="1"/>
  <c r="M80" i="1"/>
  <c r="N80" i="1" s="1"/>
  <c r="O80" i="1" s="1"/>
  <c r="B82" i="1"/>
  <c r="H81" i="1"/>
  <c r="I81" i="1" s="1"/>
  <c r="L81" i="1" s="1"/>
  <c r="A82" i="1"/>
  <c r="P81" i="1" l="1"/>
  <c r="Q81" i="1" s="1"/>
  <c r="R81" i="1" s="1"/>
  <c r="M81" i="1"/>
  <c r="N81" i="1" s="1"/>
  <c r="O81" i="1" s="1"/>
  <c r="A83" i="1"/>
  <c r="B83" i="1"/>
  <c r="H82" i="1"/>
  <c r="I82" i="1" s="1"/>
  <c r="L82" i="1" s="1"/>
  <c r="P82" i="1" l="1"/>
  <c r="Q82" i="1" s="1"/>
  <c r="R82" i="1" s="1"/>
  <c r="M82" i="1"/>
  <c r="N82" i="1" s="1"/>
  <c r="O82" i="1" s="1"/>
  <c r="B84" i="1"/>
  <c r="A84" i="1"/>
  <c r="H83" i="1"/>
  <c r="I83" i="1" s="1"/>
  <c r="L83" i="1" s="1"/>
  <c r="M83" i="1" l="1"/>
  <c r="N83" i="1" s="1"/>
  <c r="O83" i="1" s="1"/>
  <c r="P83" i="1"/>
  <c r="Q83" i="1" s="1"/>
  <c r="R83" i="1" s="1"/>
  <c r="B85" i="1"/>
  <c r="A85" i="1"/>
  <c r="H84" i="1"/>
  <c r="I84" i="1" s="1"/>
  <c r="L84" i="1" s="1"/>
  <c r="P84" i="1" l="1"/>
  <c r="Q84" i="1" s="1"/>
  <c r="R84" i="1" s="1"/>
  <c r="M84" i="1"/>
  <c r="N84" i="1" s="1"/>
  <c r="O84" i="1" s="1"/>
  <c r="H85" i="1"/>
  <c r="B86" i="1"/>
  <c r="I85" i="1"/>
  <c r="L85" i="1" s="1"/>
  <c r="A86" i="1"/>
  <c r="P85" i="1" l="1"/>
  <c r="Q85" i="1" s="1"/>
  <c r="R85" i="1" s="1"/>
  <c r="M85" i="1"/>
  <c r="N85" i="1" s="1"/>
  <c r="O85" i="1" s="1"/>
  <c r="H86" i="1"/>
  <c r="I86" i="1" s="1"/>
  <c r="L86" i="1" s="1"/>
  <c r="B87" i="1"/>
  <c r="A87" i="1"/>
  <c r="P86" i="1" l="1"/>
  <c r="Q86" i="1" s="1"/>
  <c r="R86" i="1" s="1"/>
  <c r="M86" i="1"/>
  <c r="N86" i="1" s="1"/>
  <c r="O86" i="1" s="1"/>
  <c r="H87" i="1"/>
  <c r="I87" i="1" s="1"/>
  <c r="L87" i="1" s="1"/>
  <c r="B88" i="1"/>
  <c r="A88" i="1"/>
  <c r="P87" i="1" l="1"/>
  <c r="Q87" i="1" s="1"/>
  <c r="R87" i="1" s="1"/>
  <c r="M87" i="1"/>
  <c r="N87" i="1" s="1"/>
  <c r="O87" i="1" s="1"/>
  <c r="H88" i="1"/>
  <c r="I88" i="1" s="1"/>
  <c r="L88" i="1" s="1"/>
  <c r="B89" i="1"/>
  <c r="A89" i="1"/>
  <c r="M88" i="1" l="1"/>
  <c r="N88" i="1" s="1"/>
  <c r="O88" i="1" s="1"/>
  <c r="P88" i="1"/>
  <c r="Q88" i="1" s="1"/>
  <c r="R88" i="1" s="1"/>
  <c r="B90" i="1"/>
  <c r="A90" i="1"/>
  <c r="H89" i="1"/>
  <c r="I89" i="1" s="1"/>
  <c r="L89" i="1" s="1"/>
  <c r="M89" i="1" l="1"/>
  <c r="N89" i="1" s="1"/>
  <c r="O89" i="1" s="1"/>
  <c r="P89" i="1"/>
  <c r="Q89" i="1" s="1"/>
  <c r="R89" i="1" s="1"/>
  <c r="B91" i="1"/>
  <c r="A91" i="1"/>
  <c r="H90" i="1"/>
  <c r="I90" i="1" s="1"/>
  <c r="L90" i="1" s="1"/>
  <c r="M90" i="1" l="1"/>
  <c r="N90" i="1" s="1"/>
  <c r="O90" i="1" s="1"/>
  <c r="P90" i="1"/>
  <c r="Q90" i="1" s="1"/>
  <c r="R90" i="1" s="1"/>
  <c r="H91" i="1"/>
  <c r="I91" i="1" s="1"/>
  <c r="L91" i="1" s="1"/>
  <c r="B92" i="1"/>
  <c r="A92" i="1"/>
  <c r="P91" i="1" l="1"/>
  <c r="Q91" i="1" s="1"/>
  <c r="R91" i="1" s="1"/>
  <c r="M91" i="1"/>
  <c r="N91" i="1" s="1"/>
  <c r="O91" i="1" s="1"/>
  <c r="B93" i="1"/>
  <c r="A93" i="1"/>
  <c r="H92" i="1"/>
  <c r="I92" i="1" s="1"/>
  <c r="L92" i="1" s="1"/>
  <c r="P92" i="1" l="1"/>
  <c r="Q92" i="1" s="1"/>
  <c r="R92" i="1" s="1"/>
  <c r="M92" i="1"/>
  <c r="N92" i="1" s="1"/>
  <c r="O92" i="1" s="1"/>
  <c r="B94" i="1"/>
  <c r="A94" i="1"/>
  <c r="H93" i="1"/>
  <c r="I93" i="1" s="1"/>
  <c r="L93" i="1" s="1"/>
  <c r="P93" i="1" l="1"/>
  <c r="Q93" i="1" s="1"/>
  <c r="R93" i="1" s="1"/>
  <c r="M93" i="1"/>
  <c r="N93" i="1" s="1"/>
  <c r="O93" i="1" s="1"/>
  <c r="A95" i="1"/>
  <c r="H94" i="1"/>
  <c r="I94" i="1" s="1"/>
  <c r="L94" i="1" s="1"/>
  <c r="B95" i="1"/>
  <c r="M94" i="1" l="1"/>
  <c r="N94" i="1" s="1"/>
  <c r="O94" i="1" s="1"/>
  <c r="P94" i="1"/>
  <c r="Q94" i="1" s="1"/>
  <c r="R94" i="1" s="1"/>
  <c r="B96" i="1"/>
  <c r="A96" i="1"/>
  <c r="H95" i="1"/>
  <c r="I95" i="1" s="1"/>
  <c r="L95" i="1" s="1"/>
  <c r="P95" i="1" l="1"/>
  <c r="Q95" i="1" s="1"/>
  <c r="R95" i="1" s="1"/>
  <c r="M95" i="1"/>
  <c r="N95" i="1" s="1"/>
  <c r="O95" i="1" s="1"/>
  <c r="B97" i="1"/>
  <c r="A97" i="1"/>
  <c r="H96" i="1"/>
  <c r="I96" i="1" s="1"/>
  <c r="L96" i="1" s="1"/>
  <c r="P96" i="1" l="1"/>
  <c r="Q96" i="1" s="1"/>
  <c r="R96" i="1" s="1"/>
  <c r="M96" i="1"/>
  <c r="N96" i="1" s="1"/>
  <c r="O96" i="1" s="1"/>
  <c r="H97" i="1"/>
  <c r="B98" i="1"/>
  <c r="I97" i="1"/>
  <c r="L97" i="1" s="1"/>
  <c r="A98" i="1"/>
  <c r="M97" i="1" l="1"/>
  <c r="N97" i="1" s="1"/>
  <c r="O97" i="1" s="1"/>
  <c r="P97" i="1"/>
  <c r="Q97" i="1" s="1"/>
  <c r="R97" i="1" s="1"/>
  <c r="H98" i="1"/>
  <c r="I98" i="1" s="1"/>
  <c r="L98" i="1" s="1"/>
  <c r="B99" i="1"/>
  <c r="A99" i="1"/>
  <c r="P98" i="1" l="1"/>
  <c r="Q98" i="1" s="1"/>
  <c r="R98" i="1" s="1"/>
  <c r="M98" i="1"/>
  <c r="N98" i="1" s="1"/>
  <c r="O98" i="1" s="1"/>
  <c r="H99" i="1"/>
  <c r="I99" i="1" s="1"/>
  <c r="L99" i="1" s="1"/>
  <c r="B100" i="1"/>
  <c r="A100" i="1"/>
  <c r="P99" i="1" l="1"/>
  <c r="Q99" i="1" s="1"/>
  <c r="R99" i="1" s="1"/>
  <c r="M99" i="1"/>
  <c r="N99" i="1" s="1"/>
  <c r="O99" i="1" s="1"/>
  <c r="H100" i="1"/>
  <c r="I100" i="1" s="1"/>
  <c r="L100" i="1" s="1"/>
  <c r="B101" i="1"/>
  <c r="A101" i="1"/>
  <c r="M100" i="1" l="1"/>
  <c r="N100" i="1" s="1"/>
  <c r="O100" i="1" s="1"/>
  <c r="P100" i="1"/>
  <c r="Q100" i="1" s="1"/>
  <c r="R100" i="1" s="1"/>
  <c r="A102" i="1"/>
  <c r="H101" i="1"/>
  <c r="I101" i="1" s="1"/>
  <c r="L101" i="1" s="1"/>
  <c r="B102" i="1"/>
  <c r="M101" i="1" l="1"/>
  <c r="N101" i="1" s="1"/>
  <c r="O101" i="1" s="1"/>
  <c r="P101" i="1"/>
  <c r="Q101" i="1" s="1"/>
  <c r="R101" i="1" s="1"/>
  <c r="B103" i="1"/>
  <c r="A103" i="1"/>
  <c r="H102" i="1"/>
  <c r="I102" i="1" s="1"/>
  <c r="L102" i="1" s="1"/>
  <c r="M102" i="1" l="1"/>
  <c r="N102" i="1" s="1"/>
  <c r="O102" i="1" s="1"/>
  <c r="P102" i="1"/>
  <c r="Q102" i="1" s="1"/>
  <c r="R102" i="1" s="1"/>
  <c r="H103" i="1"/>
  <c r="I103" i="1" s="1"/>
  <c r="L103" i="1" s="1"/>
  <c r="B104" i="1"/>
  <c r="A104" i="1"/>
  <c r="P103" i="1" l="1"/>
  <c r="Q103" i="1" s="1"/>
  <c r="R103" i="1" s="1"/>
  <c r="M103" i="1"/>
  <c r="N103" i="1" s="1"/>
  <c r="O103" i="1" s="1"/>
  <c r="B105" i="1"/>
  <c r="A105" i="1"/>
  <c r="H104" i="1"/>
  <c r="I104" i="1"/>
  <c r="L104" i="1" s="1"/>
  <c r="P104" i="1" l="1"/>
  <c r="Q104" i="1" s="1"/>
  <c r="R104" i="1" s="1"/>
  <c r="M104" i="1"/>
  <c r="N104" i="1" s="1"/>
  <c r="O104" i="1" s="1"/>
  <c r="H105" i="1"/>
  <c r="I105" i="1" s="1"/>
  <c r="L105" i="1" s="1"/>
  <c r="A106" i="1"/>
  <c r="B106" i="1"/>
  <c r="P105" i="1" l="1"/>
  <c r="Q105" i="1" s="1"/>
  <c r="R105" i="1" s="1"/>
  <c r="M105" i="1"/>
  <c r="N105" i="1" s="1"/>
  <c r="O105" i="1" s="1"/>
  <c r="A107" i="1"/>
  <c r="B107" i="1"/>
  <c r="H106" i="1"/>
  <c r="I106" i="1" s="1"/>
  <c r="L106" i="1" s="1"/>
  <c r="P106" i="1" l="1"/>
  <c r="Q106" i="1" s="1"/>
  <c r="R106" i="1" s="1"/>
  <c r="M106" i="1"/>
  <c r="N106" i="1" s="1"/>
  <c r="O106" i="1" s="1"/>
  <c r="B108" i="1"/>
  <c r="A108" i="1"/>
  <c r="H107" i="1"/>
  <c r="I107" i="1" s="1"/>
  <c r="L107" i="1" s="1"/>
  <c r="P107" i="1" l="1"/>
  <c r="Q107" i="1" s="1"/>
  <c r="R107" i="1" s="1"/>
  <c r="M107" i="1"/>
  <c r="N107" i="1" s="1"/>
  <c r="O107" i="1" s="1"/>
  <c r="B109" i="1"/>
  <c r="A109" i="1"/>
  <c r="H108" i="1"/>
  <c r="I108" i="1" s="1"/>
  <c r="L108" i="1" s="1"/>
  <c r="M108" i="1" l="1"/>
  <c r="N108" i="1" s="1"/>
  <c r="O108" i="1" s="1"/>
  <c r="P108" i="1"/>
  <c r="Q108" i="1" s="1"/>
  <c r="R108" i="1" s="1"/>
  <c r="H109" i="1"/>
  <c r="B110" i="1"/>
  <c r="A110" i="1"/>
  <c r="I109" i="1"/>
  <c r="L109" i="1"/>
  <c r="P109" i="1" l="1"/>
  <c r="Q109" i="1" s="1"/>
  <c r="R109" i="1" s="1"/>
  <c r="M109" i="1"/>
  <c r="N109" i="1" s="1"/>
  <c r="O109" i="1" s="1"/>
  <c r="H110" i="1"/>
  <c r="I110" i="1"/>
  <c r="L110" i="1" s="1"/>
  <c r="B111" i="1"/>
  <c r="A111" i="1"/>
  <c r="M110" i="1" l="1"/>
  <c r="N110" i="1" s="1"/>
  <c r="O110" i="1" s="1"/>
  <c r="P110" i="1"/>
  <c r="Q110" i="1" s="1"/>
  <c r="R110" i="1" s="1"/>
  <c r="H111" i="1"/>
  <c r="I111" i="1" s="1"/>
  <c r="L111" i="1" s="1"/>
  <c r="B112" i="1"/>
  <c r="A112" i="1"/>
  <c r="P111" i="1" l="1"/>
  <c r="Q111" i="1" s="1"/>
  <c r="R111" i="1" s="1"/>
  <c r="M111" i="1"/>
  <c r="N111" i="1" s="1"/>
  <c r="O111" i="1" s="1"/>
  <c r="B113" i="1"/>
  <c r="A113" i="1"/>
  <c r="H112" i="1"/>
  <c r="I112" i="1" s="1"/>
  <c r="L112" i="1" s="1"/>
  <c r="M112" i="1" l="1"/>
  <c r="N112" i="1" s="1"/>
  <c r="O112" i="1" s="1"/>
  <c r="P112" i="1"/>
  <c r="Q112" i="1" s="1"/>
  <c r="R112" i="1" s="1"/>
  <c r="B114" i="1"/>
  <c r="A114" i="1"/>
  <c r="H113" i="1"/>
  <c r="I113" i="1" s="1"/>
  <c r="L113" i="1" s="1"/>
  <c r="M113" i="1" l="1"/>
  <c r="N113" i="1" s="1"/>
  <c r="O113" i="1" s="1"/>
  <c r="P113" i="1"/>
  <c r="Q113" i="1" s="1"/>
  <c r="R113" i="1" s="1"/>
  <c r="H114" i="1"/>
  <c r="I114" i="1" s="1"/>
  <c r="L114" i="1" s="1"/>
  <c r="A115" i="1"/>
  <c r="B115" i="1"/>
  <c r="M114" i="1" l="1"/>
  <c r="N114" i="1" s="1"/>
  <c r="O114" i="1" s="1"/>
  <c r="P114" i="1"/>
  <c r="Q114" i="1" s="1"/>
  <c r="R114" i="1" s="1"/>
  <c r="B116" i="1"/>
  <c r="A116" i="1"/>
  <c r="H115" i="1"/>
  <c r="I115" i="1" s="1"/>
  <c r="L115" i="1" s="1"/>
  <c r="P115" i="1" l="1"/>
  <c r="Q115" i="1" s="1"/>
  <c r="R115" i="1" s="1"/>
  <c r="M115" i="1"/>
  <c r="N115" i="1" s="1"/>
  <c r="O115" i="1" s="1"/>
  <c r="B117" i="1"/>
  <c r="A117" i="1"/>
  <c r="H116" i="1"/>
  <c r="I116" i="1" s="1"/>
  <c r="L116" i="1" s="1"/>
  <c r="P116" i="1" l="1"/>
  <c r="Q116" i="1" s="1"/>
  <c r="R116" i="1" s="1"/>
  <c r="M116" i="1"/>
  <c r="N116" i="1" s="1"/>
  <c r="O116" i="1" s="1"/>
  <c r="H117" i="1"/>
  <c r="I117" i="1" s="1"/>
  <c r="L117" i="1" s="1"/>
  <c r="B118" i="1"/>
  <c r="A118" i="1"/>
  <c r="P117" i="1" l="1"/>
  <c r="Q117" i="1" s="1"/>
  <c r="R117" i="1" s="1"/>
  <c r="M117" i="1"/>
  <c r="N117" i="1" s="1"/>
  <c r="O117" i="1" s="1"/>
  <c r="A119" i="1"/>
  <c r="B119" i="1"/>
  <c r="H118" i="1"/>
  <c r="I118" i="1"/>
  <c r="L118" i="1" s="1"/>
  <c r="P118" i="1" l="1"/>
  <c r="Q118" i="1" s="1"/>
  <c r="R118" i="1" s="1"/>
  <c r="M118" i="1"/>
  <c r="N118" i="1" s="1"/>
  <c r="O118" i="1" s="1"/>
  <c r="B120" i="1"/>
  <c r="A120" i="1"/>
  <c r="H119" i="1"/>
  <c r="I119" i="1" s="1"/>
  <c r="L119" i="1" s="1"/>
  <c r="M119" i="1" l="1"/>
  <c r="N119" i="1" s="1"/>
  <c r="O119" i="1" s="1"/>
  <c r="P119" i="1"/>
  <c r="Q119" i="1" s="1"/>
  <c r="R119" i="1" s="1"/>
  <c r="B121" i="1"/>
  <c r="A121" i="1"/>
  <c r="H120" i="1"/>
  <c r="I120" i="1" s="1"/>
  <c r="L120" i="1" s="1"/>
  <c r="M120" i="1" l="1"/>
  <c r="N120" i="1" s="1"/>
  <c r="O120" i="1" s="1"/>
  <c r="P120" i="1"/>
  <c r="Q120" i="1" s="1"/>
  <c r="R120" i="1" s="1"/>
  <c r="H121" i="1"/>
  <c r="B122" i="1"/>
  <c r="A122" i="1"/>
  <c r="I121" i="1"/>
  <c r="L121" i="1" s="1"/>
  <c r="P121" i="1" l="1"/>
  <c r="Q121" i="1" s="1"/>
  <c r="R121" i="1" s="1"/>
  <c r="M121" i="1"/>
  <c r="N121" i="1" s="1"/>
  <c r="O121" i="1" s="1"/>
  <c r="H122" i="1"/>
  <c r="I122" i="1" s="1"/>
  <c r="L122" i="1" s="1"/>
  <c r="B123" i="1"/>
  <c r="A123" i="1"/>
  <c r="M122" i="1" l="1"/>
  <c r="N122" i="1" s="1"/>
  <c r="O122" i="1" s="1"/>
  <c r="P122" i="1"/>
  <c r="Q122" i="1" s="1"/>
  <c r="R122" i="1" s="1"/>
  <c r="H123" i="1"/>
  <c r="I123" i="1" s="1"/>
  <c r="L123" i="1" s="1"/>
  <c r="B124" i="1"/>
  <c r="A124" i="1"/>
  <c r="M123" i="1" l="1"/>
  <c r="N123" i="1" s="1"/>
  <c r="O123" i="1" s="1"/>
  <c r="P123" i="1"/>
  <c r="Q123" i="1" s="1"/>
  <c r="R123" i="1" s="1"/>
  <c r="I124" i="1"/>
  <c r="L124" i="1" s="1"/>
  <c r="H124" i="1"/>
  <c r="A125" i="1"/>
  <c r="B125" i="1"/>
  <c r="M124" i="1" l="1"/>
  <c r="N124" i="1" s="1"/>
  <c r="O124" i="1" s="1"/>
  <c r="P124" i="1"/>
  <c r="Q124" i="1" s="1"/>
  <c r="R124" i="1" s="1"/>
  <c r="B126" i="1"/>
  <c r="A126" i="1"/>
  <c r="H125" i="1"/>
  <c r="I125" i="1" s="1"/>
  <c r="L125" i="1" s="1"/>
  <c r="M125" i="1" l="1"/>
  <c r="N125" i="1" s="1"/>
  <c r="O125" i="1" s="1"/>
  <c r="P125" i="1"/>
  <c r="Q125" i="1" s="1"/>
  <c r="R125" i="1" s="1"/>
  <c r="H126" i="1"/>
  <c r="B127" i="1"/>
  <c r="A127" i="1"/>
  <c r="I126" i="1"/>
  <c r="L126" i="1" s="1"/>
  <c r="M126" i="1" l="1"/>
  <c r="N126" i="1" s="1"/>
  <c r="O126" i="1" s="1"/>
  <c r="P126" i="1"/>
  <c r="Q126" i="1" s="1"/>
  <c r="R126" i="1" s="1"/>
  <c r="H127" i="1"/>
  <c r="I127" i="1" s="1"/>
  <c r="L127" i="1" s="1"/>
  <c r="B128" i="1"/>
  <c r="A128" i="1"/>
  <c r="P127" i="1" l="1"/>
  <c r="Q127" i="1" s="1"/>
  <c r="R127" i="1" s="1"/>
  <c r="M127" i="1"/>
  <c r="N127" i="1" s="1"/>
  <c r="O127" i="1" s="1"/>
  <c r="B129" i="1"/>
  <c r="A129" i="1"/>
  <c r="H128" i="1"/>
  <c r="I128" i="1"/>
  <c r="L128" i="1" s="1"/>
  <c r="P128" i="1" l="1"/>
  <c r="Q128" i="1" s="1"/>
  <c r="R128" i="1" s="1"/>
  <c r="M128" i="1"/>
  <c r="N128" i="1" s="1"/>
  <c r="O128" i="1" s="1"/>
  <c r="H129" i="1"/>
  <c r="I129" i="1"/>
  <c r="L129" i="1" s="1"/>
  <c r="B130" i="1"/>
  <c r="A130" i="1"/>
  <c r="P129" i="1" l="1"/>
  <c r="Q129" i="1" s="1"/>
  <c r="R129" i="1" s="1"/>
  <c r="M129" i="1"/>
  <c r="N129" i="1" s="1"/>
  <c r="O129" i="1" s="1"/>
  <c r="A131" i="1"/>
  <c r="H130" i="1"/>
  <c r="I130" i="1" s="1"/>
  <c r="L130" i="1" s="1"/>
  <c r="B131" i="1"/>
  <c r="M130" i="1" l="1"/>
  <c r="N130" i="1" s="1"/>
  <c r="O130" i="1" s="1"/>
  <c r="P130" i="1"/>
  <c r="Q130" i="1" s="1"/>
  <c r="R130" i="1" s="1"/>
  <c r="B132" i="1"/>
  <c r="A132" i="1"/>
  <c r="H131" i="1"/>
  <c r="I131" i="1" s="1"/>
  <c r="L131" i="1" s="1"/>
  <c r="P131" i="1" l="1"/>
  <c r="Q131" i="1" s="1"/>
  <c r="R131" i="1" s="1"/>
  <c r="M131" i="1"/>
  <c r="N131" i="1" s="1"/>
  <c r="O131" i="1" s="1"/>
  <c r="B133" i="1"/>
  <c r="A133" i="1"/>
  <c r="H132" i="1"/>
  <c r="I132" i="1"/>
  <c r="L132" i="1" s="1"/>
  <c r="M132" i="1" l="1"/>
  <c r="N132" i="1" s="1"/>
  <c r="O132" i="1" s="1"/>
  <c r="P132" i="1"/>
  <c r="Q132" i="1" s="1"/>
  <c r="R132" i="1" s="1"/>
  <c r="H133" i="1"/>
  <c r="B134" i="1"/>
  <c r="I133" i="1"/>
  <c r="L133" i="1" s="1"/>
  <c r="A134" i="1"/>
  <c r="M133" i="1" l="1"/>
  <c r="N133" i="1" s="1"/>
  <c r="O133" i="1" s="1"/>
  <c r="P133" i="1"/>
  <c r="Q133" i="1" s="1"/>
  <c r="R133" i="1" s="1"/>
  <c r="H134" i="1"/>
  <c r="I134" i="1" s="1"/>
  <c r="L134" i="1" s="1"/>
  <c r="A135" i="1"/>
  <c r="B135" i="1"/>
  <c r="P134" i="1" l="1"/>
  <c r="Q134" i="1" s="1"/>
  <c r="R134" i="1" s="1"/>
  <c r="M134" i="1"/>
  <c r="N134" i="1" s="1"/>
  <c r="O134" i="1" s="1"/>
  <c r="H135" i="1"/>
  <c r="I135" i="1" s="1"/>
  <c r="L135" i="1" s="1"/>
  <c r="B136" i="1"/>
  <c r="A136" i="1"/>
  <c r="P135" i="1" l="1"/>
  <c r="Q135" i="1" s="1"/>
  <c r="R135" i="1" s="1"/>
  <c r="M135" i="1"/>
  <c r="N135" i="1" s="1"/>
  <c r="O135" i="1" s="1"/>
  <c r="H136" i="1"/>
  <c r="I136" i="1" s="1"/>
  <c r="L136" i="1" s="1"/>
  <c r="B137" i="1"/>
  <c r="A137" i="1"/>
  <c r="M136" i="1" l="1"/>
  <c r="N136" i="1" s="1"/>
  <c r="O136" i="1" s="1"/>
  <c r="P136" i="1"/>
  <c r="Q136" i="1" s="1"/>
  <c r="R136" i="1" s="1"/>
  <c r="H137" i="1"/>
  <c r="I137" i="1" s="1"/>
  <c r="L137" i="1" s="1"/>
  <c r="B138" i="1"/>
  <c r="A138" i="1"/>
  <c r="M137" i="1" l="1"/>
  <c r="N137" i="1" s="1"/>
  <c r="O137" i="1" s="1"/>
  <c r="P137" i="1"/>
  <c r="Q137" i="1" s="1"/>
  <c r="R137" i="1" s="1"/>
  <c r="H138" i="1"/>
  <c r="I138" i="1" s="1"/>
  <c r="L138" i="1" s="1"/>
  <c r="B139" i="1"/>
  <c r="A139" i="1"/>
  <c r="M138" i="1" l="1"/>
  <c r="N138" i="1" s="1"/>
  <c r="O138" i="1" s="1"/>
  <c r="P138" i="1"/>
  <c r="Q138" i="1" s="1"/>
  <c r="R138" i="1" s="1"/>
  <c r="B140" i="1"/>
  <c r="A140" i="1"/>
  <c r="H139" i="1"/>
  <c r="I139" i="1" s="1"/>
  <c r="L139" i="1" s="1"/>
  <c r="P139" i="1" l="1"/>
  <c r="Q139" i="1" s="1"/>
  <c r="R139" i="1" s="1"/>
  <c r="M139" i="1"/>
  <c r="N139" i="1" s="1"/>
  <c r="O139" i="1" s="1"/>
  <c r="H140" i="1"/>
  <c r="I140" i="1" s="1"/>
  <c r="L140" i="1" s="1"/>
  <c r="B141" i="1"/>
  <c r="A141" i="1"/>
  <c r="P140" i="1" l="1"/>
  <c r="Q140" i="1" s="1"/>
  <c r="R140" i="1" s="1"/>
  <c r="M140" i="1"/>
  <c r="N140" i="1" s="1"/>
  <c r="O140" i="1" s="1"/>
  <c r="B142" i="1"/>
  <c r="H141" i="1"/>
  <c r="A142" i="1"/>
  <c r="I141" i="1"/>
  <c r="L141" i="1" s="1"/>
  <c r="P141" i="1" l="1"/>
  <c r="Q141" i="1" s="1"/>
  <c r="R141" i="1" s="1"/>
  <c r="M141" i="1"/>
  <c r="N141" i="1" s="1"/>
  <c r="O141" i="1" s="1"/>
  <c r="A143" i="1"/>
  <c r="H142" i="1"/>
  <c r="I142" i="1" s="1"/>
  <c r="L142" i="1" s="1"/>
  <c r="B143" i="1"/>
  <c r="P142" i="1" l="1"/>
  <c r="Q142" i="1" s="1"/>
  <c r="R142" i="1" s="1"/>
  <c r="M142" i="1"/>
  <c r="N142" i="1" s="1"/>
  <c r="O142" i="1" s="1"/>
  <c r="B144" i="1"/>
  <c r="A144" i="1"/>
  <c r="H143" i="1"/>
  <c r="I143" i="1" s="1"/>
  <c r="L143" i="1" s="1"/>
  <c r="P143" i="1" l="1"/>
  <c r="Q143" i="1" s="1"/>
  <c r="R143" i="1" s="1"/>
  <c r="M143" i="1"/>
  <c r="N143" i="1" s="1"/>
  <c r="O143" i="1" s="1"/>
  <c r="B145" i="1"/>
  <c r="A145" i="1"/>
  <c r="H144" i="1"/>
  <c r="I144" i="1" s="1"/>
  <c r="L144" i="1" s="1"/>
  <c r="P144" i="1" l="1"/>
  <c r="Q144" i="1" s="1"/>
  <c r="R144" i="1" s="1"/>
  <c r="M144" i="1"/>
  <c r="N144" i="1" s="1"/>
  <c r="O144" i="1" s="1"/>
  <c r="H145" i="1"/>
  <c r="B146" i="1"/>
  <c r="A146" i="1"/>
  <c r="I145" i="1"/>
  <c r="L145" i="1" s="1"/>
  <c r="P145" i="1" l="1"/>
  <c r="Q145" i="1" s="1"/>
  <c r="R145" i="1" s="1"/>
  <c r="M145" i="1"/>
  <c r="N145" i="1" s="1"/>
  <c r="O145" i="1" s="1"/>
  <c r="H146" i="1"/>
  <c r="I146" i="1" s="1"/>
  <c r="L146" i="1" s="1"/>
  <c r="B147" i="1"/>
  <c r="A147" i="1"/>
  <c r="P146" i="1" l="1"/>
  <c r="Q146" i="1" s="1"/>
  <c r="R146" i="1" s="1"/>
  <c r="M146" i="1"/>
  <c r="N146" i="1" s="1"/>
  <c r="O146" i="1" s="1"/>
  <c r="H147" i="1"/>
  <c r="I147" i="1" s="1"/>
  <c r="L147" i="1" s="1"/>
  <c r="B148" i="1"/>
  <c r="A148" i="1"/>
  <c r="P147" i="1" l="1"/>
  <c r="Q147" i="1" s="1"/>
  <c r="R147" i="1" s="1"/>
  <c r="M147" i="1"/>
  <c r="N147" i="1" s="1"/>
  <c r="O147" i="1" s="1"/>
  <c r="H148" i="1"/>
  <c r="I148" i="1" s="1"/>
  <c r="L148" i="1" s="1"/>
  <c r="B149" i="1"/>
  <c r="A149" i="1"/>
  <c r="M148" i="1" l="1"/>
  <c r="N148" i="1" s="1"/>
  <c r="O148" i="1" s="1"/>
  <c r="P148" i="1"/>
  <c r="Q148" i="1" s="1"/>
  <c r="R148" i="1" s="1"/>
  <c r="H149" i="1"/>
  <c r="I149" i="1" s="1"/>
  <c r="L149" i="1" s="1"/>
  <c r="B150" i="1"/>
  <c r="A150" i="1"/>
  <c r="M149" i="1" l="1"/>
  <c r="N149" i="1" s="1"/>
  <c r="O149" i="1" s="1"/>
  <c r="P149" i="1"/>
  <c r="Q149" i="1" s="1"/>
  <c r="R149" i="1" s="1"/>
  <c r="H150" i="1"/>
  <c r="I150" i="1" s="1"/>
  <c r="L150" i="1" s="1"/>
  <c r="B151" i="1"/>
  <c r="A151" i="1"/>
  <c r="M150" i="1" l="1"/>
  <c r="N150" i="1" s="1"/>
  <c r="O150" i="1" s="1"/>
  <c r="P150" i="1"/>
  <c r="Q150" i="1" s="1"/>
  <c r="R150" i="1" s="1"/>
  <c r="H151" i="1"/>
  <c r="I151" i="1" s="1"/>
  <c r="L151" i="1" s="1"/>
  <c r="B152" i="1"/>
  <c r="A152" i="1"/>
  <c r="P151" i="1" l="1"/>
  <c r="Q151" i="1" s="1"/>
  <c r="R151" i="1" s="1"/>
  <c r="M151" i="1"/>
  <c r="N151" i="1" s="1"/>
  <c r="O151" i="1" s="1"/>
  <c r="B153" i="1"/>
  <c r="A153" i="1"/>
  <c r="H152" i="1"/>
  <c r="I152" i="1" s="1"/>
  <c r="L152" i="1" s="1"/>
  <c r="P152" i="1" l="1"/>
  <c r="Q152" i="1" s="1"/>
  <c r="R152" i="1" s="1"/>
  <c r="M152" i="1"/>
  <c r="N152" i="1" s="1"/>
  <c r="O152" i="1" s="1"/>
  <c r="H153" i="1"/>
  <c r="I153" i="1" s="1"/>
  <c r="L153" i="1" s="1"/>
  <c r="B154" i="1"/>
  <c r="A154" i="1"/>
  <c r="P153" i="1" l="1"/>
  <c r="Q153" i="1" s="1"/>
  <c r="R153" i="1" s="1"/>
  <c r="M153" i="1"/>
  <c r="N153" i="1" s="1"/>
  <c r="O153" i="1" s="1"/>
  <c r="A155" i="1"/>
  <c r="B155" i="1"/>
  <c r="H154" i="1"/>
  <c r="I154" i="1" s="1"/>
  <c r="L154" i="1" s="1"/>
  <c r="P154" i="1" l="1"/>
  <c r="Q154" i="1" s="1"/>
  <c r="R154" i="1" s="1"/>
  <c r="M154" i="1"/>
  <c r="N154" i="1" s="1"/>
  <c r="O154" i="1" s="1"/>
  <c r="B156" i="1"/>
  <c r="A156" i="1"/>
  <c r="H155" i="1"/>
  <c r="I155" i="1" s="1"/>
  <c r="L155" i="1" s="1"/>
  <c r="P155" i="1" l="1"/>
  <c r="Q155" i="1" s="1"/>
  <c r="R155" i="1" s="1"/>
  <c r="M155" i="1"/>
  <c r="N155" i="1" s="1"/>
  <c r="O155" i="1" s="1"/>
  <c r="B157" i="1"/>
  <c r="A157" i="1"/>
  <c r="H156" i="1"/>
  <c r="I156" i="1" s="1"/>
  <c r="L156" i="1" s="1"/>
  <c r="P156" i="1" l="1"/>
  <c r="Q156" i="1" s="1"/>
  <c r="R156" i="1" s="1"/>
  <c r="M156" i="1"/>
  <c r="N156" i="1" s="1"/>
  <c r="O156" i="1" s="1"/>
  <c r="H157" i="1"/>
  <c r="B158" i="1"/>
  <c r="A158" i="1"/>
  <c r="I157" i="1"/>
  <c r="L157" i="1" s="1"/>
  <c r="P157" i="1" l="1"/>
  <c r="Q157" i="1" s="1"/>
  <c r="R157" i="1" s="1"/>
  <c r="M157" i="1"/>
  <c r="N157" i="1" s="1"/>
  <c r="O157" i="1" s="1"/>
  <c r="H158" i="1"/>
  <c r="I158" i="1" s="1"/>
  <c r="L158" i="1" s="1"/>
  <c r="B159" i="1"/>
  <c r="A159" i="1"/>
  <c r="P158" i="1" l="1"/>
  <c r="Q158" i="1" s="1"/>
  <c r="R158" i="1" s="1"/>
  <c r="M158" i="1"/>
  <c r="N158" i="1" s="1"/>
  <c r="O158" i="1" s="1"/>
  <c r="H159" i="1"/>
  <c r="I159" i="1" s="1"/>
  <c r="L159" i="1" s="1"/>
  <c r="B160" i="1"/>
  <c r="A160" i="1"/>
  <c r="P159" i="1" l="1"/>
  <c r="Q159" i="1" s="1"/>
  <c r="R159" i="1" s="1"/>
  <c r="M159" i="1"/>
  <c r="N159" i="1" s="1"/>
  <c r="O159" i="1" s="1"/>
  <c r="H160" i="1"/>
  <c r="I160" i="1" s="1"/>
  <c r="L160" i="1" s="1"/>
  <c r="B161" i="1"/>
  <c r="A161" i="1"/>
  <c r="M160" i="1" l="1"/>
  <c r="N160" i="1" s="1"/>
  <c r="O160" i="1" s="1"/>
  <c r="P160" i="1"/>
  <c r="Q160" i="1" s="1"/>
  <c r="R160" i="1" s="1"/>
  <c r="H161" i="1"/>
  <c r="I161" i="1" s="1"/>
  <c r="L161" i="1" s="1"/>
  <c r="B162" i="1"/>
  <c r="A162" i="1"/>
  <c r="M161" i="1" l="1"/>
  <c r="N161" i="1" s="1"/>
  <c r="O161" i="1" s="1"/>
  <c r="P161" i="1"/>
  <c r="Q161" i="1" s="1"/>
  <c r="R161" i="1" s="1"/>
  <c r="H162" i="1"/>
  <c r="I162" i="1" s="1"/>
  <c r="L162" i="1" s="1"/>
  <c r="B163" i="1"/>
  <c r="A163" i="1"/>
  <c r="M162" i="1" l="1"/>
  <c r="N162" i="1" s="1"/>
  <c r="O162" i="1" s="1"/>
  <c r="P162" i="1"/>
  <c r="Q162" i="1" s="1"/>
  <c r="R162" i="1" s="1"/>
  <c r="B164" i="1"/>
  <c r="A164" i="1"/>
  <c r="H163" i="1"/>
  <c r="I163" i="1" s="1"/>
  <c r="L163" i="1" s="1"/>
  <c r="P163" i="1" l="1"/>
  <c r="Q163" i="1" s="1"/>
  <c r="R163" i="1" s="1"/>
  <c r="M163" i="1"/>
  <c r="N163" i="1" s="1"/>
  <c r="O163" i="1" s="1"/>
  <c r="H164" i="1"/>
  <c r="I164" i="1" s="1"/>
  <c r="L164" i="1" s="1"/>
  <c r="B165" i="1"/>
  <c r="A165" i="1"/>
  <c r="P164" i="1" l="1"/>
  <c r="Q164" i="1" s="1"/>
  <c r="R164" i="1" s="1"/>
  <c r="M164" i="1"/>
  <c r="N164" i="1" s="1"/>
  <c r="O164" i="1" s="1"/>
  <c r="B166" i="1"/>
  <c r="A166" i="1"/>
  <c r="H165" i="1"/>
  <c r="I165" i="1" s="1"/>
  <c r="L165" i="1" s="1"/>
  <c r="P165" i="1" l="1"/>
  <c r="Q165" i="1" s="1"/>
  <c r="R165" i="1" s="1"/>
  <c r="M165" i="1"/>
  <c r="N165" i="1" s="1"/>
  <c r="O165" i="1" s="1"/>
  <c r="A167" i="1"/>
  <c r="H166" i="1"/>
  <c r="I166" i="1" s="1"/>
  <c r="L166" i="1" s="1"/>
  <c r="B167" i="1"/>
  <c r="P166" i="1" l="1"/>
  <c r="Q166" i="1" s="1"/>
  <c r="R166" i="1" s="1"/>
  <c r="M166" i="1"/>
  <c r="N166" i="1" s="1"/>
  <c r="O166" i="1" s="1"/>
  <c r="B168" i="1"/>
  <c r="A168" i="1"/>
  <c r="H167" i="1"/>
  <c r="I167" i="1" s="1"/>
  <c r="L167" i="1" s="1"/>
  <c r="P167" i="1" l="1"/>
  <c r="Q167" i="1" s="1"/>
  <c r="R167" i="1" s="1"/>
  <c r="M167" i="1"/>
  <c r="N167" i="1" s="1"/>
  <c r="O167" i="1" s="1"/>
  <c r="B169" i="1"/>
  <c r="A169" i="1"/>
  <c r="H168" i="1"/>
  <c r="I168" i="1" s="1"/>
  <c r="L168" i="1" s="1"/>
  <c r="P168" i="1" l="1"/>
  <c r="Q168" i="1" s="1"/>
  <c r="R168" i="1" s="1"/>
  <c r="M168" i="1"/>
  <c r="N168" i="1" s="1"/>
  <c r="O168" i="1" s="1"/>
  <c r="H169" i="1"/>
  <c r="B170" i="1"/>
  <c r="A170" i="1"/>
  <c r="I169" i="1"/>
  <c r="L169" i="1"/>
  <c r="P169" i="1" l="1"/>
  <c r="Q169" i="1" s="1"/>
  <c r="R169" i="1" s="1"/>
  <c r="M169" i="1"/>
  <c r="N169" i="1" s="1"/>
  <c r="O169" i="1" s="1"/>
  <c r="H170" i="1"/>
  <c r="I170" i="1" s="1"/>
  <c r="L170" i="1" s="1"/>
  <c r="B171" i="1"/>
  <c r="A171" i="1"/>
  <c r="P170" i="1" l="1"/>
  <c r="Q170" i="1" s="1"/>
  <c r="R170" i="1" s="1"/>
  <c r="M170" i="1"/>
  <c r="N170" i="1" s="1"/>
  <c r="O170" i="1" s="1"/>
  <c r="H171" i="1"/>
  <c r="I171" i="1" s="1"/>
  <c r="L171" i="1" s="1"/>
  <c r="B172" i="1"/>
  <c r="A172" i="1"/>
  <c r="M171" i="1" l="1"/>
  <c r="N171" i="1" s="1"/>
  <c r="O171" i="1" s="1"/>
  <c r="P171" i="1"/>
  <c r="Q171" i="1" s="1"/>
  <c r="R171" i="1" s="1"/>
  <c r="H172" i="1"/>
  <c r="I172" i="1" s="1"/>
  <c r="L172" i="1" s="1"/>
  <c r="B173" i="1"/>
  <c r="A173" i="1"/>
  <c r="M172" i="1" l="1"/>
  <c r="N172" i="1" s="1"/>
  <c r="O172" i="1" s="1"/>
  <c r="P172" i="1"/>
  <c r="Q172" i="1" s="1"/>
  <c r="R172" i="1" s="1"/>
  <c r="H173" i="1"/>
  <c r="I173" i="1" s="1"/>
  <c r="L173" i="1" s="1"/>
  <c r="B174" i="1"/>
  <c r="A174" i="1"/>
  <c r="M173" i="1" l="1"/>
  <c r="N173" i="1" s="1"/>
  <c r="O173" i="1" s="1"/>
  <c r="P173" i="1"/>
  <c r="Q173" i="1" s="1"/>
  <c r="R173" i="1" s="1"/>
  <c r="H174" i="1"/>
  <c r="I174" i="1" s="1"/>
  <c r="L174" i="1" s="1"/>
  <c r="B175" i="1"/>
  <c r="A175" i="1"/>
  <c r="M174" i="1" l="1"/>
  <c r="N174" i="1" s="1"/>
  <c r="O174" i="1" s="1"/>
  <c r="P174" i="1"/>
  <c r="Q174" i="1" s="1"/>
  <c r="R174" i="1" s="1"/>
  <c r="H175" i="1"/>
  <c r="I175" i="1" s="1"/>
  <c r="L175" i="1" s="1"/>
  <c r="B176" i="1"/>
  <c r="A176" i="1"/>
  <c r="P175" i="1" l="1"/>
  <c r="Q175" i="1" s="1"/>
  <c r="R175" i="1" s="1"/>
  <c r="M175" i="1"/>
  <c r="N175" i="1" s="1"/>
  <c r="O175" i="1" s="1"/>
  <c r="B177" i="1"/>
  <c r="A177" i="1"/>
  <c r="H176" i="1"/>
  <c r="I176" i="1" s="1"/>
  <c r="L176" i="1" s="1"/>
  <c r="P176" i="1" l="1"/>
  <c r="Q176" i="1" s="1"/>
  <c r="R176" i="1" s="1"/>
  <c r="M176" i="1"/>
  <c r="N176" i="1" s="1"/>
  <c r="O176" i="1" s="1"/>
  <c r="H177" i="1"/>
  <c r="I177" i="1" s="1"/>
  <c r="L177" i="1" s="1"/>
  <c r="B178" i="1"/>
  <c r="A178" i="1"/>
  <c r="P177" i="1" l="1"/>
  <c r="Q177" i="1" s="1"/>
  <c r="R177" i="1" s="1"/>
  <c r="M177" i="1"/>
  <c r="N177" i="1" s="1"/>
  <c r="O177" i="1" s="1"/>
  <c r="A179" i="1"/>
  <c r="H178" i="1"/>
  <c r="I178" i="1" s="1"/>
  <c r="L178" i="1" s="1"/>
  <c r="B179" i="1"/>
  <c r="P178" i="1" l="1"/>
  <c r="Q178" i="1" s="1"/>
  <c r="R178" i="1" s="1"/>
  <c r="M178" i="1"/>
  <c r="N178" i="1" s="1"/>
  <c r="O178" i="1" s="1"/>
  <c r="B180" i="1"/>
  <c r="A180" i="1"/>
  <c r="H179" i="1"/>
  <c r="I179" i="1" s="1"/>
  <c r="L179" i="1" s="1"/>
  <c r="P179" i="1" l="1"/>
  <c r="Q179" i="1" s="1"/>
  <c r="R179" i="1" s="1"/>
  <c r="M179" i="1"/>
  <c r="N179" i="1" s="1"/>
  <c r="O179" i="1" s="1"/>
  <c r="B181" i="1"/>
  <c r="A181" i="1"/>
  <c r="H180" i="1"/>
  <c r="I180" i="1" s="1"/>
  <c r="L180" i="1" s="1"/>
  <c r="P180" i="1" l="1"/>
  <c r="Q180" i="1" s="1"/>
  <c r="R180" i="1" s="1"/>
  <c r="M180" i="1"/>
  <c r="N180" i="1" s="1"/>
  <c r="O180" i="1" s="1"/>
  <c r="H181" i="1"/>
  <c r="B182" i="1"/>
  <c r="A182" i="1"/>
  <c r="I181" i="1"/>
  <c r="L181" i="1" s="1"/>
  <c r="P181" i="1" l="1"/>
  <c r="Q181" i="1" s="1"/>
  <c r="R181" i="1" s="1"/>
  <c r="M181" i="1"/>
  <c r="N181" i="1" s="1"/>
  <c r="O181" i="1" s="1"/>
  <c r="H182" i="1"/>
  <c r="I182" i="1" s="1"/>
  <c r="L182" i="1" s="1"/>
  <c r="B183" i="1"/>
  <c r="A183" i="1"/>
  <c r="M182" i="1" l="1"/>
  <c r="N182" i="1" s="1"/>
  <c r="O182" i="1" s="1"/>
  <c r="P182" i="1"/>
  <c r="Q182" i="1" s="1"/>
  <c r="R182" i="1" s="1"/>
  <c r="H183" i="1"/>
  <c r="I183" i="1" s="1"/>
  <c r="L183" i="1" s="1"/>
  <c r="B184" i="1"/>
  <c r="A184" i="1"/>
  <c r="P183" i="1" l="1"/>
  <c r="Q183" i="1" s="1"/>
  <c r="R183" i="1" s="1"/>
  <c r="M183" i="1"/>
  <c r="N183" i="1" s="1"/>
  <c r="O183" i="1" s="1"/>
  <c r="H184" i="1"/>
  <c r="I184" i="1" s="1"/>
  <c r="L184" i="1" s="1"/>
  <c r="B185" i="1"/>
  <c r="A185" i="1"/>
  <c r="M184" i="1" l="1"/>
  <c r="N184" i="1" s="1"/>
  <c r="O184" i="1" s="1"/>
  <c r="P184" i="1"/>
  <c r="Q184" i="1" s="1"/>
  <c r="R184" i="1" s="1"/>
  <c r="H185" i="1"/>
  <c r="I185" i="1" s="1"/>
  <c r="L185" i="1" s="1"/>
  <c r="B186" i="1"/>
  <c r="A186" i="1"/>
  <c r="M185" i="1" l="1"/>
  <c r="N185" i="1" s="1"/>
  <c r="O185" i="1" s="1"/>
  <c r="P185" i="1"/>
  <c r="Q185" i="1" s="1"/>
  <c r="R185" i="1" s="1"/>
  <c r="H186" i="1"/>
  <c r="I186" i="1" s="1"/>
  <c r="L186" i="1" s="1"/>
  <c r="B187" i="1"/>
  <c r="A187" i="1"/>
  <c r="M186" i="1" l="1"/>
  <c r="N186" i="1" s="1"/>
  <c r="O186" i="1" s="1"/>
  <c r="P186" i="1"/>
  <c r="Q186" i="1" s="1"/>
  <c r="R186" i="1" s="1"/>
  <c r="B188" i="1"/>
  <c r="A188" i="1"/>
  <c r="H187" i="1"/>
  <c r="I187" i="1" s="1"/>
  <c r="L187" i="1" s="1"/>
  <c r="P187" i="1" l="1"/>
  <c r="Q187" i="1" s="1"/>
  <c r="R187" i="1" s="1"/>
  <c r="M187" i="1"/>
  <c r="N187" i="1" s="1"/>
  <c r="O187" i="1" s="1"/>
  <c r="H188" i="1"/>
  <c r="I188" i="1" s="1"/>
  <c r="L188" i="1" s="1"/>
  <c r="B189" i="1"/>
  <c r="A189" i="1"/>
  <c r="P188" i="1" l="1"/>
  <c r="Q188" i="1" s="1"/>
  <c r="R188" i="1" s="1"/>
  <c r="M188" i="1"/>
  <c r="N188" i="1" s="1"/>
  <c r="O188" i="1" s="1"/>
  <c r="B190" i="1"/>
  <c r="H189" i="1"/>
  <c r="I189" i="1" s="1"/>
  <c r="L189" i="1" s="1"/>
  <c r="A190" i="1"/>
  <c r="P189" i="1" l="1"/>
  <c r="Q189" i="1" s="1"/>
  <c r="R189" i="1" s="1"/>
  <c r="M189" i="1"/>
  <c r="N189" i="1" s="1"/>
  <c r="O189" i="1" s="1"/>
  <c r="A191" i="1"/>
  <c r="H190" i="1"/>
  <c r="I190" i="1" s="1"/>
  <c r="L190" i="1" s="1"/>
  <c r="B191" i="1"/>
  <c r="P190" i="1" l="1"/>
  <c r="Q190" i="1" s="1"/>
  <c r="R190" i="1" s="1"/>
  <c r="M190" i="1"/>
  <c r="N190" i="1" s="1"/>
  <c r="O190" i="1" s="1"/>
  <c r="B192" i="1"/>
  <c r="A192" i="1"/>
  <c r="H191" i="1"/>
  <c r="I191" i="1" s="1"/>
  <c r="L191" i="1" s="1"/>
  <c r="P191" i="1" l="1"/>
  <c r="Q191" i="1" s="1"/>
  <c r="R191" i="1" s="1"/>
  <c r="M191" i="1"/>
  <c r="N191" i="1" s="1"/>
  <c r="O191" i="1" s="1"/>
  <c r="B193" i="1"/>
  <c r="A193" i="1"/>
  <c r="H192" i="1"/>
  <c r="I192" i="1" s="1"/>
  <c r="L192" i="1" s="1"/>
  <c r="P192" i="1" l="1"/>
  <c r="Q192" i="1" s="1"/>
  <c r="R192" i="1" s="1"/>
  <c r="M192" i="1"/>
  <c r="N192" i="1" s="1"/>
  <c r="O192" i="1" s="1"/>
  <c r="H193" i="1"/>
  <c r="B194" i="1"/>
  <c r="A194" i="1"/>
  <c r="I193" i="1"/>
  <c r="L193" i="1" s="1"/>
  <c r="M193" i="1" l="1"/>
  <c r="N193" i="1" s="1"/>
  <c r="O193" i="1" s="1"/>
  <c r="P193" i="1"/>
  <c r="Q193" i="1" s="1"/>
  <c r="R193" i="1" s="1"/>
  <c r="H194" i="1"/>
  <c r="I194" i="1" s="1"/>
  <c r="L194" i="1" s="1"/>
  <c r="B195" i="1"/>
  <c r="A195" i="1"/>
  <c r="P194" i="1" l="1"/>
  <c r="Q194" i="1" s="1"/>
  <c r="R194" i="1" s="1"/>
  <c r="M194" i="1"/>
  <c r="N194" i="1" s="1"/>
  <c r="O194" i="1" s="1"/>
  <c r="H195" i="1"/>
  <c r="I195" i="1" s="1"/>
  <c r="L195" i="1" s="1"/>
  <c r="B196" i="1"/>
  <c r="A196" i="1"/>
  <c r="P195" i="1" l="1"/>
  <c r="Q195" i="1" s="1"/>
  <c r="R195" i="1" s="1"/>
  <c r="M195" i="1"/>
  <c r="N195" i="1" s="1"/>
  <c r="O195" i="1" s="1"/>
  <c r="H196" i="1"/>
  <c r="I196" i="1" s="1"/>
  <c r="L196" i="1" s="1"/>
  <c r="B197" i="1"/>
  <c r="A197" i="1"/>
  <c r="M196" i="1" l="1"/>
  <c r="N196" i="1" s="1"/>
  <c r="O196" i="1" s="1"/>
  <c r="P196" i="1"/>
  <c r="Q196" i="1" s="1"/>
  <c r="R196" i="1" s="1"/>
  <c r="H197" i="1"/>
  <c r="I197" i="1" s="1"/>
  <c r="L197" i="1" s="1"/>
  <c r="B198" i="1"/>
  <c r="A198" i="1"/>
  <c r="M197" i="1" l="1"/>
  <c r="N197" i="1" s="1"/>
  <c r="O197" i="1" s="1"/>
  <c r="P197" i="1"/>
  <c r="Q197" i="1" s="1"/>
  <c r="R197" i="1" s="1"/>
  <c r="H198" i="1"/>
  <c r="I198" i="1" s="1"/>
  <c r="L198" i="1" s="1"/>
  <c r="B199" i="1"/>
  <c r="A199" i="1"/>
  <c r="M198" i="1" l="1"/>
  <c r="N198" i="1" s="1"/>
  <c r="O198" i="1" s="1"/>
  <c r="P198" i="1"/>
  <c r="Q198" i="1" s="1"/>
  <c r="R198" i="1" s="1"/>
  <c r="H199" i="1"/>
  <c r="I199" i="1" s="1"/>
  <c r="L199" i="1" s="1"/>
  <c r="B200" i="1"/>
  <c r="A200" i="1"/>
  <c r="P199" i="1" l="1"/>
  <c r="Q199" i="1" s="1"/>
  <c r="R199" i="1" s="1"/>
  <c r="M199" i="1"/>
  <c r="N199" i="1" s="1"/>
  <c r="O199" i="1" s="1"/>
  <c r="B201" i="1"/>
  <c r="A201" i="1"/>
  <c r="H200" i="1"/>
  <c r="I200" i="1" s="1"/>
  <c r="L200" i="1" s="1"/>
  <c r="P200" i="1" l="1"/>
  <c r="Q200" i="1" s="1"/>
  <c r="R200" i="1" s="1"/>
  <c r="M200" i="1"/>
  <c r="N200" i="1" s="1"/>
  <c r="O200" i="1" s="1"/>
  <c r="H201" i="1"/>
  <c r="I201" i="1" s="1"/>
  <c r="L201" i="1" s="1"/>
  <c r="P201" i="1" l="1"/>
  <c r="Q201" i="1" s="1"/>
  <c r="R201" i="1" s="1"/>
  <c r="M201" i="1"/>
  <c r="N201" i="1" s="1"/>
  <c r="O201" i="1" s="1"/>
</calcChain>
</file>

<file path=xl/sharedStrings.xml><?xml version="1.0" encoding="utf-8"?>
<sst xmlns="http://schemas.openxmlformats.org/spreadsheetml/2006/main" count="22" uniqueCount="22">
  <si>
    <t>하한</t>
  </si>
  <si>
    <t>상한</t>
  </si>
  <si>
    <t>배대지비용</t>
  </si>
  <si>
    <t>카드수수료</t>
  </si>
  <si>
    <t>관부가세</t>
  </si>
  <si>
    <t>부가세</t>
  </si>
  <si>
    <t>곱하기마진</t>
  </si>
  <si>
    <t>더하기마진</t>
  </si>
  <si>
    <t>총마진액(B×G+H)</t>
  </si>
  <si>
    <t>설정값</t>
  </si>
  <si>
    <t>기준가(원가+배송비+마진)</t>
  </si>
  <si>
    <t>스마트스토어(6%)판매가</t>
  </si>
  <si>
    <t>스마트스토어 총마진액</t>
  </si>
  <si>
    <t>스마트스토어 마진율</t>
  </si>
  <si>
    <t>오픈마켓(13%)판매가</t>
  </si>
  <si>
    <t>오픈마켓 총마진액</t>
  </si>
  <si>
    <t>오픈마켓 마진율</t>
  </si>
  <si>
    <t>배대지비용(원)</t>
  </si>
  <si>
    <t>더하기마진 시작금액(원)</t>
  </si>
  <si>
    <t>더하기마진 증가액(원, 5000원 구간당)</t>
  </si>
  <si>
    <t>스마트스토어 수수료율</t>
  </si>
  <si>
    <t>오픈마켓 수수료율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</si>
</sst>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76" formatCode="_(* #,##0_);_(* \(#,##0\);_(* &quot;-&quot;_);_(@_)"/>
    <numFmt numFmtId="177" formatCode="0.0%"/>
  </numFmts>
  <fonts count="7" x14ac:knownFonts="1">
    <font>
      <sz val="11"/>
      <color theme="1"/>
      <name val="맑은 고딕"/>
      <family val="2"/>
      <charset val="129"/>
      <scheme val="minor"/>
    </font>
    <font>
      <sz val="11"/>
      <color rgb="FF9C5700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  <font>
      <b/>
      <sz val="12"/>
      <color theme="1"/>
      <name val="맑은 고딕"/>
      <family val="2"/>
      <scheme val="minor"/>
    </font>
    <font>
      <b/>
      <sz val="12"/>
      <color theme="1"/>
      <name val="맑은 고딕"/>
      <family val="3"/>
      <charset val="129"/>
      <scheme val="minor"/>
    </font>
    <font>
      <sz val="12"/>
      <color rgb="FF0000FF"/>
      <name val="맑은 고딕"/>
      <family val="2"/>
      <scheme val="minor"/>
    </font>
    <font>
      <sz val="12"/>
      <color theme="1"/>
      <name val="맑은 고딕"/>
      <family val="3"/>
      <charset val="129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EB9C"/>
      </patternFill>
    </fill>
  </fills>
  <borders count="1">
    <border>
      <left/>
      <right/>
      <top/>
      <bottom/>
      <diagonal/>
    </border>
  </borders>
  <cellStyleXfs count="2">
    <xf numFmtId="0" fontId="0" fillId="0" borderId="0">
      <alignment vertical="center"/>
    </xf>
    <xf numFmtId="0" fontId="1" fillId="2" borderId="0" applyNumberFormat="0" applyBorder="0" applyAlignment="0" applyProtection="0">
      <alignment vertical="center"/>
    </xf>
  </cellStyleXfs>
  <cellXfs count="13">
    <xf numFmtId="0" fontId="0" fillId="0" borderId="0" xfId="0">
      <alignment vertical="center"/>
    </xf>
    <xf numFmtId="0" fontId="1" fillId="2" borderId="0" xfId="1" applyAlignment="1"/>
    <xf numFmtId="0" fontId="3" fillId="0" borderId="0" xfId="0" applyFont="1" applyAlignment="1"/>
    <xf numFmtId="0" fontId="0" fillId="0" borderId="0" xfId="0" applyAlignment="1"/>
    <xf numFmtId="0" fontId="4" fillId="0" borderId="0" xfId="0" applyFont="1" applyAlignment="1"/>
    <xf numFmtId="176" fontId="0" fillId="0" borderId="0" xfId="0" applyNumberFormat="1" applyAlignment="1"/>
    <xf numFmtId="9" fontId="0" fillId="0" borderId="0" xfId="0" applyNumberFormat="1" applyAlignment="1"/>
    <xf numFmtId="3" fontId="5" fillId="0" borderId="0" xfId="0" applyNumberFormat="1" applyFont="1" applyAlignment="1"/>
    <xf numFmtId="176" fontId="6" fillId="0" borderId="0" xfId="0" applyNumberFormat="1" applyFont="1" applyAlignment="1"/>
    <xf numFmtId="177" fontId="6" fillId="0" borderId="0" xfId="0" applyNumberFormat="1" applyFont="1" applyAlignment="1"/>
    <xf numFmtId="9" fontId="5" fillId="0" borderId="0" xfId="0" applyNumberFormat="1" applyFont="1" applyAlignment="1"/>
    <xf numFmtId="0" fontId="1" fillId="2" borderId="0" xfId="1" applyNumberFormat="1" applyAlignment="1"/>
    <xf numFmtId="0" fontId="0" fillId="0" borderId="0" xfId="0" applyNumberFormat="1" applyAlignment="1"/>
  </cellXfs>
  <cellStyles count="2">
    <cellStyle name="보통" xfId="1" builtinId="28"/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891BF72-88AB-4E5B-B628-D228C064FCB1}">
  <dimension ref="A1:R201"/>
  <sheetViews>
    <sheetView tabSelected="1" workbookViewId="0">
      <selection activeCell="C1" sqref="C1:C1048576"/>
    </sheetView>
  </sheetViews>
  <sheetFormatPr defaultRowHeight="16.5" x14ac:dyDescent="0.3"/>
  <cols>
    <col min="1" max="1" width="13.5" style="3" customWidth="1"/>
    <col min="2" max="2" width="13" style="3" customWidth="1"/>
    <col min="3" max="3" width="9" style="12"/>
    <col min="4" max="4" width="9" style="3"/>
    <col min="5" max="5" width="12.25" style="3" customWidth="1"/>
    <col min="6" max="9" width="9" style="3"/>
    <col min="10" max="10" width="32" style="3" customWidth="1"/>
    <col min="11" max="11" width="9" style="3"/>
    <col min="12" max="12" width="12.75" style="3" customWidth="1"/>
    <col min="13" max="13" width="16.75" style="3" customWidth="1"/>
    <col min="14" max="14" width="23.625" style="3" bestFit="1" customWidth="1"/>
    <col min="15" max="15" width="21.375" style="3" bestFit="1" customWidth="1"/>
    <col min="16" max="16" width="23.625" style="3" customWidth="1"/>
    <col min="17" max="17" width="19.25" style="3" bestFit="1" customWidth="1"/>
    <col min="18" max="18" width="17" style="3" bestFit="1" customWidth="1"/>
    <col min="19" max="16384" width="9" style="3"/>
  </cols>
  <sheetData>
    <row r="1" spans="1:18" ht="17.25" x14ac:dyDescent="0.3">
      <c r="A1" s="1" t="s">
        <v>0</v>
      </c>
      <c r="B1" s="1" t="s">
        <v>1</v>
      </c>
      <c r="C1" s="1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2" t="s">
        <v>8</v>
      </c>
      <c r="J1" s="2" t="s">
        <v>9</v>
      </c>
      <c r="L1" s="2" t="s">
        <v>10</v>
      </c>
      <c r="M1" s="2" t="s">
        <v>11</v>
      </c>
      <c r="N1" s="4" t="s">
        <v>12</v>
      </c>
      <c r="O1" s="4" t="s">
        <v>13</v>
      </c>
      <c r="P1" s="2" t="s">
        <v>14</v>
      </c>
      <c r="Q1" s="4" t="s">
        <v>15</v>
      </c>
      <c r="R1" s="4" t="s">
        <v>16</v>
      </c>
    </row>
    <row r="2" spans="1:18" ht="17.25" x14ac:dyDescent="0.3">
      <c r="A2" s="5">
        <v>1</v>
      </c>
      <c r="B2" s="5">
        <v>5000</v>
      </c>
      <c r="C2" s="12">
        <f>$K$2</f>
        <v>3000</v>
      </c>
      <c r="E2" s="3">
        <v>0</v>
      </c>
      <c r="F2" s="3">
        <v>0</v>
      </c>
      <c r="G2" s="6">
        <v>0</v>
      </c>
      <c r="H2" s="5">
        <f>$K$3+$K$4*((B2-$B$2)/5000)</f>
        <v>3000</v>
      </c>
      <c r="I2" s="5">
        <f>B2*G2+H2</f>
        <v>3000</v>
      </c>
      <c r="J2" s="3" t="s">
        <v>17</v>
      </c>
      <c r="K2" s="7">
        <v>3000</v>
      </c>
      <c r="L2" s="5">
        <f>B2+C2+E2+F2+I2</f>
        <v>11000</v>
      </c>
      <c r="M2" s="5">
        <f>L2/(1-$K$5)</f>
        <v>11702.127659574469</v>
      </c>
      <c r="N2" s="8">
        <f>M2*(1-$K$5)-B2-C2-E2-F2</f>
        <v>3000</v>
      </c>
      <c r="O2" s="9">
        <f>N2/M2</f>
        <v>0.25636363636363635</v>
      </c>
      <c r="P2" s="5">
        <f>L2/(1-$K$6)</f>
        <v>12643.67816091954</v>
      </c>
      <c r="Q2" s="8">
        <f>P2*(1-$K$6)-B2-C2-E2-F2</f>
        <v>3000</v>
      </c>
      <c r="R2" s="9">
        <f>Q2/P2</f>
        <v>0.23727272727272727</v>
      </c>
    </row>
    <row r="3" spans="1:18" ht="17.25" x14ac:dyDescent="0.3">
      <c r="A3" s="5">
        <f>B2+1</f>
        <v>5001</v>
      </c>
      <c r="B3" s="5">
        <f>B2+5000</f>
        <v>10000</v>
      </c>
      <c r="C3" s="12">
        <f t="shared" ref="C3:C11" si="0">$K$2</f>
        <v>3000</v>
      </c>
      <c r="E3" s="3">
        <v>0</v>
      </c>
      <c r="F3" s="3">
        <v>0</v>
      </c>
      <c r="G3" s="6">
        <v>0</v>
      </c>
      <c r="H3" s="5">
        <f t="shared" ref="H3:H66" si="1">$K$3+$K$4*((B3-$B$2)/5000)</f>
        <v>3500</v>
      </c>
      <c r="I3" s="5">
        <f t="shared" ref="I3:I66" si="2">B3*G3+H3</f>
        <v>3500</v>
      </c>
      <c r="J3" s="3" t="s">
        <v>18</v>
      </c>
      <c r="K3" s="7">
        <v>3000</v>
      </c>
      <c r="L3" s="5">
        <f t="shared" ref="L3:L66" si="3">B3+C3+E3+F3+I3</f>
        <v>16500</v>
      </c>
      <c r="M3" s="5">
        <f t="shared" ref="M3:M66" si="4">L3/(1-$K$5)</f>
        <v>17553.191489361703</v>
      </c>
      <c r="N3" s="8">
        <f t="shared" ref="N3:N66" si="5">M3*(1-$K$5)-B3-C3-E3-F3</f>
        <v>3500</v>
      </c>
      <c r="O3" s="9">
        <f t="shared" ref="O3:O66" si="6">N3/M3</f>
        <v>0.19939393939393937</v>
      </c>
      <c r="P3" s="5">
        <f t="shared" ref="P3:P66" si="7">L3/(1-$K$6)</f>
        <v>18965.517241379312</v>
      </c>
      <c r="Q3" s="8">
        <f t="shared" ref="Q3:Q66" si="8">P3*(1-$K$6)-B3-C3-E3-F3</f>
        <v>3500</v>
      </c>
      <c r="R3" s="9">
        <f t="shared" ref="R3:R66" si="9">Q3/P3</f>
        <v>0.18454545454545454</v>
      </c>
    </row>
    <row r="4" spans="1:18" ht="17.25" x14ac:dyDescent="0.3">
      <c r="A4" s="5">
        <f t="shared" ref="A4:A67" si="10">B3+1</f>
        <v>10001</v>
      </c>
      <c r="B4" s="5">
        <f t="shared" ref="B4:B67" si="11">B3+5000</f>
        <v>15000</v>
      </c>
      <c r="C4" s="12">
        <f t="shared" si="0"/>
        <v>3000</v>
      </c>
      <c r="E4" s="3">
        <v>0</v>
      </c>
      <c r="F4" s="3">
        <v>0</v>
      </c>
      <c r="G4" s="6">
        <v>0</v>
      </c>
      <c r="H4" s="5">
        <f t="shared" si="1"/>
        <v>4000</v>
      </c>
      <c r="I4" s="5">
        <f t="shared" si="2"/>
        <v>4000</v>
      </c>
      <c r="J4" s="3" t="s">
        <v>19</v>
      </c>
      <c r="K4" s="7">
        <v>500</v>
      </c>
      <c r="L4" s="5">
        <f t="shared" si="3"/>
        <v>22000</v>
      </c>
      <c r="M4" s="5">
        <f t="shared" si="4"/>
        <v>23404.255319148939</v>
      </c>
      <c r="N4" s="8">
        <f t="shared" si="5"/>
        <v>4000</v>
      </c>
      <c r="O4" s="9">
        <f t="shared" si="6"/>
        <v>0.1709090909090909</v>
      </c>
      <c r="P4" s="5">
        <f t="shared" si="7"/>
        <v>25287.356321839081</v>
      </c>
      <c r="Q4" s="8">
        <f t="shared" si="8"/>
        <v>4000</v>
      </c>
      <c r="R4" s="9">
        <f t="shared" si="9"/>
        <v>0.15818181818181817</v>
      </c>
    </row>
    <row r="5" spans="1:18" ht="17.25" x14ac:dyDescent="0.3">
      <c r="A5" s="5">
        <f t="shared" si="10"/>
        <v>15001</v>
      </c>
      <c r="B5" s="5">
        <f t="shared" si="11"/>
        <v>20000</v>
      </c>
      <c r="C5" s="12">
        <f t="shared" si="0"/>
        <v>3000</v>
      </c>
      <c r="E5" s="3">
        <v>0</v>
      </c>
      <c r="F5" s="3">
        <v>0</v>
      </c>
      <c r="G5" s="6">
        <v>0</v>
      </c>
      <c r="H5" s="5">
        <f t="shared" si="1"/>
        <v>4500</v>
      </c>
      <c r="I5" s="5">
        <f t="shared" si="2"/>
        <v>4500</v>
      </c>
      <c r="J5" s="3" t="s">
        <v>20</v>
      </c>
      <c r="K5" s="10">
        <v>0.06</v>
      </c>
      <c r="L5" s="5">
        <f t="shared" si="3"/>
        <v>27500</v>
      </c>
      <c r="M5" s="5">
        <f t="shared" si="4"/>
        <v>29255.319148936171</v>
      </c>
      <c r="N5" s="8">
        <f t="shared" si="5"/>
        <v>4500</v>
      </c>
      <c r="O5" s="9">
        <f t="shared" si="6"/>
        <v>0.15381818181818183</v>
      </c>
      <c r="P5" s="5">
        <f t="shared" si="7"/>
        <v>31609.19540229885</v>
      </c>
      <c r="Q5" s="8">
        <f t="shared" si="8"/>
        <v>4500</v>
      </c>
      <c r="R5" s="9">
        <f t="shared" si="9"/>
        <v>0.14236363636363636</v>
      </c>
    </row>
    <row r="6" spans="1:18" ht="17.25" x14ac:dyDescent="0.3">
      <c r="A6" s="5">
        <f t="shared" si="10"/>
        <v>20001</v>
      </c>
      <c r="B6" s="5">
        <f t="shared" si="11"/>
        <v>25000</v>
      </c>
      <c r="C6" s="12">
        <f t="shared" si="0"/>
        <v>3000</v>
      </c>
      <c r="E6" s="3">
        <v>0</v>
      </c>
      <c r="F6" s="3">
        <v>0</v>
      </c>
      <c r="G6" s="6">
        <v>0</v>
      </c>
      <c r="H6" s="5">
        <f t="shared" si="1"/>
        <v>5000</v>
      </c>
      <c r="I6" s="5">
        <f t="shared" si="2"/>
        <v>5000</v>
      </c>
      <c r="J6" s="3" t="s">
        <v>21</v>
      </c>
      <c r="K6" s="10">
        <v>0.13</v>
      </c>
      <c r="L6" s="5">
        <f t="shared" si="3"/>
        <v>33000</v>
      </c>
      <c r="M6" s="5">
        <f t="shared" si="4"/>
        <v>35106.382978723406</v>
      </c>
      <c r="N6" s="8">
        <f t="shared" si="5"/>
        <v>5000</v>
      </c>
      <c r="O6" s="9">
        <f t="shared" si="6"/>
        <v>0.14242424242424243</v>
      </c>
      <c r="P6" s="5">
        <f t="shared" si="7"/>
        <v>37931.034482758623</v>
      </c>
      <c r="Q6" s="8">
        <f t="shared" si="8"/>
        <v>5000</v>
      </c>
      <c r="R6" s="9">
        <f t="shared" si="9"/>
        <v>0.13181818181818181</v>
      </c>
    </row>
    <row r="7" spans="1:18" ht="17.25" x14ac:dyDescent="0.3">
      <c r="A7" s="5">
        <f t="shared" si="10"/>
        <v>25001</v>
      </c>
      <c r="B7" s="5">
        <f t="shared" si="11"/>
        <v>30000</v>
      </c>
      <c r="C7" s="12">
        <f t="shared" si="0"/>
        <v>3000</v>
      </c>
      <c r="E7" s="3">
        <v>0</v>
      </c>
      <c r="F7" s="3">
        <v>0</v>
      </c>
      <c r="G7" s="6">
        <v>0</v>
      </c>
      <c r="H7" s="5">
        <f t="shared" si="1"/>
        <v>5500</v>
      </c>
      <c r="I7" s="5">
        <f t="shared" si="2"/>
        <v>5500</v>
      </c>
      <c r="L7" s="5">
        <f t="shared" si="3"/>
        <v>38500</v>
      </c>
      <c r="M7" s="5">
        <f t="shared" si="4"/>
        <v>40957.446808510642</v>
      </c>
      <c r="N7" s="8">
        <f t="shared" si="5"/>
        <v>5500</v>
      </c>
      <c r="O7" s="9">
        <f t="shared" si="6"/>
        <v>0.13428571428571429</v>
      </c>
      <c r="P7" s="5">
        <f t="shared" si="7"/>
        <v>44252.873563218389</v>
      </c>
      <c r="Q7" s="8">
        <f t="shared" si="8"/>
        <v>5500</v>
      </c>
      <c r="R7" s="9">
        <f t="shared" si="9"/>
        <v>0.12428571428571429</v>
      </c>
    </row>
    <row r="8" spans="1:18" ht="17.25" x14ac:dyDescent="0.3">
      <c r="A8" s="5">
        <f t="shared" si="10"/>
        <v>30001</v>
      </c>
      <c r="B8" s="5">
        <f t="shared" si="11"/>
        <v>35000</v>
      </c>
      <c r="C8" s="12">
        <f t="shared" si="0"/>
        <v>3000</v>
      </c>
      <c r="E8" s="3">
        <v>0</v>
      </c>
      <c r="F8" s="3">
        <v>0</v>
      </c>
      <c r="G8" s="6">
        <v>0</v>
      </c>
      <c r="H8" s="5">
        <f t="shared" si="1"/>
        <v>6000</v>
      </c>
      <c r="I8" s="5">
        <f t="shared" si="2"/>
        <v>6000</v>
      </c>
      <c r="L8" s="5">
        <f t="shared" si="3"/>
        <v>44000</v>
      </c>
      <c r="M8" s="5">
        <f t="shared" si="4"/>
        <v>46808.510638297877</v>
      </c>
      <c r="N8" s="8">
        <f t="shared" si="5"/>
        <v>6000</v>
      </c>
      <c r="O8" s="9">
        <f t="shared" si="6"/>
        <v>0.12818181818181817</v>
      </c>
      <c r="P8" s="5">
        <f t="shared" si="7"/>
        <v>50574.712643678162</v>
      </c>
      <c r="Q8" s="8">
        <f t="shared" si="8"/>
        <v>6000</v>
      </c>
      <c r="R8" s="9">
        <f t="shared" si="9"/>
        <v>0.11863636363636364</v>
      </c>
    </row>
    <row r="9" spans="1:18" ht="17.25" x14ac:dyDescent="0.3">
      <c r="A9" s="5">
        <f t="shared" si="10"/>
        <v>35001</v>
      </c>
      <c r="B9" s="5">
        <f t="shared" si="11"/>
        <v>40000</v>
      </c>
      <c r="C9" s="12">
        <f t="shared" si="0"/>
        <v>3000</v>
      </c>
      <c r="E9" s="3">
        <v>0</v>
      </c>
      <c r="F9" s="3">
        <v>0</v>
      </c>
      <c r="G9" s="6">
        <v>0</v>
      </c>
      <c r="H9" s="5">
        <f t="shared" si="1"/>
        <v>6500</v>
      </c>
      <c r="I9" s="5">
        <f t="shared" si="2"/>
        <v>6500</v>
      </c>
      <c r="L9" s="5">
        <f t="shared" si="3"/>
        <v>49500</v>
      </c>
      <c r="M9" s="5">
        <f t="shared" si="4"/>
        <v>52659.574468085106</v>
      </c>
      <c r="N9" s="8">
        <f t="shared" si="5"/>
        <v>6500</v>
      </c>
      <c r="O9" s="9">
        <f t="shared" si="6"/>
        <v>0.12343434343434344</v>
      </c>
      <c r="P9" s="5">
        <f t="shared" si="7"/>
        <v>56896.551724137935</v>
      </c>
      <c r="Q9" s="8">
        <f t="shared" si="8"/>
        <v>6500</v>
      </c>
      <c r="R9" s="9">
        <f t="shared" si="9"/>
        <v>0.11424242424242423</v>
      </c>
    </row>
    <row r="10" spans="1:18" ht="17.25" x14ac:dyDescent="0.3">
      <c r="A10" s="5">
        <f t="shared" si="10"/>
        <v>40001</v>
      </c>
      <c r="B10" s="5">
        <f t="shared" si="11"/>
        <v>45000</v>
      </c>
      <c r="C10" s="12">
        <f t="shared" si="0"/>
        <v>3000</v>
      </c>
      <c r="E10" s="3">
        <v>0</v>
      </c>
      <c r="F10" s="3">
        <v>0</v>
      </c>
      <c r="G10" s="6">
        <v>0</v>
      </c>
      <c r="H10" s="5">
        <f t="shared" si="1"/>
        <v>7000</v>
      </c>
      <c r="I10" s="5">
        <f t="shared" si="2"/>
        <v>7000</v>
      </c>
      <c r="L10" s="5">
        <f t="shared" si="3"/>
        <v>55000</v>
      </c>
      <c r="M10" s="5">
        <f t="shared" si="4"/>
        <v>58510.638297872341</v>
      </c>
      <c r="N10" s="8">
        <f t="shared" si="5"/>
        <v>7000</v>
      </c>
      <c r="O10" s="9">
        <f t="shared" si="6"/>
        <v>0.11963636363636364</v>
      </c>
      <c r="P10" s="5">
        <f t="shared" si="7"/>
        <v>63218.3908045977</v>
      </c>
      <c r="Q10" s="8">
        <f t="shared" si="8"/>
        <v>7000</v>
      </c>
      <c r="R10" s="9">
        <f t="shared" si="9"/>
        <v>0.11072727272727273</v>
      </c>
    </row>
    <row r="11" spans="1:18" ht="17.25" x14ac:dyDescent="0.3">
      <c r="A11" s="5">
        <f t="shared" si="10"/>
        <v>45001</v>
      </c>
      <c r="B11" s="5">
        <f t="shared" si="11"/>
        <v>50000</v>
      </c>
      <c r="C11" s="12">
        <f t="shared" si="0"/>
        <v>3000</v>
      </c>
      <c r="E11" s="3">
        <v>0</v>
      </c>
      <c r="F11" s="3">
        <v>0</v>
      </c>
      <c r="G11" s="6">
        <v>0</v>
      </c>
      <c r="H11" s="5">
        <f t="shared" si="1"/>
        <v>7500</v>
      </c>
      <c r="I11" s="5">
        <f t="shared" si="2"/>
        <v>7500</v>
      </c>
      <c r="L11" s="5">
        <f t="shared" si="3"/>
        <v>60500</v>
      </c>
      <c r="M11" s="5">
        <f t="shared" si="4"/>
        <v>64361.702127659577</v>
      </c>
      <c r="N11" s="8">
        <f t="shared" si="5"/>
        <v>7500</v>
      </c>
      <c r="O11" s="9">
        <f t="shared" si="6"/>
        <v>0.1165289256198347</v>
      </c>
      <c r="P11" s="5">
        <f t="shared" si="7"/>
        <v>69540.229885057473</v>
      </c>
      <c r="Q11" s="8">
        <f t="shared" si="8"/>
        <v>7500</v>
      </c>
      <c r="R11" s="9">
        <f t="shared" si="9"/>
        <v>0.10785123966942148</v>
      </c>
    </row>
    <row r="12" spans="1:18" ht="17.25" x14ac:dyDescent="0.3">
      <c r="A12" s="5">
        <f t="shared" si="10"/>
        <v>50001</v>
      </c>
      <c r="B12" s="5">
        <f t="shared" si="11"/>
        <v>55000</v>
      </c>
      <c r="C12" s="12">
        <v>0</v>
      </c>
      <c r="E12" s="3">
        <v>0</v>
      </c>
      <c r="F12" s="3">
        <v>0</v>
      </c>
      <c r="G12" s="6">
        <v>0</v>
      </c>
      <c r="H12" s="5">
        <f t="shared" si="1"/>
        <v>8000</v>
      </c>
      <c r="I12" s="5">
        <f t="shared" si="2"/>
        <v>8000</v>
      </c>
      <c r="L12" s="5">
        <f t="shared" si="3"/>
        <v>63000</v>
      </c>
      <c r="M12" s="5">
        <f t="shared" si="4"/>
        <v>67021.276595744683</v>
      </c>
      <c r="N12" s="8">
        <f t="shared" si="5"/>
        <v>8000</v>
      </c>
      <c r="O12" s="9">
        <f t="shared" si="6"/>
        <v>0.11936507936507937</v>
      </c>
      <c r="P12" s="5">
        <f t="shared" si="7"/>
        <v>72413.793103448275</v>
      </c>
      <c r="Q12" s="8">
        <f t="shared" si="8"/>
        <v>8000</v>
      </c>
      <c r="R12" s="9">
        <f t="shared" si="9"/>
        <v>0.11047619047619048</v>
      </c>
    </row>
    <row r="13" spans="1:18" ht="17.25" x14ac:dyDescent="0.3">
      <c r="A13" s="5">
        <f t="shared" si="10"/>
        <v>55001</v>
      </c>
      <c r="B13" s="5">
        <f t="shared" si="11"/>
        <v>60000</v>
      </c>
      <c r="C13" s="12">
        <v>0</v>
      </c>
      <c r="E13" s="3">
        <v>0</v>
      </c>
      <c r="F13" s="3">
        <v>0</v>
      </c>
      <c r="G13" s="6">
        <v>0</v>
      </c>
      <c r="H13" s="5">
        <f t="shared" si="1"/>
        <v>8500</v>
      </c>
      <c r="I13" s="5">
        <f t="shared" si="2"/>
        <v>8500</v>
      </c>
      <c r="L13" s="5">
        <f t="shared" si="3"/>
        <v>68500</v>
      </c>
      <c r="M13" s="5">
        <f t="shared" si="4"/>
        <v>72872.340425531918</v>
      </c>
      <c r="N13" s="8">
        <f t="shared" si="5"/>
        <v>8500</v>
      </c>
      <c r="O13" s="9">
        <f t="shared" si="6"/>
        <v>0.11664233576642336</v>
      </c>
      <c r="P13" s="5">
        <f t="shared" si="7"/>
        <v>78735.632183908048</v>
      </c>
      <c r="Q13" s="8">
        <f t="shared" si="8"/>
        <v>8500</v>
      </c>
      <c r="R13" s="9">
        <f t="shared" si="9"/>
        <v>0.10795620437956203</v>
      </c>
    </row>
    <row r="14" spans="1:18" ht="17.25" x14ac:dyDescent="0.3">
      <c r="A14" s="5">
        <f t="shared" si="10"/>
        <v>60001</v>
      </c>
      <c r="B14" s="5">
        <f t="shared" si="11"/>
        <v>65000</v>
      </c>
      <c r="C14" s="12">
        <v>0</v>
      </c>
      <c r="E14" s="3">
        <v>0</v>
      </c>
      <c r="F14" s="3">
        <v>0</v>
      </c>
      <c r="G14" s="6">
        <v>0</v>
      </c>
      <c r="H14" s="5">
        <f t="shared" si="1"/>
        <v>9000</v>
      </c>
      <c r="I14" s="5">
        <f t="shared" si="2"/>
        <v>9000</v>
      </c>
      <c r="L14" s="5">
        <f t="shared" si="3"/>
        <v>74000</v>
      </c>
      <c r="M14" s="5">
        <f t="shared" si="4"/>
        <v>78723.404255319154</v>
      </c>
      <c r="N14" s="8">
        <f t="shared" si="5"/>
        <v>9000</v>
      </c>
      <c r="O14" s="9">
        <f t="shared" si="6"/>
        <v>0.11432432432432432</v>
      </c>
      <c r="P14" s="5">
        <f t="shared" si="7"/>
        <v>85057.471264367821</v>
      </c>
      <c r="Q14" s="8">
        <f t="shared" si="8"/>
        <v>9000</v>
      </c>
      <c r="R14" s="9">
        <f t="shared" si="9"/>
        <v>0.1058108108108108</v>
      </c>
    </row>
    <row r="15" spans="1:18" ht="17.25" x14ac:dyDescent="0.3">
      <c r="A15" s="5">
        <f t="shared" si="10"/>
        <v>65001</v>
      </c>
      <c r="B15" s="5">
        <f t="shared" si="11"/>
        <v>70000</v>
      </c>
      <c r="C15" s="12">
        <v>0</v>
      </c>
      <c r="E15" s="3">
        <v>0</v>
      </c>
      <c r="F15" s="3">
        <v>0</v>
      </c>
      <c r="G15" s="6">
        <v>0</v>
      </c>
      <c r="H15" s="5">
        <f t="shared" si="1"/>
        <v>9500</v>
      </c>
      <c r="I15" s="5">
        <f t="shared" si="2"/>
        <v>9500</v>
      </c>
      <c r="L15" s="5">
        <f t="shared" si="3"/>
        <v>79500</v>
      </c>
      <c r="M15" s="5">
        <f t="shared" si="4"/>
        <v>84574.468085106389</v>
      </c>
      <c r="N15" s="8">
        <f t="shared" si="5"/>
        <v>9500</v>
      </c>
      <c r="O15" s="9">
        <f t="shared" si="6"/>
        <v>0.11232704402515722</v>
      </c>
      <c r="P15" s="5">
        <f t="shared" si="7"/>
        <v>91379.31034482758</v>
      </c>
      <c r="Q15" s="8">
        <f t="shared" si="8"/>
        <v>9500</v>
      </c>
      <c r="R15" s="9">
        <f t="shared" si="9"/>
        <v>0.10396226415094341</v>
      </c>
    </row>
    <row r="16" spans="1:18" ht="17.25" x14ac:dyDescent="0.3">
      <c r="A16" s="5">
        <f t="shared" si="10"/>
        <v>70001</v>
      </c>
      <c r="B16" s="5">
        <f t="shared" si="11"/>
        <v>75000</v>
      </c>
      <c r="C16" s="12">
        <v>0</v>
      </c>
      <c r="E16" s="3">
        <v>0</v>
      </c>
      <c r="F16" s="3">
        <v>0</v>
      </c>
      <c r="G16" s="6">
        <v>0</v>
      </c>
      <c r="H16" s="5">
        <f t="shared" si="1"/>
        <v>10000</v>
      </c>
      <c r="I16" s="5">
        <f t="shared" si="2"/>
        <v>10000</v>
      </c>
      <c r="L16" s="5">
        <f t="shared" si="3"/>
        <v>85000</v>
      </c>
      <c r="M16" s="5">
        <f t="shared" si="4"/>
        <v>90425.531914893625</v>
      </c>
      <c r="N16" s="8">
        <f t="shared" si="5"/>
        <v>10000</v>
      </c>
      <c r="O16" s="9">
        <f t="shared" si="6"/>
        <v>0.11058823529411764</v>
      </c>
      <c r="P16" s="5">
        <f t="shared" si="7"/>
        <v>97701.149425287353</v>
      </c>
      <c r="Q16" s="8">
        <f t="shared" si="8"/>
        <v>10000</v>
      </c>
      <c r="R16" s="9">
        <f t="shared" si="9"/>
        <v>0.10235294117647059</v>
      </c>
    </row>
    <row r="17" spans="1:18" ht="17.25" x14ac:dyDescent="0.3">
      <c r="A17" s="5">
        <f t="shared" si="10"/>
        <v>75001</v>
      </c>
      <c r="B17" s="5">
        <f t="shared" si="11"/>
        <v>80000</v>
      </c>
      <c r="C17" s="12">
        <v>0</v>
      </c>
      <c r="E17" s="3">
        <v>0</v>
      </c>
      <c r="F17" s="3">
        <v>0</v>
      </c>
      <c r="G17" s="6">
        <v>0</v>
      </c>
      <c r="H17" s="5">
        <f t="shared" si="1"/>
        <v>10500</v>
      </c>
      <c r="I17" s="5">
        <f t="shared" si="2"/>
        <v>10500</v>
      </c>
      <c r="L17" s="5">
        <f t="shared" si="3"/>
        <v>90500</v>
      </c>
      <c r="M17" s="5">
        <f t="shared" si="4"/>
        <v>96276.595744680861</v>
      </c>
      <c r="N17" s="8">
        <f t="shared" si="5"/>
        <v>10500</v>
      </c>
      <c r="O17" s="9">
        <f t="shared" si="6"/>
        <v>0.10906077348066297</v>
      </c>
      <c r="P17" s="5">
        <f t="shared" si="7"/>
        <v>104022.98850574713</v>
      </c>
      <c r="Q17" s="8">
        <f t="shared" si="8"/>
        <v>10500</v>
      </c>
      <c r="R17" s="9">
        <f t="shared" si="9"/>
        <v>0.10093922651933701</v>
      </c>
    </row>
    <row r="18" spans="1:18" ht="17.25" x14ac:dyDescent="0.3">
      <c r="A18" s="5">
        <f t="shared" si="10"/>
        <v>80001</v>
      </c>
      <c r="B18" s="5">
        <f t="shared" si="11"/>
        <v>85000</v>
      </c>
      <c r="C18" s="12">
        <v>0</v>
      </c>
      <c r="E18" s="3">
        <v>0</v>
      </c>
      <c r="F18" s="3">
        <v>0</v>
      </c>
      <c r="G18" s="6">
        <v>0</v>
      </c>
      <c r="H18" s="5">
        <f t="shared" si="1"/>
        <v>11000</v>
      </c>
      <c r="I18" s="5">
        <f t="shared" si="2"/>
        <v>11000</v>
      </c>
      <c r="L18" s="5">
        <f t="shared" si="3"/>
        <v>96000</v>
      </c>
      <c r="M18" s="5">
        <f t="shared" si="4"/>
        <v>102127.6595744681</v>
      </c>
      <c r="N18" s="8">
        <f t="shared" si="5"/>
        <v>11000</v>
      </c>
      <c r="O18" s="9">
        <f t="shared" si="6"/>
        <v>0.10770833333333332</v>
      </c>
      <c r="P18" s="5">
        <f t="shared" si="7"/>
        <v>110344.8275862069</v>
      </c>
      <c r="Q18" s="8">
        <f t="shared" si="8"/>
        <v>11000</v>
      </c>
      <c r="R18" s="9">
        <f t="shared" si="9"/>
        <v>9.9687499999999998E-2</v>
      </c>
    </row>
    <row r="19" spans="1:18" ht="17.25" x14ac:dyDescent="0.3">
      <c r="A19" s="5">
        <f t="shared" si="10"/>
        <v>85001</v>
      </c>
      <c r="B19" s="5">
        <f t="shared" si="11"/>
        <v>90000</v>
      </c>
      <c r="C19" s="12">
        <v>0</v>
      </c>
      <c r="E19" s="3">
        <v>0</v>
      </c>
      <c r="F19" s="3">
        <v>0</v>
      </c>
      <c r="G19" s="6">
        <v>0</v>
      </c>
      <c r="H19" s="5">
        <f t="shared" si="1"/>
        <v>11500</v>
      </c>
      <c r="I19" s="5">
        <f t="shared" si="2"/>
        <v>11500</v>
      </c>
      <c r="L19" s="5">
        <f t="shared" si="3"/>
        <v>101500</v>
      </c>
      <c r="M19" s="5">
        <f t="shared" si="4"/>
        <v>107978.72340425533</v>
      </c>
      <c r="N19" s="8">
        <f t="shared" si="5"/>
        <v>11500</v>
      </c>
      <c r="O19" s="9">
        <f t="shared" si="6"/>
        <v>0.10650246305418717</v>
      </c>
      <c r="P19" s="5">
        <f t="shared" si="7"/>
        <v>116666.66666666667</v>
      </c>
      <c r="Q19" s="8">
        <f t="shared" si="8"/>
        <v>11500</v>
      </c>
      <c r="R19" s="9">
        <f t="shared" si="9"/>
        <v>9.8571428571428574E-2</v>
      </c>
    </row>
    <row r="20" spans="1:18" ht="17.25" x14ac:dyDescent="0.3">
      <c r="A20" s="5">
        <f t="shared" si="10"/>
        <v>90001</v>
      </c>
      <c r="B20" s="5">
        <f t="shared" si="11"/>
        <v>95000</v>
      </c>
      <c r="C20" s="12">
        <v>0</v>
      </c>
      <c r="E20" s="3">
        <v>0</v>
      </c>
      <c r="F20" s="3">
        <v>0</v>
      </c>
      <c r="G20" s="6">
        <v>0</v>
      </c>
      <c r="H20" s="5">
        <f t="shared" si="1"/>
        <v>12000</v>
      </c>
      <c r="I20" s="5">
        <f t="shared" si="2"/>
        <v>12000</v>
      </c>
      <c r="L20" s="5">
        <f t="shared" si="3"/>
        <v>107000</v>
      </c>
      <c r="M20" s="5">
        <f t="shared" si="4"/>
        <v>113829.78723404255</v>
      </c>
      <c r="N20" s="8">
        <f t="shared" si="5"/>
        <v>12000</v>
      </c>
      <c r="O20" s="9">
        <f t="shared" si="6"/>
        <v>0.10542056074766355</v>
      </c>
      <c r="P20" s="5">
        <f t="shared" si="7"/>
        <v>122988.50574712644</v>
      </c>
      <c r="Q20" s="8">
        <f t="shared" si="8"/>
        <v>12000</v>
      </c>
      <c r="R20" s="9">
        <f t="shared" si="9"/>
        <v>9.7570093457943916E-2</v>
      </c>
    </row>
    <row r="21" spans="1:18" ht="17.25" x14ac:dyDescent="0.3">
      <c r="A21" s="5">
        <f t="shared" si="10"/>
        <v>95001</v>
      </c>
      <c r="B21" s="5">
        <f t="shared" si="11"/>
        <v>100000</v>
      </c>
      <c r="C21" s="12">
        <v>0</v>
      </c>
      <c r="E21" s="3">
        <v>0</v>
      </c>
      <c r="F21" s="3">
        <v>0</v>
      </c>
      <c r="G21" s="6">
        <v>0</v>
      </c>
      <c r="H21" s="5">
        <f t="shared" si="1"/>
        <v>12500</v>
      </c>
      <c r="I21" s="5">
        <f t="shared" si="2"/>
        <v>12500</v>
      </c>
      <c r="L21" s="5">
        <f t="shared" si="3"/>
        <v>112500</v>
      </c>
      <c r="M21" s="5">
        <f t="shared" si="4"/>
        <v>119680.85106382979</v>
      </c>
      <c r="N21" s="8">
        <f t="shared" si="5"/>
        <v>12500</v>
      </c>
      <c r="O21" s="9">
        <f t="shared" si="6"/>
        <v>0.10444444444444444</v>
      </c>
      <c r="P21" s="5">
        <f t="shared" si="7"/>
        <v>129310.3448275862</v>
      </c>
      <c r="Q21" s="8">
        <f t="shared" si="8"/>
        <v>12500</v>
      </c>
      <c r="R21" s="9">
        <f t="shared" si="9"/>
        <v>9.6666666666666665E-2</v>
      </c>
    </row>
    <row r="22" spans="1:18" ht="17.25" x14ac:dyDescent="0.3">
      <c r="A22" s="5">
        <f t="shared" si="10"/>
        <v>100001</v>
      </c>
      <c r="B22" s="5">
        <f t="shared" si="11"/>
        <v>105000</v>
      </c>
      <c r="C22" s="12">
        <v>0</v>
      </c>
      <c r="E22" s="3">
        <v>0</v>
      </c>
      <c r="F22" s="3">
        <v>0</v>
      </c>
      <c r="G22" s="6">
        <v>0</v>
      </c>
      <c r="H22" s="5">
        <f t="shared" si="1"/>
        <v>13000</v>
      </c>
      <c r="I22" s="5">
        <f t="shared" si="2"/>
        <v>13000</v>
      </c>
      <c r="L22" s="5">
        <f t="shared" si="3"/>
        <v>118000</v>
      </c>
      <c r="M22" s="5">
        <f t="shared" si="4"/>
        <v>125531.91489361702</v>
      </c>
      <c r="N22" s="8">
        <f t="shared" si="5"/>
        <v>13000</v>
      </c>
      <c r="O22" s="9">
        <f t="shared" si="6"/>
        <v>0.1035593220338983</v>
      </c>
      <c r="P22" s="5">
        <f t="shared" si="7"/>
        <v>135632.18390804599</v>
      </c>
      <c r="Q22" s="8">
        <f t="shared" si="8"/>
        <v>13000.000000000015</v>
      </c>
      <c r="R22" s="9">
        <f t="shared" si="9"/>
        <v>9.5847457627118743E-2</v>
      </c>
    </row>
    <row r="23" spans="1:18" ht="17.25" x14ac:dyDescent="0.3">
      <c r="A23" s="5">
        <f t="shared" si="10"/>
        <v>105001</v>
      </c>
      <c r="B23" s="5">
        <f t="shared" si="11"/>
        <v>110000</v>
      </c>
      <c r="C23" s="12">
        <v>0</v>
      </c>
      <c r="E23" s="3">
        <v>0</v>
      </c>
      <c r="F23" s="3">
        <v>0</v>
      </c>
      <c r="G23" s="6">
        <v>0</v>
      </c>
      <c r="H23" s="5">
        <f t="shared" si="1"/>
        <v>13500</v>
      </c>
      <c r="I23" s="5">
        <f t="shared" si="2"/>
        <v>13500</v>
      </c>
      <c r="L23" s="5">
        <f t="shared" si="3"/>
        <v>123500</v>
      </c>
      <c r="M23" s="5">
        <f t="shared" si="4"/>
        <v>131382.97872340426</v>
      </c>
      <c r="N23" s="8">
        <f t="shared" si="5"/>
        <v>13500</v>
      </c>
      <c r="O23" s="9">
        <f t="shared" si="6"/>
        <v>0.10275303643724697</v>
      </c>
      <c r="P23" s="5">
        <f t="shared" si="7"/>
        <v>141954.02298850575</v>
      </c>
      <c r="Q23" s="8">
        <f t="shared" si="8"/>
        <v>13500</v>
      </c>
      <c r="R23" s="9">
        <f t="shared" si="9"/>
        <v>9.5101214574898785E-2</v>
      </c>
    </row>
    <row r="24" spans="1:18" ht="17.25" x14ac:dyDescent="0.3">
      <c r="A24" s="5">
        <f t="shared" si="10"/>
        <v>110001</v>
      </c>
      <c r="B24" s="5">
        <f t="shared" si="11"/>
        <v>115000</v>
      </c>
      <c r="C24" s="12">
        <v>0</v>
      </c>
      <c r="E24" s="3">
        <v>0</v>
      </c>
      <c r="F24" s="3">
        <v>0</v>
      </c>
      <c r="G24" s="6">
        <v>0</v>
      </c>
      <c r="H24" s="5">
        <f t="shared" si="1"/>
        <v>14000</v>
      </c>
      <c r="I24" s="5">
        <f t="shared" si="2"/>
        <v>14000</v>
      </c>
      <c r="L24" s="5">
        <f t="shared" si="3"/>
        <v>129000</v>
      </c>
      <c r="M24" s="5">
        <f t="shared" si="4"/>
        <v>137234.04255319151</v>
      </c>
      <c r="N24" s="8">
        <f t="shared" si="5"/>
        <v>14000.000000000015</v>
      </c>
      <c r="O24" s="9">
        <f t="shared" si="6"/>
        <v>0.10201550387596908</v>
      </c>
      <c r="P24" s="5">
        <f t="shared" si="7"/>
        <v>148275.86206896551</v>
      </c>
      <c r="Q24" s="8">
        <f t="shared" si="8"/>
        <v>13999.999999999985</v>
      </c>
      <c r="R24" s="9">
        <f t="shared" si="9"/>
        <v>9.4418604651162696E-2</v>
      </c>
    </row>
    <row r="25" spans="1:18" ht="17.25" x14ac:dyDescent="0.3">
      <c r="A25" s="5">
        <f t="shared" si="10"/>
        <v>115001</v>
      </c>
      <c r="B25" s="5">
        <f t="shared" si="11"/>
        <v>120000</v>
      </c>
      <c r="C25" s="12">
        <v>0</v>
      </c>
      <c r="E25" s="3">
        <v>0</v>
      </c>
      <c r="F25" s="3">
        <v>0</v>
      </c>
      <c r="G25" s="6">
        <v>0</v>
      </c>
      <c r="H25" s="5">
        <f t="shared" si="1"/>
        <v>14500</v>
      </c>
      <c r="I25" s="5">
        <f t="shared" si="2"/>
        <v>14500</v>
      </c>
      <c r="L25" s="5">
        <f t="shared" si="3"/>
        <v>134500</v>
      </c>
      <c r="M25" s="5">
        <f t="shared" si="4"/>
        <v>143085.10638297873</v>
      </c>
      <c r="N25" s="8">
        <f t="shared" si="5"/>
        <v>14500</v>
      </c>
      <c r="O25" s="9">
        <f t="shared" si="6"/>
        <v>0.10133828996282528</v>
      </c>
      <c r="P25" s="5">
        <f t="shared" si="7"/>
        <v>154597.70114942529</v>
      </c>
      <c r="Q25" s="8">
        <f t="shared" si="8"/>
        <v>14500</v>
      </c>
      <c r="R25" s="9">
        <f t="shared" si="9"/>
        <v>9.3791821561338279E-2</v>
      </c>
    </row>
    <row r="26" spans="1:18" ht="17.25" x14ac:dyDescent="0.3">
      <c r="A26" s="5">
        <f t="shared" si="10"/>
        <v>120001</v>
      </c>
      <c r="B26" s="5">
        <f t="shared" si="11"/>
        <v>125000</v>
      </c>
      <c r="C26" s="12">
        <v>0</v>
      </c>
      <c r="E26" s="3">
        <v>0</v>
      </c>
      <c r="F26" s="3">
        <v>0</v>
      </c>
      <c r="G26" s="6">
        <v>0</v>
      </c>
      <c r="H26" s="5">
        <f t="shared" si="1"/>
        <v>15000</v>
      </c>
      <c r="I26" s="5">
        <f t="shared" si="2"/>
        <v>15000</v>
      </c>
      <c r="L26" s="5">
        <f t="shared" si="3"/>
        <v>140000</v>
      </c>
      <c r="M26" s="5">
        <f t="shared" si="4"/>
        <v>148936.17021276595</v>
      </c>
      <c r="N26" s="8">
        <f t="shared" si="5"/>
        <v>15000</v>
      </c>
      <c r="O26" s="9">
        <f t="shared" si="6"/>
        <v>0.10071428571428571</v>
      </c>
      <c r="P26" s="5">
        <f t="shared" si="7"/>
        <v>160919.54022988505</v>
      </c>
      <c r="Q26" s="8">
        <f t="shared" si="8"/>
        <v>15000</v>
      </c>
      <c r="R26" s="9">
        <f t="shared" si="9"/>
        <v>9.3214285714285722E-2</v>
      </c>
    </row>
    <row r="27" spans="1:18" ht="17.25" x14ac:dyDescent="0.3">
      <c r="A27" s="5">
        <f t="shared" si="10"/>
        <v>125001</v>
      </c>
      <c r="B27" s="5">
        <f t="shared" si="11"/>
        <v>130000</v>
      </c>
      <c r="C27" s="12">
        <v>0</v>
      </c>
      <c r="E27" s="3">
        <v>0</v>
      </c>
      <c r="F27" s="3">
        <v>0</v>
      </c>
      <c r="G27" s="6">
        <v>0</v>
      </c>
      <c r="H27" s="5">
        <f t="shared" si="1"/>
        <v>15500</v>
      </c>
      <c r="I27" s="5">
        <f t="shared" si="2"/>
        <v>15500</v>
      </c>
      <c r="L27" s="5">
        <f t="shared" si="3"/>
        <v>145500</v>
      </c>
      <c r="M27" s="5">
        <f t="shared" si="4"/>
        <v>154787.2340425532</v>
      </c>
      <c r="N27" s="8">
        <f t="shared" si="5"/>
        <v>15500</v>
      </c>
      <c r="O27" s="9">
        <f t="shared" si="6"/>
        <v>0.10013745704467353</v>
      </c>
      <c r="P27" s="5">
        <f t="shared" si="7"/>
        <v>167241.37931034484</v>
      </c>
      <c r="Q27" s="8">
        <f t="shared" si="8"/>
        <v>15500</v>
      </c>
      <c r="R27" s="9">
        <f t="shared" si="9"/>
        <v>9.2680412371134016E-2</v>
      </c>
    </row>
    <row r="28" spans="1:18" ht="17.25" x14ac:dyDescent="0.3">
      <c r="A28" s="5">
        <f t="shared" si="10"/>
        <v>130001</v>
      </c>
      <c r="B28" s="5">
        <f t="shared" si="11"/>
        <v>135000</v>
      </c>
      <c r="C28" s="12">
        <v>0</v>
      </c>
      <c r="E28" s="3">
        <v>0</v>
      </c>
      <c r="F28" s="3">
        <v>0</v>
      </c>
      <c r="G28" s="6">
        <v>0</v>
      </c>
      <c r="H28" s="5">
        <f t="shared" si="1"/>
        <v>16000</v>
      </c>
      <c r="I28" s="5">
        <f t="shared" si="2"/>
        <v>16000</v>
      </c>
      <c r="L28" s="5">
        <f t="shared" si="3"/>
        <v>151000</v>
      </c>
      <c r="M28" s="5">
        <f t="shared" si="4"/>
        <v>160638.29787234042</v>
      </c>
      <c r="N28" s="8">
        <f t="shared" si="5"/>
        <v>16000</v>
      </c>
      <c r="O28" s="9">
        <f t="shared" si="6"/>
        <v>9.9602649006622523E-2</v>
      </c>
      <c r="P28" s="5">
        <f t="shared" si="7"/>
        <v>173563.2183908046</v>
      </c>
      <c r="Q28" s="8">
        <f t="shared" si="8"/>
        <v>16000</v>
      </c>
      <c r="R28" s="9">
        <f t="shared" si="9"/>
        <v>9.2185430463576162E-2</v>
      </c>
    </row>
    <row r="29" spans="1:18" ht="17.25" x14ac:dyDescent="0.3">
      <c r="A29" s="5">
        <f t="shared" si="10"/>
        <v>135001</v>
      </c>
      <c r="B29" s="5">
        <f t="shared" si="11"/>
        <v>140000</v>
      </c>
      <c r="C29" s="12">
        <v>0</v>
      </c>
      <c r="E29" s="3">
        <v>0</v>
      </c>
      <c r="F29" s="3">
        <v>0</v>
      </c>
      <c r="G29" s="6">
        <v>0</v>
      </c>
      <c r="H29" s="5">
        <f t="shared" si="1"/>
        <v>16500</v>
      </c>
      <c r="I29" s="5">
        <f t="shared" si="2"/>
        <v>16500</v>
      </c>
      <c r="L29" s="5">
        <f t="shared" si="3"/>
        <v>156500</v>
      </c>
      <c r="M29" s="5">
        <f t="shared" si="4"/>
        <v>166489.36170212767</v>
      </c>
      <c r="N29" s="8">
        <f t="shared" si="5"/>
        <v>16500</v>
      </c>
      <c r="O29" s="9">
        <f t="shared" si="6"/>
        <v>9.9105431309904152E-2</v>
      </c>
      <c r="P29" s="5">
        <f t="shared" si="7"/>
        <v>179885.05747126436</v>
      </c>
      <c r="Q29" s="8">
        <f t="shared" si="8"/>
        <v>16500</v>
      </c>
      <c r="R29" s="9">
        <f t="shared" si="9"/>
        <v>9.1725239616613427E-2</v>
      </c>
    </row>
    <row r="30" spans="1:18" ht="17.25" x14ac:dyDescent="0.3">
      <c r="A30" s="5">
        <f t="shared" si="10"/>
        <v>140001</v>
      </c>
      <c r="B30" s="5">
        <f t="shared" si="11"/>
        <v>145000</v>
      </c>
      <c r="C30" s="12">
        <v>0</v>
      </c>
      <c r="E30" s="3">
        <v>0</v>
      </c>
      <c r="F30" s="3">
        <v>0</v>
      </c>
      <c r="G30" s="6">
        <v>0</v>
      </c>
      <c r="H30" s="5">
        <f t="shared" si="1"/>
        <v>17000</v>
      </c>
      <c r="I30" s="5">
        <f t="shared" si="2"/>
        <v>17000</v>
      </c>
      <c r="L30" s="5">
        <f t="shared" si="3"/>
        <v>162000</v>
      </c>
      <c r="M30" s="5">
        <f t="shared" si="4"/>
        <v>172340.42553191489</v>
      </c>
      <c r="N30" s="8">
        <f t="shared" si="5"/>
        <v>17000</v>
      </c>
      <c r="O30" s="9">
        <f t="shared" si="6"/>
        <v>9.864197530864198E-2</v>
      </c>
      <c r="P30" s="5">
        <f t="shared" si="7"/>
        <v>186206.89655172414</v>
      </c>
      <c r="Q30" s="8">
        <f t="shared" si="8"/>
        <v>17000</v>
      </c>
      <c r="R30" s="9">
        <f t="shared" si="9"/>
        <v>9.1296296296296292E-2</v>
      </c>
    </row>
    <row r="31" spans="1:18" ht="17.25" x14ac:dyDescent="0.3">
      <c r="A31" s="5">
        <f t="shared" si="10"/>
        <v>145001</v>
      </c>
      <c r="B31" s="5">
        <f t="shared" si="11"/>
        <v>150000</v>
      </c>
      <c r="C31" s="12">
        <v>0</v>
      </c>
      <c r="E31" s="3">
        <v>0</v>
      </c>
      <c r="F31" s="3">
        <v>0</v>
      </c>
      <c r="G31" s="6">
        <v>0</v>
      </c>
      <c r="H31" s="5">
        <f t="shared" si="1"/>
        <v>17500</v>
      </c>
      <c r="I31" s="5">
        <f t="shared" si="2"/>
        <v>17500</v>
      </c>
      <c r="L31" s="5">
        <f t="shared" si="3"/>
        <v>167500</v>
      </c>
      <c r="M31" s="5">
        <f t="shared" si="4"/>
        <v>178191.48936170214</v>
      </c>
      <c r="N31" s="8">
        <f t="shared" si="5"/>
        <v>17500</v>
      </c>
      <c r="O31" s="9">
        <f t="shared" si="6"/>
        <v>9.8208955223880581E-2</v>
      </c>
      <c r="P31" s="5">
        <f t="shared" si="7"/>
        <v>192528.7356321839</v>
      </c>
      <c r="Q31" s="8">
        <f t="shared" si="8"/>
        <v>17500</v>
      </c>
      <c r="R31" s="9">
        <f t="shared" si="9"/>
        <v>9.0895522388059702E-2</v>
      </c>
    </row>
    <row r="32" spans="1:18" ht="17.25" x14ac:dyDescent="0.3">
      <c r="A32" s="5">
        <f t="shared" si="10"/>
        <v>150001</v>
      </c>
      <c r="B32" s="5">
        <f t="shared" si="11"/>
        <v>155000</v>
      </c>
      <c r="C32" s="12">
        <v>0</v>
      </c>
      <c r="E32" s="3">
        <v>0</v>
      </c>
      <c r="F32" s="3">
        <v>0</v>
      </c>
      <c r="G32" s="6">
        <v>0</v>
      </c>
      <c r="H32" s="5">
        <f t="shared" si="1"/>
        <v>18000</v>
      </c>
      <c r="I32" s="5">
        <f t="shared" si="2"/>
        <v>18000</v>
      </c>
      <c r="L32" s="5">
        <f t="shared" si="3"/>
        <v>173000</v>
      </c>
      <c r="M32" s="5">
        <f t="shared" si="4"/>
        <v>184042.55319148937</v>
      </c>
      <c r="N32" s="8">
        <f t="shared" si="5"/>
        <v>18000</v>
      </c>
      <c r="O32" s="9">
        <f t="shared" si="6"/>
        <v>9.7803468208092478E-2</v>
      </c>
      <c r="P32" s="5">
        <f t="shared" si="7"/>
        <v>198850.57471264369</v>
      </c>
      <c r="Q32" s="8">
        <f t="shared" si="8"/>
        <v>18000</v>
      </c>
      <c r="R32" s="9">
        <f t="shared" si="9"/>
        <v>9.0520231213872829E-2</v>
      </c>
    </row>
    <row r="33" spans="1:18" ht="17.25" x14ac:dyDescent="0.3">
      <c r="A33" s="5">
        <f t="shared" si="10"/>
        <v>155001</v>
      </c>
      <c r="B33" s="5">
        <f t="shared" si="11"/>
        <v>160000</v>
      </c>
      <c r="C33" s="12">
        <v>0</v>
      </c>
      <c r="E33" s="3">
        <v>0</v>
      </c>
      <c r="F33" s="3">
        <v>0</v>
      </c>
      <c r="G33" s="6">
        <v>0</v>
      </c>
      <c r="H33" s="5">
        <f t="shared" si="1"/>
        <v>18500</v>
      </c>
      <c r="I33" s="5">
        <f t="shared" si="2"/>
        <v>18500</v>
      </c>
      <c r="L33" s="5">
        <f t="shared" si="3"/>
        <v>178500</v>
      </c>
      <c r="M33" s="5">
        <f t="shared" si="4"/>
        <v>189893.61702127662</v>
      </c>
      <c r="N33" s="8">
        <f t="shared" si="5"/>
        <v>18500</v>
      </c>
      <c r="O33" s="9">
        <f t="shared" si="6"/>
        <v>9.7422969187675054E-2</v>
      </c>
      <c r="P33" s="5">
        <f t="shared" si="7"/>
        <v>205172.41379310345</v>
      </c>
      <c r="Q33" s="8">
        <f t="shared" si="8"/>
        <v>18500</v>
      </c>
      <c r="R33" s="9">
        <f t="shared" si="9"/>
        <v>9.0168067226890761E-2</v>
      </c>
    </row>
    <row r="34" spans="1:18" ht="17.25" x14ac:dyDescent="0.3">
      <c r="A34" s="5">
        <f t="shared" si="10"/>
        <v>160001</v>
      </c>
      <c r="B34" s="5">
        <f t="shared" si="11"/>
        <v>165000</v>
      </c>
      <c r="C34" s="12">
        <v>0</v>
      </c>
      <c r="E34" s="3">
        <v>0</v>
      </c>
      <c r="F34" s="3">
        <v>0</v>
      </c>
      <c r="G34" s="6">
        <v>0</v>
      </c>
      <c r="H34" s="5">
        <f t="shared" si="1"/>
        <v>19000</v>
      </c>
      <c r="I34" s="5">
        <f t="shared" si="2"/>
        <v>19000</v>
      </c>
      <c r="L34" s="5">
        <f t="shared" si="3"/>
        <v>184000</v>
      </c>
      <c r="M34" s="5">
        <f t="shared" si="4"/>
        <v>195744.68085106384</v>
      </c>
      <c r="N34" s="8">
        <f t="shared" si="5"/>
        <v>19000</v>
      </c>
      <c r="O34" s="9">
        <f t="shared" si="6"/>
        <v>9.7065217391304345E-2</v>
      </c>
      <c r="P34" s="5">
        <f t="shared" si="7"/>
        <v>211494.25287356321</v>
      </c>
      <c r="Q34" s="8">
        <f t="shared" si="8"/>
        <v>19000</v>
      </c>
      <c r="R34" s="9">
        <f t="shared" si="9"/>
        <v>8.9836956521739134E-2</v>
      </c>
    </row>
    <row r="35" spans="1:18" ht="17.25" x14ac:dyDescent="0.3">
      <c r="A35" s="5">
        <f t="shared" si="10"/>
        <v>165001</v>
      </c>
      <c r="B35" s="5">
        <f t="shared" si="11"/>
        <v>170000</v>
      </c>
      <c r="C35" s="12">
        <v>0</v>
      </c>
      <c r="E35" s="3">
        <v>0</v>
      </c>
      <c r="F35" s="3">
        <v>0</v>
      </c>
      <c r="G35" s="6">
        <v>0</v>
      </c>
      <c r="H35" s="5">
        <f t="shared" si="1"/>
        <v>19500</v>
      </c>
      <c r="I35" s="5">
        <f t="shared" si="2"/>
        <v>19500</v>
      </c>
      <c r="L35" s="5">
        <f t="shared" si="3"/>
        <v>189500</v>
      </c>
      <c r="M35" s="5">
        <f t="shared" si="4"/>
        <v>201595.74468085109</v>
      </c>
      <c r="N35" s="8">
        <f t="shared" si="5"/>
        <v>19500</v>
      </c>
      <c r="O35" s="9">
        <f t="shared" si="6"/>
        <v>9.6728232189973604E-2</v>
      </c>
      <c r="P35" s="5">
        <f t="shared" si="7"/>
        <v>217816.091954023</v>
      </c>
      <c r="Q35" s="8">
        <f t="shared" si="8"/>
        <v>19500</v>
      </c>
      <c r="R35" s="9">
        <f t="shared" si="9"/>
        <v>8.9525065963060688E-2</v>
      </c>
    </row>
    <row r="36" spans="1:18" ht="17.25" x14ac:dyDescent="0.3">
      <c r="A36" s="5">
        <f t="shared" si="10"/>
        <v>170001</v>
      </c>
      <c r="B36" s="5">
        <f t="shared" si="11"/>
        <v>175000</v>
      </c>
      <c r="C36" s="12">
        <v>0</v>
      </c>
      <c r="E36" s="3">
        <v>0</v>
      </c>
      <c r="F36" s="3">
        <v>0</v>
      </c>
      <c r="G36" s="6">
        <v>0</v>
      </c>
      <c r="H36" s="5">
        <f t="shared" si="1"/>
        <v>20000</v>
      </c>
      <c r="I36" s="5">
        <f t="shared" si="2"/>
        <v>20000</v>
      </c>
      <c r="L36" s="5">
        <f t="shared" si="3"/>
        <v>195000</v>
      </c>
      <c r="M36" s="5">
        <f t="shared" si="4"/>
        <v>207446.80851063831</v>
      </c>
      <c r="N36" s="8">
        <f t="shared" si="5"/>
        <v>20000</v>
      </c>
      <c r="O36" s="9">
        <f t="shared" si="6"/>
        <v>9.6410256410256412E-2</v>
      </c>
      <c r="P36" s="5">
        <f t="shared" si="7"/>
        <v>224137.93103448275</v>
      </c>
      <c r="Q36" s="8">
        <f t="shared" si="8"/>
        <v>20000</v>
      </c>
      <c r="R36" s="9">
        <f t="shared" si="9"/>
        <v>8.9230769230769238E-2</v>
      </c>
    </row>
    <row r="37" spans="1:18" ht="17.25" x14ac:dyDescent="0.3">
      <c r="A37" s="5">
        <f t="shared" si="10"/>
        <v>175001</v>
      </c>
      <c r="B37" s="5">
        <f t="shared" si="11"/>
        <v>180000</v>
      </c>
      <c r="C37" s="12">
        <v>0</v>
      </c>
      <c r="E37" s="3">
        <v>0</v>
      </c>
      <c r="F37" s="3">
        <v>0</v>
      </c>
      <c r="G37" s="6">
        <v>0</v>
      </c>
      <c r="H37" s="5">
        <f t="shared" si="1"/>
        <v>20500</v>
      </c>
      <c r="I37" s="5">
        <f t="shared" si="2"/>
        <v>20500</v>
      </c>
      <c r="L37" s="5">
        <f t="shared" si="3"/>
        <v>200500</v>
      </c>
      <c r="M37" s="5">
        <f t="shared" si="4"/>
        <v>213297.87234042556</v>
      </c>
      <c r="N37" s="8">
        <f t="shared" si="5"/>
        <v>20500</v>
      </c>
      <c r="O37" s="9">
        <f t="shared" si="6"/>
        <v>9.6109725685785519E-2</v>
      </c>
      <c r="P37" s="5">
        <f t="shared" si="7"/>
        <v>230459.77011494254</v>
      </c>
      <c r="Q37" s="8">
        <f t="shared" si="8"/>
        <v>20500</v>
      </c>
      <c r="R37" s="9">
        <f t="shared" si="9"/>
        <v>8.8952618453865331E-2</v>
      </c>
    </row>
    <row r="38" spans="1:18" ht="17.25" x14ac:dyDescent="0.3">
      <c r="A38" s="5">
        <f t="shared" si="10"/>
        <v>180001</v>
      </c>
      <c r="B38" s="5">
        <f t="shared" si="11"/>
        <v>185000</v>
      </c>
      <c r="C38" s="12">
        <v>0</v>
      </c>
      <c r="E38" s="3">
        <v>0</v>
      </c>
      <c r="F38" s="3">
        <v>0</v>
      </c>
      <c r="G38" s="6">
        <v>0</v>
      </c>
      <c r="H38" s="5">
        <f t="shared" si="1"/>
        <v>21000</v>
      </c>
      <c r="I38" s="5">
        <f t="shared" si="2"/>
        <v>21000</v>
      </c>
      <c r="L38" s="5">
        <f t="shared" si="3"/>
        <v>206000</v>
      </c>
      <c r="M38" s="5">
        <f t="shared" si="4"/>
        <v>219148.93617021278</v>
      </c>
      <c r="N38" s="8">
        <f t="shared" si="5"/>
        <v>21000</v>
      </c>
      <c r="O38" s="9">
        <f t="shared" si="6"/>
        <v>9.5825242718446599E-2</v>
      </c>
      <c r="P38" s="5">
        <f t="shared" si="7"/>
        <v>236781.6091954023</v>
      </c>
      <c r="Q38" s="8">
        <f t="shared" si="8"/>
        <v>21000</v>
      </c>
      <c r="R38" s="9">
        <f t="shared" si="9"/>
        <v>8.8689320388349507E-2</v>
      </c>
    </row>
    <row r="39" spans="1:18" ht="17.25" x14ac:dyDescent="0.3">
      <c r="A39" s="5">
        <f t="shared" si="10"/>
        <v>185001</v>
      </c>
      <c r="B39" s="5">
        <f t="shared" si="11"/>
        <v>190000</v>
      </c>
      <c r="C39" s="12">
        <v>0</v>
      </c>
      <c r="E39" s="3">
        <v>0</v>
      </c>
      <c r="F39" s="3">
        <v>0</v>
      </c>
      <c r="G39" s="6">
        <v>0</v>
      </c>
      <c r="H39" s="5">
        <f t="shared" si="1"/>
        <v>21500</v>
      </c>
      <c r="I39" s="5">
        <f t="shared" si="2"/>
        <v>21500</v>
      </c>
      <c r="L39" s="5">
        <f t="shared" si="3"/>
        <v>211500</v>
      </c>
      <c r="M39" s="5">
        <f t="shared" si="4"/>
        <v>225000</v>
      </c>
      <c r="N39" s="8">
        <f t="shared" si="5"/>
        <v>21500</v>
      </c>
      <c r="O39" s="9">
        <f t="shared" si="6"/>
        <v>9.555555555555556E-2</v>
      </c>
      <c r="P39" s="5">
        <f t="shared" si="7"/>
        <v>243103.44827586206</v>
      </c>
      <c r="Q39" s="8">
        <f t="shared" si="8"/>
        <v>21500</v>
      </c>
      <c r="R39" s="9">
        <f t="shared" si="9"/>
        <v>8.8439716312056743E-2</v>
      </c>
    </row>
    <row r="40" spans="1:18" ht="17.25" x14ac:dyDescent="0.3">
      <c r="A40" s="5">
        <f t="shared" si="10"/>
        <v>190001</v>
      </c>
      <c r="B40" s="5">
        <f t="shared" si="11"/>
        <v>195000</v>
      </c>
      <c r="C40" s="12">
        <v>0</v>
      </c>
      <c r="E40" s="3">
        <v>0</v>
      </c>
      <c r="F40" s="3">
        <v>0</v>
      </c>
      <c r="G40" s="6">
        <v>0</v>
      </c>
      <c r="H40" s="5">
        <f t="shared" si="1"/>
        <v>22000</v>
      </c>
      <c r="I40" s="5">
        <f t="shared" si="2"/>
        <v>22000</v>
      </c>
      <c r="L40" s="5">
        <f t="shared" si="3"/>
        <v>217000</v>
      </c>
      <c r="M40" s="5">
        <f t="shared" si="4"/>
        <v>230851.06382978725</v>
      </c>
      <c r="N40" s="8">
        <f t="shared" si="5"/>
        <v>22000</v>
      </c>
      <c r="O40" s="9">
        <f t="shared" si="6"/>
        <v>9.5299539170506903E-2</v>
      </c>
      <c r="P40" s="5">
        <f t="shared" si="7"/>
        <v>249425.28735632185</v>
      </c>
      <c r="Q40" s="8">
        <f t="shared" si="8"/>
        <v>22000</v>
      </c>
      <c r="R40" s="9">
        <f t="shared" si="9"/>
        <v>8.8202764976958517E-2</v>
      </c>
    </row>
    <row r="41" spans="1:18" ht="17.25" x14ac:dyDescent="0.3">
      <c r="A41" s="5">
        <f t="shared" si="10"/>
        <v>195001</v>
      </c>
      <c r="B41" s="5">
        <f t="shared" si="11"/>
        <v>200000</v>
      </c>
      <c r="C41" s="12">
        <v>0</v>
      </c>
      <c r="E41" s="3">
        <v>0</v>
      </c>
      <c r="F41" s="3">
        <v>0</v>
      </c>
      <c r="G41" s="6">
        <v>0</v>
      </c>
      <c r="H41" s="5">
        <f t="shared" si="1"/>
        <v>22500</v>
      </c>
      <c r="I41" s="5">
        <f t="shared" si="2"/>
        <v>22500</v>
      </c>
      <c r="L41" s="5">
        <f t="shared" si="3"/>
        <v>222500</v>
      </c>
      <c r="M41" s="5">
        <f t="shared" si="4"/>
        <v>236702.12765957447</v>
      </c>
      <c r="N41" s="8">
        <f t="shared" si="5"/>
        <v>22500</v>
      </c>
      <c r="O41" s="9">
        <f t="shared" si="6"/>
        <v>9.50561797752809E-2</v>
      </c>
      <c r="P41" s="5">
        <f t="shared" si="7"/>
        <v>255747.1264367816</v>
      </c>
      <c r="Q41" s="8">
        <f t="shared" si="8"/>
        <v>22500</v>
      </c>
      <c r="R41" s="9">
        <f t="shared" si="9"/>
        <v>8.7977528089887638E-2</v>
      </c>
    </row>
    <row r="42" spans="1:18" ht="17.25" x14ac:dyDescent="0.3">
      <c r="A42" s="5">
        <f t="shared" si="10"/>
        <v>200001</v>
      </c>
      <c r="B42" s="5">
        <f t="shared" si="11"/>
        <v>205000</v>
      </c>
      <c r="C42" s="12">
        <v>0</v>
      </c>
      <c r="E42" s="3">
        <v>0</v>
      </c>
      <c r="F42" s="3">
        <v>0</v>
      </c>
      <c r="G42" s="6">
        <v>0</v>
      </c>
      <c r="H42" s="5">
        <f t="shared" si="1"/>
        <v>23000</v>
      </c>
      <c r="I42" s="5">
        <f t="shared" si="2"/>
        <v>23000</v>
      </c>
      <c r="L42" s="5">
        <f t="shared" si="3"/>
        <v>228000</v>
      </c>
      <c r="M42" s="5">
        <f t="shared" si="4"/>
        <v>242553.19148936172</v>
      </c>
      <c r="N42" s="8">
        <f t="shared" si="5"/>
        <v>23000</v>
      </c>
      <c r="O42" s="9">
        <f t="shared" si="6"/>
        <v>9.482456140350877E-2</v>
      </c>
      <c r="P42" s="5">
        <f t="shared" si="7"/>
        <v>262068.96551724139</v>
      </c>
      <c r="Q42" s="8">
        <f t="shared" si="8"/>
        <v>23000</v>
      </c>
      <c r="R42" s="9">
        <f t="shared" si="9"/>
        <v>8.7763157894736835E-2</v>
      </c>
    </row>
    <row r="43" spans="1:18" ht="17.25" x14ac:dyDescent="0.3">
      <c r="A43" s="5">
        <f t="shared" si="10"/>
        <v>205001</v>
      </c>
      <c r="B43" s="5">
        <f t="shared" si="11"/>
        <v>210000</v>
      </c>
      <c r="C43" s="12">
        <v>0</v>
      </c>
      <c r="E43" s="3">
        <v>0</v>
      </c>
      <c r="F43" s="3">
        <v>0</v>
      </c>
      <c r="G43" s="6">
        <v>0</v>
      </c>
      <c r="H43" s="5">
        <f t="shared" si="1"/>
        <v>23500</v>
      </c>
      <c r="I43" s="5">
        <f t="shared" si="2"/>
        <v>23500</v>
      </c>
      <c r="L43" s="5">
        <f t="shared" si="3"/>
        <v>233500</v>
      </c>
      <c r="M43" s="5">
        <f t="shared" si="4"/>
        <v>248404.25531914894</v>
      </c>
      <c r="N43" s="8">
        <f t="shared" si="5"/>
        <v>23500</v>
      </c>
      <c r="O43" s="9">
        <f t="shared" si="6"/>
        <v>9.4603854389721631E-2</v>
      </c>
      <c r="P43" s="5">
        <f t="shared" si="7"/>
        <v>268390.80459770118</v>
      </c>
      <c r="Q43" s="8">
        <f t="shared" si="8"/>
        <v>23500.000000000029</v>
      </c>
      <c r="R43" s="9">
        <f t="shared" si="9"/>
        <v>8.7558886509636072E-2</v>
      </c>
    </row>
    <row r="44" spans="1:18" ht="17.25" x14ac:dyDescent="0.3">
      <c r="A44" s="5">
        <f t="shared" si="10"/>
        <v>210001</v>
      </c>
      <c r="B44" s="5">
        <f t="shared" si="11"/>
        <v>215000</v>
      </c>
      <c r="C44" s="12">
        <v>0</v>
      </c>
      <c r="E44" s="3">
        <v>0</v>
      </c>
      <c r="F44" s="3">
        <v>0</v>
      </c>
      <c r="G44" s="6">
        <v>0</v>
      </c>
      <c r="H44" s="5">
        <f t="shared" si="1"/>
        <v>24000</v>
      </c>
      <c r="I44" s="5">
        <f t="shared" si="2"/>
        <v>24000</v>
      </c>
      <c r="L44" s="5">
        <f t="shared" si="3"/>
        <v>239000</v>
      </c>
      <c r="M44" s="5">
        <f t="shared" si="4"/>
        <v>254255.31914893619</v>
      </c>
      <c r="N44" s="8">
        <f t="shared" si="5"/>
        <v>24000</v>
      </c>
      <c r="O44" s="9">
        <f t="shared" si="6"/>
        <v>9.4393305439330541E-2</v>
      </c>
      <c r="P44" s="5">
        <f t="shared" si="7"/>
        <v>274712.64367816091</v>
      </c>
      <c r="Q44" s="8">
        <f t="shared" si="8"/>
        <v>24000</v>
      </c>
      <c r="R44" s="9">
        <f t="shared" si="9"/>
        <v>8.7364016736401678E-2</v>
      </c>
    </row>
    <row r="45" spans="1:18" ht="17.25" x14ac:dyDescent="0.3">
      <c r="A45" s="5">
        <f t="shared" si="10"/>
        <v>215001</v>
      </c>
      <c r="B45" s="5">
        <f t="shared" si="11"/>
        <v>220000</v>
      </c>
      <c r="C45" s="12">
        <v>0</v>
      </c>
      <c r="E45" s="3">
        <v>0</v>
      </c>
      <c r="F45" s="3">
        <v>0</v>
      </c>
      <c r="G45" s="6">
        <v>0</v>
      </c>
      <c r="H45" s="5">
        <f t="shared" si="1"/>
        <v>24500</v>
      </c>
      <c r="I45" s="5">
        <f t="shared" si="2"/>
        <v>24500</v>
      </c>
      <c r="L45" s="5">
        <f t="shared" si="3"/>
        <v>244500</v>
      </c>
      <c r="M45" s="5">
        <f t="shared" si="4"/>
        <v>260106.38297872341</v>
      </c>
      <c r="N45" s="8">
        <f t="shared" si="5"/>
        <v>24500</v>
      </c>
      <c r="O45" s="9">
        <f t="shared" si="6"/>
        <v>9.4192229038854797E-2</v>
      </c>
      <c r="P45" s="5">
        <f t="shared" si="7"/>
        <v>281034.4827586207</v>
      </c>
      <c r="Q45" s="8">
        <f t="shared" si="8"/>
        <v>24500</v>
      </c>
      <c r="R45" s="9">
        <f t="shared" si="9"/>
        <v>8.7177914110429452E-2</v>
      </c>
    </row>
    <row r="46" spans="1:18" ht="17.25" x14ac:dyDescent="0.3">
      <c r="A46" s="5">
        <f t="shared" si="10"/>
        <v>220001</v>
      </c>
      <c r="B46" s="5">
        <f t="shared" si="11"/>
        <v>225000</v>
      </c>
      <c r="C46" s="12">
        <v>0</v>
      </c>
      <c r="E46" s="3">
        <v>0</v>
      </c>
      <c r="F46" s="3">
        <v>0</v>
      </c>
      <c r="G46" s="6">
        <v>0</v>
      </c>
      <c r="H46" s="5">
        <f t="shared" si="1"/>
        <v>25000</v>
      </c>
      <c r="I46" s="5">
        <f t="shared" si="2"/>
        <v>25000</v>
      </c>
      <c r="L46" s="5">
        <f t="shared" si="3"/>
        <v>250000</v>
      </c>
      <c r="M46" s="5">
        <f t="shared" si="4"/>
        <v>265957.44680851063</v>
      </c>
      <c r="N46" s="8">
        <f t="shared" si="5"/>
        <v>24999.999999999971</v>
      </c>
      <c r="O46" s="9">
        <f t="shared" si="6"/>
        <v>9.3999999999999889E-2</v>
      </c>
      <c r="P46" s="5">
        <f t="shared" si="7"/>
        <v>287356.32183908048</v>
      </c>
      <c r="Q46" s="8">
        <f t="shared" si="8"/>
        <v>25000.000000000029</v>
      </c>
      <c r="R46" s="9">
        <f t="shared" si="9"/>
        <v>8.7000000000000091E-2</v>
      </c>
    </row>
    <row r="47" spans="1:18" ht="17.25" x14ac:dyDescent="0.3">
      <c r="A47" s="5">
        <f t="shared" si="10"/>
        <v>225001</v>
      </c>
      <c r="B47" s="5">
        <f t="shared" si="11"/>
        <v>230000</v>
      </c>
      <c r="C47" s="12">
        <v>0</v>
      </c>
      <c r="E47" s="3">
        <v>0</v>
      </c>
      <c r="F47" s="3">
        <v>0</v>
      </c>
      <c r="G47" s="6">
        <v>0</v>
      </c>
      <c r="H47" s="5">
        <f t="shared" si="1"/>
        <v>25500</v>
      </c>
      <c r="I47" s="5">
        <f t="shared" si="2"/>
        <v>25500</v>
      </c>
      <c r="L47" s="5">
        <f t="shared" si="3"/>
        <v>255500</v>
      </c>
      <c r="M47" s="5">
        <f t="shared" si="4"/>
        <v>271808.51063829788</v>
      </c>
      <c r="N47" s="8">
        <f t="shared" si="5"/>
        <v>25500</v>
      </c>
      <c r="O47" s="9">
        <f t="shared" si="6"/>
        <v>9.3816046966731889E-2</v>
      </c>
      <c r="P47" s="5">
        <f t="shared" si="7"/>
        <v>293678.16091954021</v>
      </c>
      <c r="Q47" s="8">
        <f t="shared" si="8"/>
        <v>25499.999999999971</v>
      </c>
      <c r="R47" s="9">
        <f t="shared" si="9"/>
        <v>8.682974559686879E-2</v>
      </c>
    </row>
    <row r="48" spans="1:18" ht="17.25" x14ac:dyDescent="0.3">
      <c r="A48" s="5">
        <f t="shared" si="10"/>
        <v>230001</v>
      </c>
      <c r="B48" s="5">
        <f t="shared" si="11"/>
        <v>235000</v>
      </c>
      <c r="C48" s="12">
        <v>0</v>
      </c>
      <c r="E48" s="3">
        <v>0</v>
      </c>
      <c r="F48" s="3">
        <v>0</v>
      </c>
      <c r="G48" s="6">
        <v>0</v>
      </c>
      <c r="H48" s="5">
        <f t="shared" si="1"/>
        <v>26000</v>
      </c>
      <c r="I48" s="5">
        <f t="shared" si="2"/>
        <v>26000</v>
      </c>
      <c r="L48" s="5">
        <f t="shared" si="3"/>
        <v>261000</v>
      </c>
      <c r="M48" s="5">
        <f t="shared" si="4"/>
        <v>277659.57446808513</v>
      </c>
      <c r="N48" s="8">
        <f t="shared" si="5"/>
        <v>26000</v>
      </c>
      <c r="O48" s="9">
        <f t="shared" si="6"/>
        <v>9.3639846743295008E-2</v>
      </c>
      <c r="P48" s="5">
        <f t="shared" si="7"/>
        <v>300000</v>
      </c>
      <c r="Q48" s="8">
        <f t="shared" si="8"/>
        <v>26000</v>
      </c>
      <c r="R48" s="9">
        <f t="shared" si="9"/>
        <v>8.666666666666667E-2</v>
      </c>
    </row>
    <row r="49" spans="1:18" ht="17.25" x14ac:dyDescent="0.3">
      <c r="A49" s="5">
        <f t="shared" si="10"/>
        <v>235001</v>
      </c>
      <c r="B49" s="5">
        <f t="shared" si="11"/>
        <v>240000</v>
      </c>
      <c r="C49" s="12">
        <v>0</v>
      </c>
      <c r="E49" s="3">
        <v>0</v>
      </c>
      <c r="F49" s="3">
        <v>0</v>
      </c>
      <c r="G49" s="6">
        <v>0</v>
      </c>
      <c r="H49" s="5">
        <f t="shared" si="1"/>
        <v>26500</v>
      </c>
      <c r="I49" s="5">
        <f t="shared" si="2"/>
        <v>26500</v>
      </c>
      <c r="L49" s="5">
        <f t="shared" si="3"/>
        <v>266500</v>
      </c>
      <c r="M49" s="5">
        <f t="shared" si="4"/>
        <v>283510.63829787239</v>
      </c>
      <c r="N49" s="8">
        <f t="shared" si="5"/>
        <v>26500</v>
      </c>
      <c r="O49" s="9">
        <f t="shared" si="6"/>
        <v>9.347091932457785E-2</v>
      </c>
      <c r="P49" s="5">
        <f t="shared" si="7"/>
        <v>306321.83908045979</v>
      </c>
      <c r="Q49" s="8">
        <f t="shared" si="8"/>
        <v>26500</v>
      </c>
      <c r="R49" s="9">
        <f t="shared" si="9"/>
        <v>8.6510318949343329E-2</v>
      </c>
    </row>
    <row r="50" spans="1:18" ht="17.25" x14ac:dyDescent="0.3">
      <c r="A50" s="5">
        <f t="shared" si="10"/>
        <v>240001</v>
      </c>
      <c r="B50" s="5">
        <f t="shared" si="11"/>
        <v>245000</v>
      </c>
      <c r="C50" s="12">
        <v>0</v>
      </c>
      <c r="E50" s="3">
        <v>0</v>
      </c>
      <c r="F50" s="3">
        <v>0</v>
      </c>
      <c r="G50" s="6">
        <v>0</v>
      </c>
      <c r="H50" s="5">
        <f t="shared" si="1"/>
        <v>27000</v>
      </c>
      <c r="I50" s="5">
        <f t="shared" si="2"/>
        <v>27000</v>
      </c>
      <c r="L50" s="5">
        <f t="shared" si="3"/>
        <v>272000</v>
      </c>
      <c r="M50" s="5">
        <f t="shared" si="4"/>
        <v>289361.70212765958</v>
      </c>
      <c r="N50" s="8">
        <f t="shared" si="5"/>
        <v>27000</v>
      </c>
      <c r="O50" s="9">
        <f t="shared" si="6"/>
        <v>9.3308823529411763E-2</v>
      </c>
      <c r="P50" s="5">
        <f t="shared" si="7"/>
        <v>312643.67816091952</v>
      </c>
      <c r="Q50" s="8">
        <f t="shared" si="8"/>
        <v>27000</v>
      </c>
      <c r="R50" s="9">
        <f t="shared" si="9"/>
        <v>8.6360294117647063E-2</v>
      </c>
    </row>
    <row r="51" spans="1:18" ht="17.25" x14ac:dyDescent="0.3">
      <c r="A51" s="5">
        <f t="shared" si="10"/>
        <v>245001</v>
      </c>
      <c r="B51" s="5">
        <f t="shared" si="11"/>
        <v>250000</v>
      </c>
      <c r="C51" s="12">
        <v>0</v>
      </c>
      <c r="E51" s="3">
        <v>0</v>
      </c>
      <c r="F51" s="3">
        <v>0</v>
      </c>
      <c r="G51" s="6">
        <v>0</v>
      </c>
      <c r="H51" s="5">
        <f t="shared" si="1"/>
        <v>27500</v>
      </c>
      <c r="I51" s="5">
        <f t="shared" si="2"/>
        <v>27500</v>
      </c>
      <c r="L51" s="5">
        <f t="shared" si="3"/>
        <v>277500</v>
      </c>
      <c r="M51" s="5">
        <f t="shared" si="4"/>
        <v>295212.76595744683</v>
      </c>
      <c r="N51" s="8">
        <f t="shared" si="5"/>
        <v>27500</v>
      </c>
      <c r="O51" s="9">
        <f t="shared" si="6"/>
        <v>9.3153153153153145E-2</v>
      </c>
      <c r="P51" s="5">
        <f t="shared" si="7"/>
        <v>318965.5172413793</v>
      </c>
      <c r="Q51" s="8">
        <f t="shared" si="8"/>
        <v>27500</v>
      </c>
      <c r="R51" s="9">
        <f t="shared" si="9"/>
        <v>8.6216216216216224E-2</v>
      </c>
    </row>
    <row r="52" spans="1:18" ht="17.25" x14ac:dyDescent="0.3">
      <c r="A52" s="5">
        <f t="shared" si="10"/>
        <v>250001</v>
      </c>
      <c r="B52" s="5">
        <f t="shared" si="11"/>
        <v>255000</v>
      </c>
      <c r="C52" s="12">
        <v>0</v>
      </c>
      <c r="E52" s="3">
        <v>0</v>
      </c>
      <c r="F52" s="3">
        <v>0</v>
      </c>
      <c r="G52" s="6">
        <v>0</v>
      </c>
      <c r="H52" s="5">
        <f t="shared" si="1"/>
        <v>28000</v>
      </c>
      <c r="I52" s="5">
        <f t="shared" si="2"/>
        <v>28000</v>
      </c>
      <c r="L52" s="5">
        <f t="shared" si="3"/>
        <v>283000</v>
      </c>
      <c r="M52" s="5">
        <f t="shared" si="4"/>
        <v>301063.82978723408</v>
      </c>
      <c r="N52" s="8">
        <f t="shared" si="5"/>
        <v>28000</v>
      </c>
      <c r="O52" s="9">
        <f t="shared" si="6"/>
        <v>9.3003533568904589E-2</v>
      </c>
      <c r="P52" s="5">
        <f t="shared" si="7"/>
        <v>325287.35632183909</v>
      </c>
      <c r="Q52" s="8">
        <f t="shared" si="8"/>
        <v>28000</v>
      </c>
      <c r="R52" s="9">
        <f t="shared" si="9"/>
        <v>8.6077738515901059E-2</v>
      </c>
    </row>
    <row r="53" spans="1:18" ht="17.25" x14ac:dyDescent="0.3">
      <c r="A53" s="5">
        <f t="shared" si="10"/>
        <v>255001</v>
      </c>
      <c r="B53" s="5">
        <f t="shared" si="11"/>
        <v>260000</v>
      </c>
      <c r="C53" s="12">
        <v>0</v>
      </c>
      <c r="E53" s="3">
        <v>0</v>
      </c>
      <c r="F53" s="3">
        <v>0</v>
      </c>
      <c r="G53" s="6">
        <v>0</v>
      </c>
      <c r="H53" s="5">
        <f t="shared" si="1"/>
        <v>28500</v>
      </c>
      <c r="I53" s="5">
        <f t="shared" si="2"/>
        <v>28500</v>
      </c>
      <c r="L53" s="5">
        <f t="shared" si="3"/>
        <v>288500</v>
      </c>
      <c r="M53" s="5">
        <f t="shared" si="4"/>
        <v>306914.89361702127</v>
      </c>
      <c r="N53" s="8">
        <f t="shared" si="5"/>
        <v>28500</v>
      </c>
      <c r="O53" s="9">
        <f t="shared" si="6"/>
        <v>9.2859618717504339E-2</v>
      </c>
      <c r="P53" s="5">
        <f t="shared" si="7"/>
        <v>331609.19540229888</v>
      </c>
      <c r="Q53" s="8">
        <f t="shared" si="8"/>
        <v>28500</v>
      </c>
      <c r="R53" s="9">
        <f t="shared" si="9"/>
        <v>8.5944540727902932E-2</v>
      </c>
    </row>
    <row r="54" spans="1:18" ht="17.25" x14ac:dyDescent="0.3">
      <c r="A54" s="5">
        <f t="shared" si="10"/>
        <v>260001</v>
      </c>
      <c r="B54" s="5">
        <f t="shared" si="11"/>
        <v>265000</v>
      </c>
      <c r="C54" s="12">
        <v>0</v>
      </c>
      <c r="E54" s="3">
        <v>0</v>
      </c>
      <c r="F54" s="3">
        <v>0</v>
      </c>
      <c r="G54" s="6">
        <v>0</v>
      </c>
      <c r="H54" s="5">
        <f t="shared" si="1"/>
        <v>29000</v>
      </c>
      <c r="I54" s="5">
        <f t="shared" si="2"/>
        <v>29000</v>
      </c>
      <c r="L54" s="5">
        <f t="shared" si="3"/>
        <v>294000</v>
      </c>
      <c r="M54" s="5">
        <f t="shared" si="4"/>
        <v>312765.95744680852</v>
      </c>
      <c r="N54" s="8">
        <f t="shared" si="5"/>
        <v>29000</v>
      </c>
      <c r="O54" s="9">
        <f t="shared" si="6"/>
        <v>9.2721088435374147E-2</v>
      </c>
      <c r="P54" s="5">
        <f t="shared" si="7"/>
        <v>337931.03448275861</v>
      </c>
      <c r="Q54" s="8">
        <f t="shared" si="8"/>
        <v>29000</v>
      </c>
      <c r="R54" s="9">
        <f t="shared" si="9"/>
        <v>8.5816326530612247E-2</v>
      </c>
    </row>
    <row r="55" spans="1:18" ht="17.25" x14ac:dyDescent="0.3">
      <c r="A55" s="5">
        <f t="shared" si="10"/>
        <v>265001</v>
      </c>
      <c r="B55" s="5">
        <f t="shared" si="11"/>
        <v>270000</v>
      </c>
      <c r="C55" s="12">
        <v>0</v>
      </c>
      <c r="E55" s="3">
        <v>0</v>
      </c>
      <c r="F55" s="3">
        <v>0</v>
      </c>
      <c r="G55" s="6">
        <v>0</v>
      </c>
      <c r="H55" s="5">
        <f t="shared" si="1"/>
        <v>29500</v>
      </c>
      <c r="I55" s="5">
        <f t="shared" si="2"/>
        <v>29500</v>
      </c>
      <c r="L55" s="5">
        <f t="shared" si="3"/>
        <v>299500</v>
      </c>
      <c r="M55" s="5">
        <f t="shared" si="4"/>
        <v>318617.02127659577</v>
      </c>
      <c r="N55" s="8">
        <f t="shared" si="5"/>
        <v>29500</v>
      </c>
      <c r="O55" s="9">
        <f t="shared" si="6"/>
        <v>9.258764607679465E-2</v>
      </c>
      <c r="P55" s="5">
        <f t="shared" si="7"/>
        <v>344252.8735632184</v>
      </c>
      <c r="Q55" s="8">
        <f t="shared" si="8"/>
        <v>29500</v>
      </c>
      <c r="R55" s="9">
        <f t="shared" si="9"/>
        <v>8.5692821368948249E-2</v>
      </c>
    </row>
    <row r="56" spans="1:18" ht="17.25" x14ac:dyDescent="0.3">
      <c r="A56" s="5">
        <f t="shared" si="10"/>
        <v>270001</v>
      </c>
      <c r="B56" s="5">
        <f t="shared" si="11"/>
        <v>275000</v>
      </c>
      <c r="C56" s="12">
        <v>0</v>
      </c>
      <c r="E56" s="3">
        <v>0</v>
      </c>
      <c r="F56" s="3">
        <v>0</v>
      </c>
      <c r="G56" s="6">
        <v>0</v>
      </c>
      <c r="H56" s="5">
        <f t="shared" si="1"/>
        <v>30000</v>
      </c>
      <c r="I56" s="5">
        <f t="shared" si="2"/>
        <v>30000</v>
      </c>
      <c r="L56" s="5">
        <f t="shared" si="3"/>
        <v>305000</v>
      </c>
      <c r="M56" s="5">
        <f t="shared" si="4"/>
        <v>324468.08510638302</v>
      </c>
      <c r="N56" s="8">
        <f t="shared" si="5"/>
        <v>30000</v>
      </c>
      <c r="O56" s="9">
        <f t="shared" si="6"/>
        <v>9.2459016393442617E-2</v>
      </c>
      <c r="P56" s="5">
        <f t="shared" si="7"/>
        <v>350574.71264367818</v>
      </c>
      <c r="Q56" s="8">
        <f t="shared" si="8"/>
        <v>30000</v>
      </c>
      <c r="R56" s="9">
        <f t="shared" si="9"/>
        <v>8.5573770491803272E-2</v>
      </c>
    </row>
    <row r="57" spans="1:18" ht="17.25" x14ac:dyDescent="0.3">
      <c r="A57" s="5">
        <f t="shared" si="10"/>
        <v>275001</v>
      </c>
      <c r="B57" s="5">
        <f t="shared" si="11"/>
        <v>280000</v>
      </c>
      <c r="C57" s="12">
        <v>0</v>
      </c>
      <c r="E57" s="3">
        <v>0</v>
      </c>
      <c r="F57" s="3">
        <v>0</v>
      </c>
      <c r="G57" s="6">
        <v>0</v>
      </c>
      <c r="H57" s="5">
        <f t="shared" si="1"/>
        <v>30500</v>
      </c>
      <c r="I57" s="5">
        <f t="shared" si="2"/>
        <v>30500</v>
      </c>
      <c r="L57" s="5">
        <f t="shared" si="3"/>
        <v>310500</v>
      </c>
      <c r="M57" s="5">
        <f t="shared" si="4"/>
        <v>330319.14893617021</v>
      </c>
      <c r="N57" s="8">
        <f t="shared" si="5"/>
        <v>30500</v>
      </c>
      <c r="O57" s="9">
        <f t="shared" si="6"/>
        <v>9.233494363929147E-2</v>
      </c>
      <c r="P57" s="5">
        <f t="shared" si="7"/>
        <v>356896.55172413791</v>
      </c>
      <c r="Q57" s="8">
        <f t="shared" si="8"/>
        <v>30500</v>
      </c>
      <c r="R57" s="9">
        <f t="shared" si="9"/>
        <v>8.545893719806763E-2</v>
      </c>
    </row>
    <row r="58" spans="1:18" ht="17.25" x14ac:dyDescent="0.3">
      <c r="A58" s="5">
        <f t="shared" si="10"/>
        <v>280001</v>
      </c>
      <c r="B58" s="5">
        <f t="shared" si="11"/>
        <v>285000</v>
      </c>
      <c r="C58" s="12">
        <v>0</v>
      </c>
      <c r="E58" s="3">
        <v>0</v>
      </c>
      <c r="F58" s="3">
        <v>0</v>
      </c>
      <c r="G58" s="6">
        <v>0</v>
      </c>
      <c r="H58" s="5">
        <f t="shared" si="1"/>
        <v>31000</v>
      </c>
      <c r="I58" s="5">
        <f t="shared" si="2"/>
        <v>31000</v>
      </c>
      <c r="L58" s="5">
        <f t="shared" si="3"/>
        <v>316000</v>
      </c>
      <c r="M58" s="5">
        <f t="shared" si="4"/>
        <v>336170.21276595746</v>
      </c>
      <c r="N58" s="8">
        <f t="shared" si="5"/>
        <v>31000</v>
      </c>
      <c r="O58" s="9">
        <f t="shared" si="6"/>
        <v>9.2215189873417716E-2</v>
      </c>
      <c r="P58" s="5">
        <f t="shared" si="7"/>
        <v>363218.3908045977</v>
      </c>
      <c r="Q58" s="8">
        <f t="shared" si="8"/>
        <v>31000</v>
      </c>
      <c r="R58" s="9">
        <f t="shared" si="9"/>
        <v>8.534810126582279E-2</v>
      </c>
    </row>
    <row r="59" spans="1:18" ht="17.25" x14ac:dyDescent="0.3">
      <c r="A59" s="5">
        <f t="shared" si="10"/>
        <v>285001</v>
      </c>
      <c r="B59" s="5">
        <f t="shared" si="11"/>
        <v>290000</v>
      </c>
      <c r="C59" s="12">
        <v>0</v>
      </c>
      <c r="E59" s="3">
        <v>0</v>
      </c>
      <c r="F59" s="3">
        <v>0</v>
      </c>
      <c r="G59" s="6">
        <v>0</v>
      </c>
      <c r="H59" s="5">
        <f t="shared" si="1"/>
        <v>31500</v>
      </c>
      <c r="I59" s="5">
        <f t="shared" si="2"/>
        <v>31500</v>
      </c>
      <c r="L59" s="5">
        <f t="shared" si="3"/>
        <v>321500</v>
      </c>
      <c r="M59" s="5">
        <f t="shared" si="4"/>
        <v>342021.27659574471</v>
      </c>
      <c r="N59" s="8">
        <f t="shared" si="5"/>
        <v>31500</v>
      </c>
      <c r="O59" s="9">
        <f t="shared" si="6"/>
        <v>9.2099533437013992E-2</v>
      </c>
      <c r="P59" s="5">
        <f t="shared" si="7"/>
        <v>369540.22988505749</v>
      </c>
      <c r="Q59" s="8">
        <f t="shared" si="8"/>
        <v>31500</v>
      </c>
      <c r="R59" s="9">
        <f t="shared" si="9"/>
        <v>8.524105754276827E-2</v>
      </c>
    </row>
    <row r="60" spans="1:18" ht="17.25" x14ac:dyDescent="0.3">
      <c r="A60" s="5">
        <f t="shared" si="10"/>
        <v>290001</v>
      </c>
      <c r="B60" s="5">
        <f t="shared" si="11"/>
        <v>295000</v>
      </c>
      <c r="C60" s="12">
        <v>0</v>
      </c>
      <c r="E60" s="3">
        <v>0</v>
      </c>
      <c r="F60" s="3">
        <v>0</v>
      </c>
      <c r="G60" s="6">
        <v>0</v>
      </c>
      <c r="H60" s="5">
        <f t="shared" si="1"/>
        <v>32000</v>
      </c>
      <c r="I60" s="5">
        <f t="shared" si="2"/>
        <v>32000</v>
      </c>
      <c r="L60" s="5">
        <f t="shared" si="3"/>
        <v>327000</v>
      </c>
      <c r="M60" s="5">
        <f t="shared" si="4"/>
        <v>347872.34042553196</v>
      </c>
      <c r="N60" s="8">
        <f t="shared" si="5"/>
        <v>32000</v>
      </c>
      <c r="O60" s="9">
        <f t="shared" si="6"/>
        <v>9.1987767584097851E-2</v>
      </c>
      <c r="P60" s="5">
        <f t="shared" si="7"/>
        <v>375862.06896551722</v>
      </c>
      <c r="Q60" s="8">
        <f t="shared" si="8"/>
        <v>32000</v>
      </c>
      <c r="R60" s="9">
        <f t="shared" si="9"/>
        <v>8.513761467889909E-2</v>
      </c>
    </row>
    <row r="61" spans="1:18" ht="17.25" x14ac:dyDescent="0.3">
      <c r="A61" s="5">
        <f t="shared" si="10"/>
        <v>295001</v>
      </c>
      <c r="B61" s="5">
        <f t="shared" si="11"/>
        <v>300000</v>
      </c>
      <c r="C61" s="12">
        <v>0</v>
      </c>
      <c r="E61" s="3">
        <v>0</v>
      </c>
      <c r="F61" s="3">
        <v>0</v>
      </c>
      <c r="G61" s="6">
        <v>0</v>
      </c>
      <c r="H61" s="5">
        <f t="shared" si="1"/>
        <v>32500</v>
      </c>
      <c r="I61" s="5">
        <f t="shared" si="2"/>
        <v>32500</v>
      </c>
      <c r="L61" s="5">
        <f t="shared" si="3"/>
        <v>332500</v>
      </c>
      <c r="M61" s="5">
        <f t="shared" si="4"/>
        <v>353723.40425531915</v>
      </c>
      <c r="N61" s="8">
        <f t="shared" si="5"/>
        <v>32500</v>
      </c>
      <c r="O61" s="9">
        <f t="shared" si="6"/>
        <v>9.1879699248120297E-2</v>
      </c>
      <c r="P61" s="5">
        <f t="shared" si="7"/>
        <v>382183.908045977</v>
      </c>
      <c r="Q61" s="8">
        <f t="shared" si="8"/>
        <v>32500</v>
      </c>
      <c r="R61" s="9">
        <f t="shared" si="9"/>
        <v>8.5037593984962412E-2</v>
      </c>
    </row>
    <row r="62" spans="1:18" ht="17.25" x14ac:dyDescent="0.3">
      <c r="A62" s="5">
        <f t="shared" si="10"/>
        <v>300001</v>
      </c>
      <c r="B62" s="5">
        <f t="shared" si="11"/>
        <v>305000</v>
      </c>
      <c r="C62" s="12">
        <v>0</v>
      </c>
      <c r="E62" s="3">
        <v>0</v>
      </c>
      <c r="F62" s="3">
        <v>0</v>
      </c>
      <c r="G62" s="6">
        <v>0</v>
      </c>
      <c r="H62" s="5">
        <f t="shared" si="1"/>
        <v>33000</v>
      </c>
      <c r="I62" s="5">
        <f t="shared" si="2"/>
        <v>33000</v>
      </c>
      <c r="L62" s="5">
        <f t="shared" si="3"/>
        <v>338000</v>
      </c>
      <c r="M62" s="5">
        <f t="shared" si="4"/>
        <v>359574.4680851064</v>
      </c>
      <c r="N62" s="8">
        <f t="shared" si="5"/>
        <v>33000</v>
      </c>
      <c r="O62" s="9">
        <f t="shared" si="6"/>
        <v>9.1775147928994077E-2</v>
      </c>
      <c r="P62" s="5">
        <f t="shared" si="7"/>
        <v>388505.74712643679</v>
      </c>
      <c r="Q62" s="8">
        <f t="shared" si="8"/>
        <v>33000</v>
      </c>
      <c r="R62" s="9">
        <f t="shared" si="9"/>
        <v>8.4940828402366858E-2</v>
      </c>
    </row>
    <row r="63" spans="1:18" ht="17.25" x14ac:dyDescent="0.3">
      <c r="A63" s="5">
        <f t="shared" si="10"/>
        <v>305001</v>
      </c>
      <c r="B63" s="5">
        <f t="shared" si="11"/>
        <v>310000</v>
      </c>
      <c r="C63" s="12">
        <v>0</v>
      </c>
      <c r="E63" s="3">
        <v>0</v>
      </c>
      <c r="F63" s="3">
        <v>0</v>
      </c>
      <c r="G63" s="6">
        <v>0</v>
      </c>
      <c r="H63" s="5">
        <f t="shared" si="1"/>
        <v>33500</v>
      </c>
      <c r="I63" s="5">
        <f t="shared" si="2"/>
        <v>33500</v>
      </c>
      <c r="L63" s="5">
        <f t="shared" si="3"/>
        <v>343500</v>
      </c>
      <c r="M63" s="5">
        <f t="shared" si="4"/>
        <v>365425.53191489365</v>
      </c>
      <c r="N63" s="8">
        <f t="shared" si="5"/>
        <v>33500</v>
      </c>
      <c r="O63" s="9">
        <f t="shared" si="6"/>
        <v>9.1673944687045109E-2</v>
      </c>
      <c r="P63" s="5">
        <f t="shared" si="7"/>
        <v>394827.58620689658</v>
      </c>
      <c r="Q63" s="8">
        <f t="shared" si="8"/>
        <v>33500</v>
      </c>
      <c r="R63" s="9">
        <f t="shared" si="9"/>
        <v>8.4847161572052396E-2</v>
      </c>
    </row>
    <row r="64" spans="1:18" ht="17.25" x14ac:dyDescent="0.3">
      <c r="A64" s="5">
        <f t="shared" si="10"/>
        <v>310001</v>
      </c>
      <c r="B64" s="5">
        <f t="shared" si="11"/>
        <v>315000</v>
      </c>
      <c r="C64" s="12">
        <v>0</v>
      </c>
      <c r="E64" s="3">
        <v>0</v>
      </c>
      <c r="F64" s="3">
        <v>0</v>
      </c>
      <c r="G64" s="6">
        <v>0</v>
      </c>
      <c r="H64" s="5">
        <f t="shared" si="1"/>
        <v>34000</v>
      </c>
      <c r="I64" s="5">
        <f t="shared" si="2"/>
        <v>34000</v>
      </c>
      <c r="L64" s="5">
        <f t="shared" si="3"/>
        <v>349000</v>
      </c>
      <c r="M64" s="5">
        <f t="shared" si="4"/>
        <v>371276.59574468085</v>
      </c>
      <c r="N64" s="8">
        <f t="shared" si="5"/>
        <v>34000</v>
      </c>
      <c r="O64" s="9">
        <f t="shared" si="6"/>
        <v>9.1575931232091692E-2</v>
      </c>
      <c r="P64" s="5">
        <f t="shared" si="7"/>
        <v>401149.42528735631</v>
      </c>
      <c r="Q64" s="8">
        <f t="shared" si="8"/>
        <v>34000</v>
      </c>
      <c r="R64" s="9">
        <f t="shared" si="9"/>
        <v>8.4756446991404014E-2</v>
      </c>
    </row>
    <row r="65" spans="1:18" ht="17.25" x14ac:dyDescent="0.3">
      <c r="A65" s="5">
        <f t="shared" si="10"/>
        <v>315001</v>
      </c>
      <c r="B65" s="5">
        <f t="shared" si="11"/>
        <v>320000</v>
      </c>
      <c r="C65" s="12">
        <v>0</v>
      </c>
      <c r="E65" s="3">
        <v>0</v>
      </c>
      <c r="F65" s="3">
        <v>0</v>
      </c>
      <c r="G65" s="6">
        <v>0</v>
      </c>
      <c r="H65" s="5">
        <f t="shared" si="1"/>
        <v>34500</v>
      </c>
      <c r="I65" s="5">
        <f t="shared" si="2"/>
        <v>34500</v>
      </c>
      <c r="L65" s="5">
        <f t="shared" si="3"/>
        <v>354500</v>
      </c>
      <c r="M65" s="5">
        <f t="shared" si="4"/>
        <v>377127.6595744681</v>
      </c>
      <c r="N65" s="8">
        <f t="shared" si="5"/>
        <v>34500</v>
      </c>
      <c r="O65" s="9">
        <f t="shared" si="6"/>
        <v>9.1480959097320166E-2</v>
      </c>
      <c r="P65" s="5">
        <f t="shared" si="7"/>
        <v>407471.2643678161</v>
      </c>
      <c r="Q65" s="8">
        <f t="shared" si="8"/>
        <v>34500</v>
      </c>
      <c r="R65" s="9">
        <f t="shared" si="9"/>
        <v>8.4668547249647383E-2</v>
      </c>
    </row>
    <row r="66" spans="1:18" ht="17.25" x14ac:dyDescent="0.3">
      <c r="A66" s="5">
        <f t="shared" si="10"/>
        <v>320001</v>
      </c>
      <c r="B66" s="5">
        <f t="shared" si="11"/>
        <v>325000</v>
      </c>
      <c r="C66" s="12">
        <v>0</v>
      </c>
      <c r="E66" s="3">
        <v>0</v>
      </c>
      <c r="F66" s="3">
        <v>0</v>
      </c>
      <c r="G66" s="6">
        <v>0</v>
      </c>
      <c r="H66" s="5">
        <f t="shared" si="1"/>
        <v>35000</v>
      </c>
      <c r="I66" s="5">
        <f t="shared" si="2"/>
        <v>35000</v>
      </c>
      <c r="L66" s="5">
        <f t="shared" si="3"/>
        <v>360000</v>
      </c>
      <c r="M66" s="5">
        <f t="shared" si="4"/>
        <v>382978.72340425535</v>
      </c>
      <c r="N66" s="8">
        <f t="shared" si="5"/>
        <v>35000</v>
      </c>
      <c r="O66" s="9">
        <f t="shared" si="6"/>
        <v>9.1388888888888881E-2</v>
      </c>
      <c r="P66" s="5">
        <f t="shared" si="7"/>
        <v>413793.10344827588</v>
      </c>
      <c r="Q66" s="8">
        <f t="shared" si="8"/>
        <v>35000</v>
      </c>
      <c r="R66" s="9">
        <f t="shared" si="9"/>
        <v>8.458333333333333E-2</v>
      </c>
    </row>
    <row r="67" spans="1:18" ht="17.25" x14ac:dyDescent="0.3">
      <c r="A67" s="5">
        <f t="shared" si="10"/>
        <v>325001</v>
      </c>
      <c r="B67" s="5">
        <f t="shared" si="11"/>
        <v>330000</v>
      </c>
      <c r="C67" s="12">
        <v>0</v>
      </c>
      <c r="E67" s="3">
        <v>0</v>
      </c>
      <c r="F67" s="3">
        <v>0</v>
      </c>
      <c r="G67" s="6">
        <v>0</v>
      </c>
      <c r="H67" s="5">
        <f t="shared" ref="H67:H130" si="12">$K$3+$K$4*((B67-$B$2)/5000)</f>
        <v>35500</v>
      </c>
      <c r="I67" s="5">
        <f t="shared" ref="I67:I130" si="13">B67*G67+H67</f>
        <v>35500</v>
      </c>
      <c r="L67" s="5">
        <f t="shared" ref="L67:L130" si="14">B67+C67+E67+F67+I67</f>
        <v>365500</v>
      </c>
      <c r="M67" s="5">
        <f t="shared" ref="M67:M130" si="15">L67/(1-$K$5)</f>
        <v>388829.7872340426</v>
      </c>
      <c r="N67" s="8">
        <f t="shared" ref="N67:N130" si="16">M67*(1-$K$5)-B67-C67-E67-F67</f>
        <v>35500</v>
      </c>
      <c r="O67" s="9">
        <f t="shared" ref="O67:O130" si="17">N67/M67</f>
        <v>9.129958960328316E-2</v>
      </c>
      <c r="P67" s="5">
        <f t="shared" ref="P67:P130" si="18">L67/(1-$K$6)</f>
        <v>420114.94252873561</v>
      </c>
      <c r="Q67" s="8">
        <f t="shared" ref="Q67:Q130" si="19">P67*(1-$K$6)-B67-C67-E67-F67</f>
        <v>35500</v>
      </c>
      <c r="R67" s="9">
        <f t="shared" ref="R67:R130" si="20">Q67/P67</f>
        <v>8.450068399452805E-2</v>
      </c>
    </row>
    <row r="68" spans="1:18" ht="17.25" x14ac:dyDescent="0.3">
      <c r="A68" s="5">
        <f t="shared" ref="A68:A131" si="21">B67+1</f>
        <v>330001</v>
      </c>
      <c r="B68" s="5">
        <f t="shared" ref="B68:B131" si="22">B67+5000</f>
        <v>335000</v>
      </c>
      <c r="C68" s="12">
        <v>0</v>
      </c>
      <c r="E68" s="3">
        <v>0</v>
      </c>
      <c r="F68" s="3">
        <v>0</v>
      </c>
      <c r="G68" s="6">
        <v>0</v>
      </c>
      <c r="H68" s="5">
        <f t="shared" si="12"/>
        <v>36000</v>
      </c>
      <c r="I68" s="5">
        <f t="shared" si="13"/>
        <v>36000</v>
      </c>
      <c r="L68" s="5">
        <f t="shared" si="14"/>
        <v>371000</v>
      </c>
      <c r="M68" s="5">
        <f t="shared" si="15"/>
        <v>394680.85106382979</v>
      </c>
      <c r="N68" s="8">
        <f t="shared" si="16"/>
        <v>36000</v>
      </c>
      <c r="O68" s="9">
        <f t="shared" si="17"/>
        <v>9.1212938005390834E-2</v>
      </c>
      <c r="P68" s="5">
        <f t="shared" si="18"/>
        <v>426436.7816091954</v>
      </c>
      <c r="Q68" s="8">
        <f t="shared" si="19"/>
        <v>36000</v>
      </c>
      <c r="R68" s="9">
        <f t="shared" si="20"/>
        <v>8.4420485175202162E-2</v>
      </c>
    </row>
    <row r="69" spans="1:18" ht="17.25" x14ac:dyDescent="0.3">
      <c r="A69" s="5">
        <f t="shared" si="21"/>
        <v>335001</v>
      </c>
      <c r="B69" s="5">
        <f t="shared" si="22"/>
        <v>340000</v>
      </c>
      <c r="C69" s="12">
        <v>0</v>
      </c>
      <c r="E69" s="3">
        <v>0</v>
      </c>
      <c r="F69" s="3">
        <v>0</v>
      </c>
      <c r="G69" s="6">
        <v>0</v>
      </c>
      <c r="H69" s="5">
        <f t="shared" si="12"/>
        <v>36500</v>
      </c>
      <c r="I69" s="5">
        <f t="shared" si="13"/>
        <v>36500</v>
      </c>
      <c r="L69" s="5">
        <f t="shared" si="14"/>
        <v>376500</v>
      </c>
      <c r="M69" s="5">
        <f t="shared" si="15"/>
        <v>400531.91489361704</v>
      </c>
      <c r="N69" s="8">
        <f t="shared" si="16"/>
        <v>36500</v>
      </c>
      <c r="O69" s="9">
        <f t="shared" si="17"/>
        <v>9.1128818061088968E-2</v>
      </c>
      <c r="P69" s="5">
        <f t="shared" si="18"/>
        <v>432758.62068965519</v>
      </c>
      <c r="Q69" s="8">
        <f t="shared" si="19"/>
        <v>36500</v>
      </c>
      <c r="R69" s="9">
        <f t="shared" si="20"/>
        <v>8.4342629482071704E-2</v>
      </c>
    </row>
    <row r="70" spans="1:18" ht="17.25" x14ac:dyDescent="0.3">
      <c r="A70" s="5">
        <f t="shared" si="21"/>
        <v>340001</v>
      </c>
      <c r="B70" s="5">
        <f t="shared" si="22"/>
        <v>345000</v>
      </c>
      <c r="C70" s="12">
        <v>0</v>
      </c>
      <c r="E70" s="3">
        <v>0</v>
      </c>
      <c r="F70" s="3">
        <v>0</v>
      </c>
      <c r="G70" s="6">
        <v>0</v>
      </c>
      <c r="H70" s="5">
        <f t="shared" si="12"/>
        <v>37000</v>
      </c>
      <c r="I70" s="5">
        <f t="shared" si="13"/>
        <v>37000</v>
      </c>
      <c r="L70" s="5">
        <f t="shared" si="14"/>
        <v>382000</v>
      </c>
      <c r="M70" s="5">
        <f t="shared" si="15"/>
        <v>406382.97872340429</v>
      </c>
      <c r="N70" s="8">
        <f t="shared" si="16"/>
        <v>37000</v>
      </c>
      <c r="O70" s="9">
        <f t="shared" si="17"/>
        <v>9.104712041884816E-2</v>
      </c>
      <c r="P70" s="5">
        <f t="shared" si="18"/>
        <v>439080.45977011492</v>
      </c>
      <c r="Q70" s="8">
        <f t="shared" si="19"/>
        <v>37000</v>
      </c>
      <c r="R70" s="9">
        <f t="shared" si="20"/>
        <v>8.4267015706806281E-2</v>
      </c>
    </row>
    <row r="71" spans="1:18" ht="17.25" x14ac:dyDescent="0.3">
      <c r="A71" s="5">
        <f t="shared" si="21"/>
        <v>345001</v>
      </c>
      <c r="B71" s="5">
        <f t="shared" si="22"/>
        <v>350000</v>
      </c>
      <c r="C71" s="12">
        <v>0</v>
      </c>
      <c r="E71" s="3">
        <v>0</v>
      </c>
      <c r="F71" s="3">
        <v>0</v>
      </c>
      <c r="G71" s="6">
        <v>0</v>
      </c>
      <c r="H71" s="5">
        <f t="shared" si="12"/>
        <v>37500</v>
      </c>
      <c r="I71" s="5">
        <f t="shared" si="13"/>
        <v>37500</v>
      </c>
      <c r="L71" s="5">
        <f t="shared" si="14"/>
        <v>387500</v>
      </c>
      <c r="M71" s="5">
        <f t="shared" si="15"/>
        <v>412234.04255319154</v>
      </c>
      <c r="N71" s="8">
        <f t="shared" si="16"/>
        <v>37500</v>
      </c>
      <c r="O71" s="9">
        <f t="shared" si="17"/>
        <v>9.0967741935483862E-2</v>
      </c>
      <c r="P71" s="5">
        <f t="shared" si="18"/>
        <v>445402.29885057471</v>
      </c>
      <c r="Q71" s="8">
        <f t="shared" si="19"/>
        <v>37500</v>
      </c>
      <c r="R71" s="9">
        <f t="shared" si="20"/>
        <v>8.4193548387096778E-2</v>
      </c>
    </row>
    <row r="72" spans="1:18" ht="17.25" x14ac:dyDescent="0.3">
      <c r="A72" s="5">
        <f t="shared" si="21"/>
        <v>350001</v>
      </c>
      <c r="B72" s="5">
        <f t="shared" si="22"/>
        <v>355000</v>
      </c>
      <c r="C72" s="12">
        <v>0</v>
      </c>
      <c r="E72" s="3">
        <v>0</v>
      </c>
      <c r="F72" s="3">
        <v>0</v>
      </c>
      <c r="G72" s="6">
        <v>0</v>
      </c>
      <c r="H72" s="5">
        <f t="shared" si="12"/>
        <v>38000</v>
      </c>
      <c r="I72" s="5">
        <f t="shared" si="13"/>
        <v>38000</v>
      </c>
      <c r="L72" s="5">
        <f t="shared" si="14"/>
        <v>393000</v>
      </c>
      <c r="M72" s="5">
        <f t="shared" si="15"/>
        <v>418085.10638297873</v>
      </c>
      <c r="N72" s="8">
        <f t="shared" si="16"/>
        <v>38000</v>
      </c>
      <c r="O72" s="9">
        <f t="shared" si="17"/>
        <v>9.0890585241730285E-2</v>
      </c>
      <c r="P72" s="5">
        <f t="shared" si="18"/>
        <v>451724.13793103449</v>
      </c>
      <c r="Q72" s="8">
        <f t="shared" si="19"/>
        <v>38000</v>
      </c>
      <c r="R72" s="9">
        <f t="shared" si="20"/>
        <v>8.4122137404580147E-2</v>
      </c>
    </row>
    <row r="73" spans="1:18" ht="17.25" x14ac:dyDescent="0.3">
      <c r="A73" s="5">
        <f t="shared" si="21"/>
        <v>355001</v>
      </c>
      <c r="B73" s="5">
        <f t="shared" si="22"/>
        <v>360000</v>
      </c>
      <c r="C73" s="12">
        <v>0</v>
      </c>
      <c r="E73" s="3">
        <v>0</v>
      </c>
      <c r="F73" s="3">
        <v>0</v>
      </c>
      <c r="G73" s="6">
        <v>0</v>
      </c>
      <c r="H73" s="5">
        <f t="shared" si="12"/>
        <v>38500</v>
      </c>
      <c r="I73" s="5">
        <f t="shared" si="13"/>
        <v>38500</v>
      </c>
      <c r="L73" s="5">
        <f t="shared" si="14"/>
        <v>398500</v>
      </c>
      <c r="M73" s="5">
        <f t="shared" si="15"/>
        <v>423936.17021276598</v>
      </c>
      <c r="N73" s="8">
        <f t="shared" si="16"/>
        <v>38500</v>
      </c>
      <c r="O73" s="9">
        <f t="shared" si="17"/>
        <v>9.081555834378921E-2</v>
      </c>
      <c r="P73" s="5">
        <f t="shared" si="18"/>
        <v>458045.97701149428</v>
      </c>
      <c r="Q73" s="8">
        <f t="shared" si="19"/>
        <v>38500</v>
      </c>
      <c r="R73" s="9">
        <f t="shared" si="20"/>
        <v>8.4052697616060226E-2</v>
      </c>
    </row>
    <row r="74" spans="1:18" ht="17.25" x14ac:dyDescent="0.3">
      <c r="A74" s="5">
        <f t="shared" si="21"/>
        <v>360001</v>
      </c>
      <c r="B74" s="5">
        <f t="shared" si="22"/>
        <v>365000</v>
      </c>
      <c r="C74" s="12">
        <v>0</v>
      </c>
      <c r="E74" s="3">
        <v>0</v>
      </c>
      <c r="F74" s="3">
        <v>0</v>
      </c>
      <c r="G74" s="6">
        <v>0</v>
      </c>
      <c r="H74" s="5">
        <f t="shared" si="12"/>
        <v>39000</v>
      </c>
      <c r="I74" s="5">
        <f t="shared" si="13"/>
        <v>39000</v>
      </c>
      <c r="L74" s="5">
        <f t="shared" si="14"/>
        <v>404000</v>
      </c>
      <c r="M74" s="5">
        <f t="shared" si="15"/>
        <v>429787.23404255323</v>
      </c>
      <c r="N74" s="8">
        <f t="shared" si="16"/>
        <v>39000</v>
      </c>
      <c r="O74" s="9">
        <f t="shared" si="17"/>
        <v>9.074257425742574E-2</v>
      </c>
      <c r="P74" s="5">
        <f t="shared" si="18"/>
        <v>464367.81609195401</v>
      </c>
      <c r="Q74" s="8">
        <f t="shared" si="19"/>
        <v>39000</v>
      </c>
      <c r="R74" s="9">
        <f t="shared" si="20"/>
        <v>8.398514851485149E-2</v>
      </c>
    </row>
    <row r="75" spans="1:18" ht="17.25" x14ac:dyDescent="0.3">
      <c r="A75" s="5">
        <f t="shared" si="21"/>
        <v>365001</v>
      </c>
      <c r="B75" s="5">
        <f t="shared" si="22"/>
        <v>370000</v>
      </c>
      <c r="C75" s="12">
        <v>0</v>
      </c>
      <c r="E75" s="3">
        <v>0</v>
      </c>
      <c r="F75" s="3">
        <v>0</v>
      </c>
      <c r="G75" s="6">
        <v>0</v>
      </c>
      <c r="H75" s="5">
        <f t="shared" si="12"/>
        <v>39500</v>
      </c>
      <c r="I75" s="5">
        <f t="shared" si="13"/>
        <v>39500</v>
      </c>
      <c r="L75" s="5">
        <f t="shared" si="14"/>
        <v>409500</v>
      </c>
      <c r="M75" s="5">
        <f t="shared" si="15"/>
        <v>435638.29787234042</v>
      </c>
      <c r="N75" s="8">
        <f t="shared" si="16"/>
        <v>39500</v>
      </c>
      <c r="O75" s="9">
        <f t="shared" si="17"/>
        <v>9.0671550671550666E-2</v>
      </c>
      <c r="P75" s="5">
        <f t="shared" si="18"/>
        <v>470689.6551724138</v>
      </c>
      <c r="Q75" s="8">
        <f t="shared" si="19"/>
        <v>39500</v>
      </c>
      <c r="R75" s="9">
        <f t="shared" si="20"/>
        <v>8.3919413919413918E-2</v>
      </c>
    </row>
    <row r="76" spans="1:18" ht="17.25" x14ac:dyDescent="0.3">
      <c r="A76" s="5">
        <f t="shared" si="21"/>
        <v>370001</v>
      </c>
      <c r="B76" s="5">
        <f t="shared" si="22"/>
        <v>375000</v>
      </c>
      <c r="C76" s="12">
        <v>0</v>
      </c>
      <c r="E76" s="3">
        <v>0</v>
      </c>
      <c r="F76" s="3">
        <v>0</v>
      </c>
      <c r="G76" s="6">
        <v>0</v>
      </c>
      <c r="H76" s="5">
        <f t="shared" si="12"/>
        <v>40000</v>
      </c>
      <c r="I76" s="5">
        <f t="shared" si="13"/>
        <v>40000</v>
      </c>
      <c r="L76" s="5">
        <f t="shared" si="14"/>
        <v>415000</v>
      </c>
      <c r="M76" s="5">
        <f t="shared" si="15"/>
        <v>441489.36170212767</v>
      </c>
      <c r="N76" s="8">
        <f t="shared" si="16"/>
        <v>40000</v>
      </c>
      <c r="O76" s="9">
        <f t="shared" si="17"/>
        <v>9.0602409638554218E-2</v>
      </c>
      <c r="P76" s="5">
        <f t="shared" si="18"/>
        <v>477011.49425287358</v>
      </c>
      <c r="Q76" s="8">
        <f t="shared" si="19"/>
        <v>40000</v>
      </c>
      <c r="R76" s="9">
        <f t="shared" si="20"/>
        <v>8.3855421686746978E-2</v>
      </c>
    </row>
    <row r="77" spans="1:18" ht="17.25" x14ac:dyDescent="0.3">
      <c r="A77" s="5">
        <f t="shared" si="21"/>
        <v>375001</v>
      </c>
      <c r="B77" s="5">
        <f t="shared" si="22"/>
        <v>380000</v>
      </c>
      <c r="C77" s="12">
        <v>0</v>
      </c>
      <c r="E77" s="3">
        <v>0</v>
      </c>
      <c r="F77" s="3">
        <v>0</v>
      </c>
      <c r="G77" s="6">
        <v>0</v>
      </c>
      <c r="H77" s="5">
        <f t="shared" si="12"/>
        <v>40500</v>
      </c>
      <c r="I77" s="5">
        <f t="shared" si="13"/>
        <v>40500</v>
      </c>
      <c r="L77" s="5">
        <f t="shared" si="14"/>
        <v>420500</v>
      </c>
      <c r="M77" s="5">
        <f t="shared" si="15"/>
        <v>447340.42553191492</v>
      </c>
      <c r="N77" s="8">
        <f t="shared" si="16"/>
        <v>40500</v>
      </c>
      <c r="O77" s="9">
        <f t="shared" si="17"/>
        <v>9.0535077288941723E-2</v>
      </c>
      <c r="P77" s="5">
        <f t="shared" si="18"/>
        <v>483333.33333333331</v>
      </c>
      <c r="Q77" s="8">
        <f t="shared" si="19"/>
        <v>40500</v>
      </c>
      <c r="R77" s="9">
        <f t="shared" si="20"/>
        <v>8.3793103448275869E-2</v>
      </c>
    </row>
    <row r="78" spans="1:18" ht="17.25" x14ac:dyDescent="0.3">
      <c r="A78" s="5">
        <f t="shared" si="21"/>
        <v>380001</v>
      </c>
      <c r="B78" s="5">
        <f t="shared" si="22"/>
        <v>385000</v>
      </c>
      <c r="C78" s="12">
        <v>0</v>
      </c>
      <c r="E78" s="3">
        <v>0</v>
      </c>
      <c r="F78" s="3">
        <v>0</v>
      </c>
      <c r="G78" s="6">
        <v>0</v>
      </c>
      <c r="H78" s="5">
        <f t="shared" si="12"/>
        <v>41000</v>
      </c>
      <c r="I78" s="5">
        <f t="shared" si="13"/>
        <v>41000</v>
      </c>
      <c r="L78" s="5">
        <f t="shared" si="14"/>
        <v>426000</v>
      </c>
      <c r="M78" s="5">
        <f t="shared" si="15"/>
        <v>453191.48936170217</v>
      </c>
      <c r="N78" s="8">
        <f t="shared" si="16"/>
        <v>41000</v>
      </c>
      <c r="O78" s="9">
        <f t="shared" si="17"/>
        <v>9.0469483568075104E-2</v>
      </c>
      <c r="P78" s="5">
        <f t="shared" si="18"/>
        <v>489655.1724137931</v>
      </c>
      <c r="Q78" s="8">
        <f t="shared" si="19"/>
        <v>41000</v>
      </c>
      <c r="R78" s="9">
        <f t="shared" si="20"/>
        <v>8.3732394366197185E-2</v>
      </c>
    </row>
    <row r="79" spans="1:18" ht="17.25" x14ac:dyDescent="0.3">
      <c r="A79" s="5">
        <f t="shared" si="21"/>
        <v>385001</v>
      </c>
      <c r="B79" s="5">
        <f t="shared" si="22"/>
        <v>390000</v>
      </c>
      <c r="C79" s="12">
        <v>0</v>
      </c>
      <c r="E79" s="3">
        <v>0</v>
      </c>
      <c r="F79" s="3">
        <v>0</v>
      </c>
      <c r="G79" s="6">
        <v>0</v>
      </c>
      <c r="H79" s="5">
        <f t="shared" si="12"/>
        <v>41500</v>
      </c>
      <c r="I79" s="5">
        <f t="shared" si="13"/>
        <v>41500</v>
      </c>
      <c r="L79" s="5">
        <f t="shared" si="14"/>
        <v>431500</v>
      </c>
      <c r="M79" s="5">
        <f t="shared" si="15"/>
        <v>459042.55319148937</v>
      </c>
      <c r="N79" s="8">
        <f t="shared" si="16"/>
        <v>41500</v>
      </c>
      <c r="O79" s="9">
        <f t="shared" si="17"/>
        <v>9.0405561993047515E-2</v>
      </c>
      <c r="P79" s="5">
        <f t="shared" si="18"/>
        <v>495977.01149425289</v>
      </c>
      <c r="Q79" s="8">
        <f t="shared" si="19"/>
        <v>41500</v>
      </c>
      <c r="R79" s="9">
        <f t="shared" si="20"/>
        <v>8.3673232908458864E-2</v>
      </c>
    </row>
    <row r="80" spans="1:18" ht="17.25" x14ac:dyDescent="0.3">
      <c r="A80" s="5">
        <f t="shared" si="21"/>
        <v>390001</v>
      </c>
      <c r="B80" s="5">
        <f t="shared" si="22"/>
        <v>395000</v>
      </c>
      <c r="C80" s="12">
        <v>0</v>
      </c>
      <c r="E80" s="3">
        <v>0</v>
      </c>
      <c r="F80" s="3">
        <v>0</v>
      </c>
      <c r="G80" s="6">
        <v>0</v>
      </c>
      <c r="H80" s="5">
        <f t="shared" si="12"/>
        <v>42000</v>
      </c>
      <c r="I80" s="5">
        <f t="shared" si="13"/>
        <v>42000</v>
      </c>
      <c r="L80" s="5">
        <f t="shared" si="14"/>
        <v>437000</v>
      </c>
      <c r="M80" s="5">
        <f t="shared" si="15"/>
        <v>464893.61702127662</v>
      </c>
      <c r="N80" s="8">
        <f t="shared" si="16"/>
        <v>42000</v>
      </c>
      <c r="O80" s="9">
        <f t="shared" si="17"/>
        <v>9.0343249427917618E-2</v>
      </c>
      <c r="P80" s="5">
        <f t="shared" si="18"/>
        <v>502298.85057471262</v>
      </c>
      <c r="Q80" s="8">
        <f t="shared" si="19"/>
        <v>42000</v>
      </c>
      <c r="R80" s="9">
        <f t="shared" si="20"/>
        <v>8.3615560640732264E-2</v>
      </c>
    </row>
    <row r="81" spans="1:18" ht="17.25" x14ac:dyDescent="0.3">
      <c r="A81" s="5">
        <f t="shared" si="21"/>
        <v>395001</v>
      </c>
      <c r="B81" s="5">
        <f t="shared" si="22"/>
        <v>400000</v>
      </c>
      <c r="C81" s="12">
        <v>0</v>
      </c>
      <c r="E81" s="3">
        <v>0</v>
      </c>
      <c r="F81" s="3">
        <v>0</v>
      </c>
      <c r="G81" s="6">
        <v>0</v>
      </c>
      <c r="H81" s="5">
        <f t="shared" si="12"/>
        <v>42500</v>
      </c>
      <c r="I81" s="5">
        <f t="shared" si="13"/>
        <v>42500</v>
      </c>
      <c r="L81" s="5">
        <f t="shared" si="14"/>
        <v>442500</v>
      </c>
      <c r="M81" s="5">
        <f t="shared" si="15"/>
        <v>470744.68085106387</v>
      </c>
      <c r="N81" s="8">
        <f t="shared" si="16"/>
        <v>42500</v>
      </c>
      <c r="O81" s="9">
        <f t="shared" si="17"/>
        <v>9.0282485875706212E-2</v>
      </c>
      <c r="P81" s="5">
        <f t="shared" si="18"/>
        <v>508620.68965517241</v>
      </c>
      <c r="Q81" s="8">
        <f t="shared" si="19"/>
        <v>42500</v>
      </c>
      <c r="R81" s="9">
        <f t="shared" si="20"/>
        <v>8.3559322033898306E-2</v>
      </c>
    </row>
    <row r="82" spans="1:18" ht="17.25" x14ac:dyDescent="0.3">
      <c r="A82" s="5">
        <f t="shared" si="21"/>
        <v>400001</v>
      </c>
      <c r="B82" s="5">
        <f t="shared" si="22"/>
        <v>405000</v>
      </c>
      <c r="C82" s="12">
        <v>0</v>
      </c>
      <c r="E82" s="3">
        <v>0</v>
      </c>
      <c r="F82" s="3">
        <v>0</v>
      </c>
      <c r="G82" s="6">
        <v>0</v>
      </c>
      <c r="H82" s="5">
        <f t="shared" si="12"/>
        <v>43000</v>
      </c>
      <c r="I82" s="5">
        <f t="shared" si="13"/>
        <v>43000</v>
      </c>
      <c r="L82" s="5">
        <f t="shared" si="14"/>
        <v>448000</v>
      </c>
      <c r="M82" s="5">
        <f t="shared" si="15"/>
        <v>476595.74468085112</v>
      </c>
      <c r="N82" s="8">
        <f t="shared" si="16"/>
        <v>43000</v>
      </c>
      <c r="O82" s="9">
        <f t="shared" si="17"/>
        <v>9.0223214285714282E-2</v>
      </c>
      <c r="P82" s="5">
        <f t="shared" si="18"/>
        <v>514942.52873563219</v>
      </c>
      <c r="Q82" s="8">
        <f t="shared" si="19"/>
        <v>43000</v>
      </c>
      <c r="R82" s="9">
        <f t="shared" si="20"/>
        <v>8.3504464285714286E-2</v>
      </c>
    </row>
    <row r="83" spans="1:18" ht="17.25" x14ac:dyDescent="0.3">
      <c r="A83" s="5">
        <f t="shared" si="21"/>
        <v>405001</v>
      </c>
      <c r="B83" s="5">
        <f t="shared" si="22"/>
        <v>410000</v>
      </c>
      <c r="C83" s="12">
        <v>0</v>
      </c>
      <c r="E83" s="3">
        <v>0</v>
      </c>
      <c r="F83" s="3">
        <v>0</v>
      </c>
      <c r="G83" s="6">
        <v>0</v>
      </c>
      <c r="H83" s="5">
        <f t="shared" si="12"/>
        <v>43500</v>
      </c>
      <c r="I83" s="5">
        <f t="shared" si="13"/>
        <v>43500</v>
      </c>
      <c r="L83" s="5">
        <f t="shared" si="14"/>
        <v>453500</v>
      </c>
      <c r="M83" s="5">
        <f t="shared" si="15"/>
        <v>482446.80851063831</v>
      </c>
      <c r="N83" s="8">
        <f t="shared" si="16"/>
        <v>43500</v>
      </c>
      <c r="O83" s="9">
        <f t="shared" si="17"/>
        <v>9.0165380374862186E-2</v>
      </c>
      <c r="P83" s="5">
        <f t="shared" si="18"/>
        <v>521264.36781609198</v>
      </c>
      <c r="Q83" s="8">
        <f t="shared" si="19"/>
        <v>43500</v>
      </c>
      <c r="R83" s="9">
        <f t="shared" si="20"/>
        <v>8.3450937155457552E-2</v>
      </c>
    </row>
    <row r="84" spans="1:18" ht="17.25" x14ac:dyDescent="0.3">
      <c r="A84" s="5">
        <f t="shared" si="21"/>
        <v>410001</v>
      </c>
      <c r="B84" s="5">
        <f t="shared" si="22"/>
        <v>415000</v>
      </c>
      <c r="C84" s="12">
        <v>0</v>
      </c>
      <c r="E84" s="3">
        <v>0</v>
      </c>
      <c r="F84" s="3">
        <v>0</v>
      </c>
      <c r="G84" s="6">
        <v>0</v>
      </c>
      <c r="H84" s="5">
        <f t="shared" si="12"/>
        <v>44000</v>
      </c>
      <c r="I84" s="5">
        <f t="shared" si="13"/>
        <v>44000</v>
      </c>
      <c r="L84" s="5">
        <f t="shared" si="14"/>
        <v>459000</v>
      </c>
      <c r="M84" s="5">
        <f t="shared" si="15"/>
        <v>488297.87234042556</v>
      </c>
      <c r="N84" s="8">
        <f t="shared" si="16"/>
        <v>44000</v>
      </c>
      <c r="O84" s="9">
        <f t="shared" si="17"/>
        <v>9.0108932461873639E-2</v>
      </c>
      <c r="P84" s="5">
        <f t="shared" si="18"/>
        <v>527586.20689655177</v>
      </c>
      <c r="Q84" s="8">
        <f t="shared" si="19"/>
        <v>44000.000000000058</v>
      </c>
      <c r="R84" s="9">
        <f t="shared" si="20"/>
        <v>8.3398692810457614E-2</v>
      </c>
    </row>
    <row r="85" spans="1:18" ht="17.25" x14ac:dyDescent="0.3">
      <c r="A85" s="5">
        <f t="shared" si="21"/>
        <v>415001</v>
      </c>
      <c r="B85" s="5">
        <f t="shared" si="22"/>
        <v>420000</v>
      </c>
      <c r="C85" s="12">
        <v>0</v>
      </c>
      <c r="E85" s="3">
        <v>0</v>
      </c>
      <c r="F85" s="3">
        <v>0</v>
      </c>
      <c r="G85" s="6">
        <v>0</v>
      </c>
      <c r="H85" s="5">
        <f t="shared" si="12"/>
        <v>44500</v>
      </c>
      <c r="I85" s="5">
        <f t="shared" si="13"/>
        <v>44500</v>
      </c>
      <c r="L85" s="5">
        <f t="shared" si="14"/>
        <v>464500</v>
      </c>
      <c r="M85" s="5">
        <f t="shared" si="15"/>
        <v>494148.93617021281</v>
      </c>
      <c r="N85" s="8">
        <f t="shared" si="16"/>
        <v>44500</v>
      </c>
      <c r="O85" s="9">
        <f t="shared" si="17"/>
        <v>9.0053821313240037E-2</v>
      </c>
      <c r="P85" s="5">
        <f t="shared" si="18"/>
        <v>533908.04597701144</v>
      </c>
      <c r="Q85" s="8">
        <f t="shared" si="19"/>
        <v>44499.999999999942</v>
      </c>
      <c r="R85" s="9">
        <f t="shared" si="20"/>
        <v>8.3347685683530584E-2</v>
      </c>
    </row>
    <row r="86" spans="1:18" ht="17.25" x14ac:dyDescent="0.3">
      <c r="A86" s="5">
        <f t="shared" si="21"/>
        <v>420001</v>
      </c>
      <c r="B86" s="5">
        <f t="shared" si="22"/>
        <v>425000</v>
      </c>
      <c r="C86" s="12">
        <v>0</v>
      </c>
      <c r="E86" s="3">
        <v>0</v>
      </c>
      <c r="F86" s="3">
        <v>0</v>
      </c>
      <c r="G86" s="6">
        <v>0</v>
      </c>
      <c r="H86" s="5">
        <f t="shared" si="12"/>
        <v>45000</v>
      </c>
      <c r="I86" s="5">
        <f t="shared" si="13"/>
        <v>45000</v>
      </c>
      <c r="L86" s="5">
        <f t="shared" si="14"/>
        <v>470000</v>
      </c>
      <c r="M86" s="5">
        <f t="shared" si="15"/>
        <v>500000</v>
      </c>
      <c r="N86" s="8">
        <f t="shared" si="16"/>
        <v>45000</v>
      </c>
      <c r="O86" s="9">
        <f t="shared" si="17"/>
        <v>0.09</v>
      </c>
      <c r="P86" s="5">
        <f t="shared" si="18"/>
        <v>540229.88505747123</v>
      </c>
      <c r="Q86" s="8">
        <f t="shared" si="19"/>
        <v>44999.999999999942</v>
      </c>
      <c r="R86" s="9">
        <f t="shared" si="20"/>
        <v>8.3297872340425433E-2</v>
      </c>
    </row>
    <row r="87" spans="1:18" ht="17.25" x14ac:dyDescent="0.3">
      <c r="A87" s="5">
        <f t="shared" si="21"/>
        <v>425001</v>
      </c>
      <c r="B87" s="5">
        <f t="shared" si="22"/>
        <v>430000</v>
      </c>
      <c r="C87" s="12">
        <v>0</v>
      </c>
      <c r="E87" s="3">
        <v>0</v>
      </c>
      <c r="F87" s="3">
        <v>0</v>
      </c>
      <c r="G87" s="6">
        <v>0</v>
      </c>
      <c r="H87" s="5">
        <f t="shared" si="12"/>
        <v>45500</v>
      </c>
      <c r="I87" s="5">
        <f t="shared" si="13"/>
        <v>45500</v>
      </c>
      <c r="L87" s="5">
        <f t="shared" si="14"/>
        <v>475500</v>
      </c>
      <c r="M87" s="5">
        <f t="shared" si="15"/>
        <v>505851.06382978725</v>
      </c>
      <c r="N87" s="8">
        <f t="shared" si="16"/>
        <v>45500</v>
      </c>
      <c r="O87" s="9">
        <f t="shared" si="17"/>
        <v>8.9947423764458467E-2</v>
      </c>
      <c r="P87" s="5">
        <f t="shared" si="18"/>
        <v>546551.72413793101</v>
      </c>
      <c r="Q87" s="8">
        <f t="shared" si="19"/>
        <v>45500</v>
      </c>
      <c r="R87" s="9">
        <f t="shared" si="20"/>
        <v>8.3249211356466873E-2</v>
      </c>
    </row>
    <row r="88" spans="1:18" ht="17.25" x14ac:dyDescent="0.3">
      <c r="A88" s="5">
        <f t="shared" si="21"/>
        <v>430001</v>
      </c>
      <c r="B88" s="5">
        <f t="shared" si="22"/>
        <v>435000</v>
      </c>
      <c r="C88" s="12">
        <v>0</v>
      </c>
      <c r="E88" s="3">
        <v>0</v>
      </c>
      <c r="F88" s="3">
        <v>0</v>
      </c>
      <c r="G88" s="6">
        <v>0</v>
      </c>
      <c r="H88" s="5">
        <f t="shared" si="12"/>
        <v>46000</v>
      </c>
      <c r="I88" s="5">
        <f t="shared" si="13"/>
        <v>46000</v>
      </c>
      <c r="L88" s="5">
        <f t="shared" si="14"/>
        <v>481000</v>
      </c>
      <c r="M88" s="5">
        <f t="shared" si="15"/>
        <v>511702.1276595745</v>
      </c>
      <c r="N88" s="8">
        <f t="shared" si="16"/>
        <v>46000</v>
      </c>
      <c r="O88" s="9">
        <f t="shared" si="17"/>
        <v>8.9896049896049893E-2</v>
      </c>
      <c r="P88" s="5">
        <f t="shared" si="18"/>
        <v>552873.5632183908</v>
      </c>
      <c r="Q88" s="8">
        <f t="shared" si="19"/>
        <v>46000</v>
      </c>
      <c r="R88" s="9">
        <f t="shared" si="20"/>
        <v>8.3201663201663195E-2</v>
      </c>
    </row>
    <row r="89" spans="1:18" ht="17.25" x14ac:dyDescent="0.3">
      <c r="A89" s="5">
        <f t="shared" si="21"/>
        <v>435001</v>
      </c>
      <c r="B89" s="5">
        <f t="shared" si="22"/>
        <v>440000</v>
      </c>
      <c r="C89" s="12">
        <v>0</v>
      </c>
      <c r="E89" s="3">
        <v>0</v>
      </c>
      <c r="F89" s="3">
        <v>0</v>
      </c>
      <c r="G89" s="6">
        <v>0</v>
      </c>
      <c r="H89" s="5">
        <f t="shared" si="12"/>
        <v>46500</v>
      </c>
      <c r="I89" s="5">
        <f t="shared" si="13"/>
        <v>46500</v>
      </c>
      <c r="L89" s="5">
        <f t="shared" si="14"/>
        <v>486500</v>
      </c>
      <c r="M89" s="5">
        <f t="shared" si="15"/>
        <v>517553.19148936175</v>
      </c>
      <c r="N89" s="8">
        <f t="shared" si="16"/>
        <v>46500</v>
      </c>
      <c r="O89" s="9">
        <f t="shared" si="17"/>
        <v>8.9845837615621774E-2</v>
      </c>
      <c r="P89" s="5">
        <f t="shared" si="18"/>
        <v>559195.40229885059</v>
      </c>
      <c r="Q89" s="8">
        <f t="shared" si="19"/>
        <v>46500</v>
      </c>
      <c r="R89" s="9">
        <f t="shared" si="20"/>
        <v>8.3155190133607393E-2</v>
      </c>
    </row>
    <row r="90" spans="1:18" ht="17.25" x14ac:dyDescent="0.3">
      <c r="A90" s="5">
        <f t="shared" si="21"/>
        <v>440001</v>
      </c>
      <c r="B90" s="5">
        <f t="shared" si="22"/>
        <v>445000</v>
      </c>
      <c r="C90" s="12">
        <v>0</v>
      </c>
      <c r="E90" s="3">
        <v>0</v>
      </c>
      <c r="F90" s="3">
        <v>0</v>
      </c>
      <c r="G90" s="6">
        <v>0</v>
      </c>
      <c r="H90" s="5">
        <f t="shared" si="12"/>
        <v>47000</v>
      </c>
      <c r="I90" s="5">
        <f t="shared" si="13"/>
        <v>47000</v>
      </c>
      <c r="L90" s="5">
        <f t="shared" si="14"/>
        <v>492000</v>
      </c>
      <c r="M90" s="5">
        <f t="shared" si="15"/>
        <v>523404.25531914894</v>
      </c>
      <c r="N90" s="8">
        <f t="shared" si="16"/>
        <v>47000</v>
      </c>
      <c r="O90" s="9">
        <f t="shared" si="17"/>
        <v>8.9796747967479676E-2</v>
      </c>
      <c r="P90" s="5">
        <f t="shared" si="18"/>
        <v>565517.24137931038</v>
      </c>
      <c r="Q90" s="8">
        <f t="shared" si="19"/>
        <v>47000</v>
      </c>
      <c r="R90" s="9">
        <f t="shared" si="20"/>
        <v>8.3109756097560966E-2</v>
      </c>
    </row>
    <row r="91" spans="1:18" ht="17.25" x14ac:dyDescent="0.3">
      <c r="A91" s="5">
        <f t="shared" si="21"/>
        <v>445001</v>
      </c>
      <c r="B91" s="5">
        <f t="shared" si="22"/>
        <v>450000</v>
      </c>
      <c r="C91" s="12">
        <v>0</v>
      </c>
      <c r="E91" s="3">
        <v>0</v>
      </c>
      <c r="F91" s="3">
        <v>0</v>
      </c>
      <c r="G91" s="6">
        <v>0</v>
      </c>
      <c r="H91" s="5">
        <f t="shared" si="12"/>
        <v>47500</v>
      </c>
      <c r="I91" s="5">
        <f t="shared" si="13"/>
        <v>47500</v>
      </c>
      <c r="L91" s="5">
        <f t="shared" si="14"/>
        <v>497500</v>
      </c>
      <c r="M91" s="5">
        <f t="shared" si="15"/>
        <v>529255.31914893619</v>
      </c>
      <c r="N91" s="8">
        <f t="shared" si="16"/>
        <v>47500</v>
      </c>
      <c r="O91" s="9">
        <f t="shared" si="17"/>
        <v>8.9748743718592955E-2</v>
      </c>
      <c r="P91" s="5">
        <f t="shared" si="18"/>
        <v>571839.08045977016</v>
      </c>
      <c r="Q91" s="8">
        <f t="shared" si="19"/>
        <v>47500.000000000058</v>
      </c>
      <c r="R91" s="9">
        <f t="shared" si="20"/>
        <v>8.3065326633165917E-2</v>
      </c>
    </row>
    <row r="92" spans="1:18" ht="17.25" x14ac:dyDescent="0.3">
      <c r="A92" s="5">
        <f t="shared" si="21"/>
        <v>450001</v>
      </c>
      <c r="B92" s="5">
        <f t="shared" si="22"/>
        <v>455000</v>
      </c>
      <c r="C92" s="12">
        <v>0</v>
      </c>
      <c r="E92" s="3">
        <v>0</v>
      </c>
      <c r="F92" s="3">
        <v>0</v>
      </c>
      <c r="G92" s="6">
        <v>0</v>
      </c>
      <c r="H92" s="5">
        <f t="shared" si="12"/>
        <v>48000</v>
      </c>
      <c r="I92" s="5">
        <f t="shared" si="13"/>
        <v>48000</v>
      </c>
      <c r="L92" s="5">
        <f t="shared" si="14"/>
        <v>503000</v>
      </c>
      <c r="M92" s="5">
        <f t="shared" si="15"/>
        <v>535106.38297872338</v>
      </c>
      <c r="N92" s="8">
        <f t="shared" si="16"/>
        <v>47999.999999999942</v>
      </c>
      <c r="O92" s="9">
        <f t="shared" si="17"/>
        <v>8.9701789264413412E-2</v>
      </c>
      <c r="P92" s="5">
        <f t="shared" si="18"/>
        <v>578160.91954022984</v>
      </c>
      <c r="Q92" s="8">
        <f t="shared" si="19"/>
        <v>47999.999999999942</v>
      </c>
      <c r="R92" s="9">
        <f t="shared" si="20"/>
        <v>8.3021868787276243E-2</v>
      </c>
    </row>
    <row r="93" spans="1:18" ht="17.25" x14ac:dyDescent="0.3">
      <c r="A93" s="5">
        <f t="shared" si="21"/>
        <v>455001</v>
      </c>
      <c r="B93" s="5">
        <f t="shared" si="22"/>
        <v>460000</v>
      </c>
      <c r="C93" s="12">
        <v>0</v>
      </c>
      <c r="E93" s="3">
        <v>0</v>
      </c>
      <c r="F93" s="3">
        <v>0</v>
      </c>
      <c r="G93" s="6">
        <v>0</v>
      </c>
      <c r="H93" s="5">
        <f t="shared" si="12"/>
        <v>48500</v>
      </c>
      <c r="I93" s="5">
        <f t="shared" si="13"/>
        <v>48500</v>
      </c>
      <c r="L93" s="5">
        <f t="shared" si="14"/>
        <v>508500</v>
      </c>
      <c r="M93" s="5">
        <f t="shared" si="15"/>
        <v>540957.44680851069</v>
      </c>
      <c r="N93" s="8">
        <f t="shared" si="16"/>
        <v>48500</v>
      </c>
      <c r="O93" s="9">
        <f t="shared" si="17"/>
        <v>8.9655850540806284E-2</v>
      </c>
      <c r="P93" s="5">
        <f t="shared" si="18"/>
        <v>584482.75862068962</v>
      </c>
      <c r="Q93" s="8">
        <f t="shared" si="19"/>
        <v>48499.999999999942</v>
      </c>
      <c r="R93" s="9">
        <f t="shared" si="20"/>
        <v>8.2979351032448287E-2</v>
      </c>
    </row>
    <row r="94" spans="1:18" ht="17.25" x14ac:dyDescent="0.3">
      <c r="A94" s="5">
        <f t="shared" si="21"/>
        <v>460001</v>
      </c>
      <c r="B94" s="5">
        <f t="shared" si="22"/>
        <v>465000</v>
      </c>
      <c r="C94" s="12">
        <v>0</v>
      </c>
      <c r="E94" s="3">
        <v>0</v>
      </c>
      <c r="F94" s="3">
        <v>0</v>
      </c>
      <c r="G94" s="6">
        <v>0</v>
      </c>
      <c r="H94" s="5">
        <f t="shared" si="12"/>
        <v>49000</v>
      </c>
      <c r="I94" s="5">
        <f t="shared" si="13"/>
        <v>49000</v>
      </c>
      <c r="L94" s="5">
        <f t="shared" si="14"/>
        <v>514000</v>
      </c>
      <c r="M94" s="5">
        <f t="shared" si="15"/>
        <v>546808.51063829788</v>
      </c>
      <c r="N94" s="8">
        <f t="shared" si="16"/>
        <v>49000</v>
      </c>
      <c r="O94" s="9">
        <f t="shared" si="17"/>
        <v>8.9610894941634239E-2</v>
      </c>
      <c r="P94" s="5">
        <f t="shared" si="18"/>
        <v>590804.59770114941</v>
      </c>
      <c r="Q94" s="8">
        <f t="shared" si="19"/>
        <v>49000</v>
      </c>
      <c r="R94" s="9">
        <f t="shared" si="20"/>
        <v>8.2937743190661481E-2</v>
      </c>
    </row>
    <row r="95" spans="1:18" ht="17.25" x14ac:dyDescent="0.3">
      <c r="A95" s="5">
        <f t="shared" si="21"/>
        <v>465001</v>
      </c>
      <c r="B95" s="5">
        <f t="shared" si="22"/>
        <v>470000</v>
      </c>
      <c r="C95" s="12">
        <v>0</v>
      </c>
      <c r="E95" s="3">
        <v>0</v>
      </c>
      <c r="F95" s="3">
        <v>0</v>
      </c>
      <c r="G95" s="6">
        <v>0</v>
      </c>
      <c r="H95" s="5">
        <f t="shared" si="12"/>
        <v>49500</v>
      </c>
      <c r="I95" s="5">
        <f t="shared" si="13"/>
        <v>49500</v>
      </c>
      <c r="L95" s="5">
        <f t="shared" si="14"/>
        <v>519500</v>
      </c>
      <c r="M95" s="5">
        <f t="shared" si="15"/>
        <v>552659.57446808519</v>
      </c>
      <c r="N95" s="8">
        <f t="shared" si="16"/>
        <v>49500.000000000058</v>
      </c>
      <c r="O95" s="9">
        <f t="shared" si="17"/>
        <v>8.9566891241578531E-2</v>
      </c>
      <c r="P95" s="5">
        <f t="shared" si="18"/>
        <v>597126.4367816092</v>
      </c>
      <c r="Q95" s="8">
        <f t="shared" si="19"/>
        <v>49500</v>
      </c>
      <c r="R95" s="9">
        <f t="shared" si="20"/>
        <v>8.2897016361886428E-2</v>
      </c>
    </row>
    <row r="96" spans="1:18" ht="17.25" x14ac:dyDescent="0.3">
      <c r="A96" s="5">
        <f t="shared" si="21"/>
        <v>470001</v>
      </c>
      <c r="B96" s="5">
        <f t="shared" si="22"/>
        <v>475000</v>
      </c>
      <c r="C96" s="12">
        <v>0</v>
      </c>
      <c r="E96" s="3">
        <v>0</v>
      </c>
      <c r="F96" s="3">
        <v>0</v>
      </c>
      <c r="G96" s="6">
        <v>0</v>
      </c>
      <c r="H96" s="5">
        <f t="shared" si="12"/>
        <v>50000</v>
      </c>
      <c r="I96" s="5">
        <f t="shared" si="13"/>
        <v>50000</v>
      </c>
      <c r="L96" s="5">
        <f t="shared" si="14"/>
        <v>525000</v>
      </c>
      <c r="M96" s="5">
        <f t="shared" si="15"/>
        <v>558510.63829787239</v>
      </c>
      <c r="N96" s="8">
        <f t="shared" si="16"/>
        <v>50000</v>
      </c>
      <c r="O96" s="9">
        <f t="shared" si="17"/>
        <v>8.9523809523809519E-2</v>
      </c>
      <c r="P96" s="5">
        <f t="shared" si="18"/>
        <v>603448.27586206899</v>
      </c>
      <c r="Q96" s="8">
        <f t="shared" si="19"/>
        <v>50000</v>
      </c>
      <c r="R96" s="9">
        <f t="shared" si="20"/>
        <v>8.2857142857142851E-2</v>
      </c>
    </row>
    <row r="97" spans="1:18" ht="17.25" x14ac:dyDescent="0.3">
      <c r="A97" s="5">
        <f t="shared" si="21"/>
        <v>475001</v>
      </c>
      <c r="B97" s="5">
        <f t="shared" si="22"/>
        <v>480000</v>
      </c>
      <c r="C97" s="12">
        <v>0</v>
      </c>
      <c r="E97" s="3">
        <v>0</v>
      </c>
      <c r="F97" s="3">
        <v>0</v>
      </c>
      <c r="G97" s="6">
        <v>0</v>
      </c>
      <c r="H97" s="5">
        <f t="shared" si="12"/>
        <v>50500</v>
      </c>
      <c r="I97" s="5">
        <f t="shared" si="13"/>
        <v>50500</v>
      </c>
      <c r="L97" s="5">
        <f t="shared" si="14"/>
        <v>530500</v>
      </c>
      <c r="M97" s="5">
        <f t="shared" si="15"/>
        <v>564361.70212765958</v>
      </c>
      <c r="N97" s="8">
        <f t="shared" si="16"/>
        <v>50500</v>
      </c>
      <c r="O97" s="9">
        <f t="shared" si="17"/>
        <v>8.9481621112158335E-2</v>
      </c>
      <c r="P97" s="5">
        <f t="shared" si="18"/>
        <v>609770.11494252877</v>
      </c>
      <c r="Q97" s="8">
        <f t="shared" si="19"/>
        <v>50500</v>
      </c>
      <c r="R97" s="9">
        <f t="shared" si="20"/>
        <v>8.2818096135721012E-2</v>
      </c>
    </row>
    <row r="98" spans="1:18" ht="17.25" x14ac:dyDescent="0.3">
      <c r="A98" s="5">
        <f t="shared" si="21"/>
        <v>480001</v>
      </c>
      <c r="B98" s="5">
        <f t="shared" si="22"/>
        <v>485000</v>
      </c>
      <c r="C98" s="12">
        <v>0</v>
      </c>
      <c r="E98" s="3">
        <v>0</v>
      </c>
      <c r="F98" s="3">
        <v>0</v>
      </c>
      <c r="G98" s="6">
        <v>0</v>
      </c>
      <c r="H98" s="5">
        <f t="shared" si="12"/>
        <v>51000</v>
      </c>
      <c r="I98" s="5">
        <f t="shared" si="13"/>
        <v>51000</v>
      </c>
      <c r="L98" s="5">
        <f t="shared" si="14"/>
        <v>536000</v>
      </c>
      <c r="M98" s="5">
        <f t="shared" si="15"/>
        <v>570212.76595744689</v>
      </c>
      <c r="N98" s="8">
        <f t="shared" si="16"/>
        <v>51000</v>
      </c>
      <c r="O98" s="9">
        <f t="shared" si="17"/>
        <v>8.9440298507462671E-2</v>
      </c>
      <c r="P98" s="5">
        <f t="shared" si="18"/>
        <v>616091.95402298856</v>
      </c>
      <c r="Q98" s="8">
        <f t="shared" si="19"/>
        <v>51000</v>
      </c>
      <c r="R98" s="9">
        <f t="shared" si="20"/>
        <v>8.2779850746268646E-2</v>
      </c>
    </row>
    <row r="99" spans="1:18" ht="17.25" x14ac:dyDescent="0.3">
      <c r="A99" s="5">
        <f t="shared" si="21"/>
        <v>485001</v>
      </c>
      <c r="B99" s="5">
        <f t="shared" si="22"/>
        <v>490000</v>
      </c>
      <c r="C99" s="12">
        <v>0</v>
      </c>
      <c r="E99" s="3">
        <v>0</v>
      </c>
      <c r="F99" s="3">
        <v>0</v>
      </c>
      <c r="G99" s="6">
        <v>0</v>
      </c>
      <c r="H99" s="5">
        <f t="shared" si="12"/>
        <v>51500</v>
      </c>
      <c r="I99" s="5">
        <f t="shared" si="13"/>
        <v>51500</v>
      </c>
      <c r="L99" s="5">
        <f t="shared" si="14"/>
        <v>541500</v>
      </c>
      <c r="M99" s="5">
        <f t="shared" si="15"/>
        <v>576063.82978723408</v>
      </c>
      <c r="N99" s="8">
        <f t="shared" si="16"/>
        <v>51500</v>
      </c>
      <c r="O99" s="9">
        <f t="shared" si="17"/>
        <v>8.9399815327793161E-2</v>
      </c>
      <c r="P99" s="5">
        <f t="shared" si="18"/>
        <v>622413.79310344823</v>
      </c>
      <c r="Q99" s="8">
        <f t="shared" si="19"/>
        <v>51500</v>
      </c>
      <c r="R99" s="9">
        <f t="shared" si="20"/>
        <v>8.2742382271468157E-2</v>
      </c>
    </row>
    <row r="100" spans="1:18" ht="17.25" x14ac:dyDescent="0.3">
      <c r="A100" s="5">
        <f t="shared" si="21"/>
        <v>490001</v>
      </c>
      <c r="B100" s="5">
        <f t="shared" si="22"/>
        <v>495000</v>
      </c>
      <c r="C100" s="12">
        <v>0</v>
      </c>
      <c r="E100" s="3">
        <v>0</v>
      </c>
      <c r="F100" s="3">
        <v>0</v>
      </c>
      <c r="G100" s="6">
        <v>0</v>
      </c>
      <c r="H100" s="5">
        <f t="shared" si="12"/>
        <v>52000</v>
      </c>
      <c r="I100" s="5">
        <f t="shared" si="13"/>
        <v>52000</v>
      </c>
      <c r="L100" s="5">
        <f t="shared" si="14"/>
        <v>547000</v>
      </c>
      <c r="M100" s="5">
        <f t="shared" si="15"/>
        <v>581914.89361702127</v>
      </c>
      <c r="N100" s="8">
        <f t="shared" si="16"/>
        <v>52000</v>
      </c>
      <c r="O100" s="9">
        <f t="shared" si="17"/>
        <v>8.9360146252285194E-2</v>
      </c>
      <c r="P100" s="5">
        <f t="shared" si="18"/>
        <v>628735.63218390802</v>
      </c>
      <c r="Q100" s="8">
        <f t="shared" si="19"/>
        <v>52000</v>
      </c>
      <c r="R100" s="9">
        <f t="shared" si="20"/>
        <v>8.2705667276051192E-2</v>
      </c>
    </row>
    <row r="101" spans="1:18" ht="17.25" x14ac:dyDescent="0.3">
      <c r="A101" s="5">
        <f t="shared" si="21"/>
        <v>495001</v>
      </c>
      <c r="B101" s="5">
        <f t="shared" si="22"/>
        <v>500000</v>
      </c>
      <c r="C101" s="12">
        <v>0</v>
      </c>
      <c r="E101" s="3">
        <v>0</v>
      </c>
      <c r="F101" s="3">
        <v>0</v>
      </c>
      <c r="G101" s="6">
        <v>0</v>
      </c>
      <c r="H101" s="5">
        <f t="shared" si="12"/>
        <v>52500</v>
      </c>
      <c r="I101" s="5">
        <f t="shared" si="13"/>
        <v>52500</v>
      </c>
      <c r="L101" s="5">
        <f t="shared" si="14"/>
        <v>552500</v>
      </c>
      <c r="M101" s="5">
        <f t="shared" si="15"/>
        <v>587765.95744680858</v>
      </c>
      <c r="N101" s="8">
        <f t="shared" si="16"/>
        <v>52500</v>
      </c>
      <c r="O101" s="9">
        <f t="shared" si="17"/>
        <v>8.9321266968325777E-2</v>
      </c>
      <c r="P101" s="5">
        <f t="shared" si="18"/>
        <v>635057.47126436781</v>
      </c>
      <c r="Q101" s="8">
        <f t="shared" si="19"/>
        <v>52500</v>
      </c>
      <c r="R101" s="9">
        <f t="shared" si="20"/>
        <v>8.2669683257918555E-2</v>
      </c>
    </row>
    <row r="102" spans="1:18" ht="17.25" x14ac:dyDescent="0.3">
      <c r="A102" s="5">
        <f t="shared" si="21"/>
        <v>500001</v>
      </c>
      <c r="B102" s="5">
        <f t="shared" si="22"/>
        <v>505000</v>
      </c>
      <c r="C102" s="12">
        <v>0</v>
      </c>
      <c r="E102" s="3">
        <v>0</v>
      </c>
      <c r="F102" s="3">
        <v>0</v>
      </c>
      <c r="G102" s="6">
        <v>0</v>
      </c>
      <c r="H102" s="5">
        <f t="shared" si="12"/>
        <v>53000</v>
      </c>
      <c r="I102" s="5">
        <f t="shared" si="13"/>
        <v>53000</v>
      </c>
      <c r="L102" s="5">
        <f t="shared" si="14"/>
        <v>558000</v>
      </c>
      <c r="M102" s="5">
        <f t="shared" si="15"/>
        <v>593617.02127659577</v>
      </c>
      <c r="N102" s="8">
        <f t="shared" si="16"/>
        <v>53000</v>
      </c>
      <c r="O102" s="9">
        <f t="shared" si="17"/>
        <v>8.92831541218638E-2</v>
      </c>
      <c r="P102" s="5">
        <f t="shared" si="18"/>
        <v>641379.31034482759</v>
      </c>
      <c r="Q102" s="8">
        <f t="shared" si="19"/>
        <v>53000</v>
      </c>
      <c r="R102" s="9">
        <f t="shared" si="20"/>
        <v>8.263440860215053E-2</v>
      </c>
    </row>
    <row r="103" spans="1:18" ht="17.25" x14ac:dyDescent="0.3">
      <c r="A103" s="5">
        <f t="shared" si="21"/>
        <v>505001</v>
      </c>
      <c r="B103" s="5">
        <f t="shared" si="22"/>
        <v>510000</v>
      </c>
      <c r="C103" s="12">
        <v>0</v>
      </c>
      <c r="E103" s="3">
        <v>0</v>
      </c>
      <c r="F103" s="3">
        <v>0</v>
      </c>
      <c r="G103" s="6">
        <v>0</v>
      </c>
      <c r="H103" s="5">
        <f t="shared" si="12"/>
        <v>53500</v>
      </c>
      <c r="I103" s="5">
        <f t="shared" si="13"/>
        <v>53500</v>
      </c>
      <c r="L103" s="5">
        <f t="shared" si="14"/>
        <v>563500</v>
      </c>
      <c r="M103" s="5">
        <f t="shared" si="15"/>
        <v>599468.08510638296</v>
      </c>
      <c r="N103" s="8">
        <f t="shared" si="16"/>
        <v>53500</v>
      </c>
      <c r="O103" s="9">
        <f t="shared" si="17"/>
        <v>8.9245785270629999E-2</v>
      </c>
      <c r="P103" s="5">
        <f t="shared" si="18"/>
        <v>647701.14942528738</v>
      </c>
      <c r="Q103" s="8">
        <f t="shared" si="19"/>
        <v>53500</v>
      </c>
      <c r="R103" s="9">
        <f t="shared" si="20"/>
        <v>8.2599822537710726E-2</v>
      </c>
    </row>
    <row r="104" spans="1:18" ht="17.25" x14ac:dyDescent="0.3">
      <c r="A104" s="5">
        <f t="shared" si="21"/>
        <v>510001</v>
      </c>
      <c r="B104" s="5">
        <f t="shared" si="22"/>
        <v>515000</v>
      </c>
      <c r="C104" s="12">
        <v>0</v>
      </c>
      <c r="E104" s="3">
        <v>0</v>
      </c>
      <c r="F104" s="3">
        <v>0</v>
      </c>
      <c r="G104" s="6">
        <v>0</v>
      </c>
      <c r="H104" s="5">
        <f t="shared" si="12"/>
        <v>54000</v>
      </c>
      <c r="I104" s="5">
        <f t="shared" si="13"/>
        <v>54000</v>
      </c>
      <c r="L104" s="5">
        <f t="shared" si="14"/>
        <v>569000</v>
      </c>
      <c r="M104" s="5">
        <f t="shared" si="15"/>
        <v>605319.14893617027</v>
      </c>
      <c r="N104" s="8">
        <f t="shared" si="16"/>
        <v>54000</v>
      </c>
      <c r="O104" s="9">
        <f t="shared" si="17"/>
        <v>8.9209138840070284E-2</v>
      </c>
      <c r="P104" s="5">
        <f t="shared" si="18"/>
        <v>654022.98850574717</v>
      </c>
      <c r="Q104" s="8">
        <f t="shared" si="19"/>
        <v>54000</v>
      </c>
      <c r="R104" s="9">
        <f t="shared" si="20"/>
        <v>8.2565905096660799E-2</v>
      </c>
    </row>
    <row r="105" spans="1:18" ht="17.25" x14ac:dyDescent="0.3">
      <c r="A105" s="5">
        <f t="shared" si="21"/>
        <v>515001</v>
      </c>
      <c r="B105" s="5">
        <f t="shared" si="22"/>
        <v>520000</v>
      </c>
      <c r="C105" s="12">
        <v>0</v>
      </c>
      <c r="E105" s="3">
        <v>0</v>
      </c>
      <c r="F105" s="3">
        <v>0</v>
      </c>
      <c r="G105" s="6">
        <v>0</v>
      </c>
      <c r="H105" s="5">
        <f t="shared" si="12"/>
        <v>54500</v>
      </c>
      <c r="I105" s="5">
        <f t="shared" si="13"/>
        <v>54500</v>
      </c>
      <c r="L105" s="5">
        <f t="shared" si="14"/>
        <v>574500</v>
      </c>
      <c r="M105" s="5">
        <f t="shared" si="15"/>
        <v>611170.21276595746</v>
      </c>
      <c r="N105" s="8">
        <f t="shared" si="16"/>
        <v>54500</v>
      </c>
      <c r="O105" s="9">
        <f t="shared" si="17"/>
        <v>8.9173194081810264E-2</v>
      </c>
      <c r="P105" s="5">
        <f t="shared" si="18"/>
        <v>660344.82758620696</v>
      </c>
      <c r="Q105" s="8">
        <f t="shared" si="19"/>
        <v>54500</v>
      </c>
      <c r="R105" s="9">
        <f t="shared" si="20"/>
        <v>8.2532637075718007E-2</v>
      </c>
    </row>
    <row r="106" spans="1:18" ht="17.25" x14ac:dyDescent="0.3">
      <c r="A106" s="5">
        <f t="shared" si="21"/>
        <v>520001</v>
      </c>
      <c r="B106" s="5">
        <f t="shared" si="22"/>
        <v>525000</v>
      </c>
      <c r="C106" s="12">
        <v>0</v>
      </c>
      <c r="E106" s="3">
        <v>0</v>
      </c>
      <c r="F106" s="3">
        <v>0</v>
      </c>
      <c r="G106" s="6">
        <v>0</v>
      </c>
      <c r="H106" s="5">
        <f t="shared" si="12"/>
        <v>55000</v>
      </c>
      <c r="I106" s="5">
        <f t="shared" si="13"/>
        <v>55000</v>
      </c>
      <c r="L106" s="5">
        <f t="shared" si="14"/>
        <v>580000</v>
      </c>
      <c r="M106" s="5">
        <f t="shared" si="15"/>
        <v>617021.27659574477</v>
      </c>
      <c r="N106" s="8">
        <f t="shared" si="16"/>
        <v>55000</v>
      </c>
      <c r="O106" s="9">
        <f t="shared" si="17"/>
        <v>8.913793103448274E-2</v>
      </c>
      <c r="P106" s="5">
        <f t="shared" si="18"/>
        <v>666666.66666666663</v>
      </c>
      <c r="Q106" s="8">
        <f t="shared" si="19"/>
        <v>55000</v>
      </c>
      <c r="R106" s="9">
        <f t="shared" si="20"/>
        <v>8.2500000000000004E-2</v>
      </c>
    </row>
    <row r="107" spans="1:18" ht="17.25" x14ac:dyDescent="0.3">
      <c r="A107" s="5">
        <f t="shared" si="21"/>
        <v>525001</v>
      </c>
      <c r="B107" s="5">
        <f t="shared" si="22"/>
        <v>530000</v>
      </c>
      <c r="C107" s="12">
        <v>0</v>
      </c>
      <c r="E107" s="3">
        <v>0</v>
      </c>
      <c r="F107" s="3">
        <v>0</v>
      </c>
      <c r="G107" s="6">
        <v>0</v>
      </c>
      <c r="H107" s="5">
        <f t="shared" si="12"/>
        <v>55500</v>
      </c>
      <c r="I107" s="5">
        <f t="shared" si="13"/>
        <v>55500</v>
      </c>
      <c r="L107" s="5">
        <f t="shared" si="14"/>
        <v>585500</v>
      </c>
      <c r="M107" s="5">
        <f t="shared" si="15"/>
        <v>622872.34042553196</v>
      </c>
      <c r="N107" s="8">
        <f t="shared" si="16"/>
        <v>55500</v>
      </c>
      <c r="O107" s="9">
        <f t="shared" si="17"/>
        <v>8.9103330486763443E-2</v>
      </c>
      <c r="P107" s="5">
        <f t="shared" si="18"/>
        <v>672988.50574712642</v>
      </c>
      <c r="Q107" s="8">
        <f t="shared" si="19"/>
        <v>55500</v>
      </c>
      <c r="R107" s="9">
        <f t="shared" si="20"/>
        <v>8.2467976088812983E-2</v>
      </c>
    </row>
    <row r="108" spans="1:18" ht="17.25" x14ac:dyDescent="0.3">
      <c r="A108" s="5">
        <f t="shared" si="21"/>
        <v>530001</v>
      </c>
      <c r="B108" s="5">
        <f t="shared" si="22"/>
        <v>535000</v>
      </c>
      <c r="C108" s="12">
        <v>0</v>
      </c>
      <c r="E108" s="3">
        <v>0</v>
      </c>
      <c r="F108" s="3">
        <v>0</v>
      </c>
      <c r="G108" s="6">
        <v>0</v>
      </c>
      <c r="H108" s="5">
        <f t="shared" si="12"/>
        <v>56000</v>
      </c>
      <c r="I108" s="5">
        <f t="shared" si="13"/>
        <v>56000</v>
      </c>
      <c r="L108" s="5">
        <f t="shared" si="14"/>
        <v>591000</v>
      </c>
      <c r="M108" s="5">
        <f t="shared" si="15"/>
        <v>628723.40425531915</v>
      </c>
      <c r="N108" s="8">
        <f t="shared" si="16"/>
        <v>56000</v>
      </c>
      <c r="O108" s="9">
        <f t="shared" si="17"/>
        <v>8.9069373942470387E-2</v>
      </c>
      <c r="P108" s="5">
        <f t="shared" si="18"/>
        <v>679310.3448275862</v>
      </c>
      <c r="Q108" s="8">
        <f t="shared" si="19"/>
        <v>56000</v>
      </c>
      <c r="R108" s="9">
        <f t="shared" si="20"/>
        <v>8.2436548223350253E-2</v>
      </c>
    </row>
    <row r="109" spans="1:18" ht="17.25" x14ac:dyDescent="0.3">
      <c r="A109" s="5">
        <f t="shared" si="21"/>
        <v>535001</v>
      </c>
      <c r="B109" s="5">
        <f t="shared" si="22"/>
        <v>540000</v>
      </c>
      <c r="C109" s="12">
        <v>0</v>
      </c>
      <c r="E109" s="3">
        <v>0</v>
      </c>
      <c r="F109" s="3">
        <v>0</v>
      </c>
      <c r="G109" s="6">
        <v>0</v>
      </c>
      <c r="H109" s="5">
        <f t="shared" si="12"/>
        <v>56500</v>
      </c>
      <c r="I109" s="5">
        <f t="shared" si="13"/>
        <v>56500</v>
      </c>
      <c r="L109" s="5">
        <f t="shared" si="14"/>
        <v>596500</v>
      </c>
      <c r="M109" s="5">
        <f t="shared" si="15"/>
        <v>634574.46808510646</v>
      </c>
      <c r="N109" s="8">
        <f t="shared" si="16"/>
        <v>56500</v>
      </c>
      <c r="O109" s="9">
        <f t="shared" si="17"/>
        <v>8.9036043587594288E-2</v>
      </c>
      <c r="P109" s="5">
        <f t="shared" si="18"/>
        <v>685632.18390804599</v>
      </c>
      <c r="Q109" s="8">
        <f t="shared" si="19"/>
        <v>56500</v>
      </c>
      <c r="R109" s="9">
        <f t="shared" si="20"/>
        <v>8.2405699916177702E-2</v>
      </c>
    </row>
    <row r="110" spans="1:18" ht="17.25" x14ac:dyDescent="0.3">
      <c r="A110" s="5">
        <f t="shared" si="21"/>
        <v>540001</v>
      </c>
      <c r="B110" s="5">
        <f t="shared" si="22"/>
        <v>545000</v>
      </c>
      <c r="C110" s="12">
        <v>0</v>
      </c>
      <c r="E110" s="3">
        <v>0</v>
      </c>
      <c r="F110" s="3">
        <v>0</v>
      </c>
      <c r="G110" s="6">
        <v>0</v>
      </c>
      <c r="H110" s="5">
        <f t="shared" si="12"/>
        <v>57000</v>
      </c>
      <c r="I110" s="5">
        <f t="shared" si="13"/>
        <v>57000</v>
      </c>
      <c r="L110" s="5">
        <f t="shared" si="14"/>
        <v>602000</v>
      </c>
      <c r="M110" s="5">
        <f t="shared" si="15"/>
        <v>640425.53191489365</v>
      </c>
      <c r="N110" s="8">
        <f t="shared" si="16"/>
        <v>57000</v>
      </c>
      <c r="O110" s="9">
        <f t="shared" si="17"/>
        <v>8.9003322259136208E-2</v>
      </c>
      <c r="P110" s="5">
        <f t="shared" si="18"/>
        <v>691954.02298850578</v>
      </c>
      <c r="Q110" s="8">
        <f t="shared" si="19"/>
        <v>57000</v>
      </c>
      <c r="R110" s="9">
        <f t="shared" si="20"/>
        <v>8.237541528239202E-2</v>
      </c>
    </row>
    <row r="111" spans="1:18" ht="17.25" x14ac:dyDescent="0.3">
      <c r="A111" s="5">
        <f t="shared" si="21"/>
        <v>545001</v>
      </c>
      <c r="B111" s="5">
        <f t="shared" si="22"/>
        <v>550000</v>
      </c>
      <c r="C111" s="12">
        <v>0</v>
      </c>
      <c r="E111" s="3">
        <v>0</v>
      </c>
      <c r="F111" s="3">
        <v>0</v>
      </c>
      <c r="G111" s="6">
        <v>0</v>
      </c>
      <c r="H111" s="5">
        <f t="shared" si="12"/>
        <v>57500</v>
      </c>
      <c r="I111" s="5">
        <f t="shared" si="13"/>
        <v>57500</v>
      </c>
      <c r="L111" s="5">
        <f t="shared" si="14"/>
        <v>607500</v>
      </c>
      <c r="M111" s="5">
        <f t="shared" si="15"/>
        <v>646276.59574468085</v>
      </c>
      <c r="N111" s="8">
        <f t="shared" si="16"/>
        <v>57500</v>
      </c>
      <c r="O111" s="9">
        <f t="shared" si="17"/>
        <v>8.8971193415637861E-2</v>
      </c>
      <c r="P111" s="5">
        <f t="shared" si="18"/>
        <v>698275.86206896557</v>
      </c>
      <c r="Q111" s="8">
        <f t="shared" si="19"/>
        <v>57500</v>
      </c>
      <c r="R111" s="9">
        <f t="shared" si="20"/>
        <v>8.2345679012345671E-2</v>
      </c>
    </row>
    <row r="112" spans="1:18" ht="17.25" x14ac:dyDescent="0.3">
      <c r="A112" s="5">
        <f t="shared" si="21"/>
        <v>550001</v>
      </c>
      <c r="B112" s="5">
        <f t="shared" si="22"/>
        <v>555000</v>
      </c>
      <c r="C112" s="12">
        <v>0</v>
      </c>
      <c r="E112" s="3">
        <v>0</v>
      </c>
      <c r="F112" s="3">
        <v>0</v>
      </c>
      <c r="G112" s="6">
        <v>0</v>
      </c>
      <c r="H112" s="5">
        <f t="shared" si="12"/>
        <v>58000</v>
      </c>
      <c r="I112" s="5">
        <f t="shared" si="13"/>
        <v>58000</v>
      </c>
      <c r="L112" s="5">
        <f t="shared" si="14"/>
        <v>613000</v>
      </c>
      <c r="M112" s="5">
        <f t="shared" si="15"/>
        <v>652127.65957446815</v>
      </c>
      <c r="N112" s="8">
        <f t="shared" si="16"/>
        <v>58000</v>
      </c>
      <c r="O112" s="9">
        <f t="shared" si="17"/>
        <v>8.8939641109298528E-2</v>
      </c>
      <c r="P112" s="5">
        <f t="shared" si="18"/>
        <v>704597.70114942524</v>
      </c>
      <c r="Q112" s="8">
        <f t="shared" si="19"/>
        <v>58000</v>
      </c>
      <c r="R112" s="9">
        <f t="shared" si="20"/>
        <v>8.2316476345840134E-2</v>
      </c>
    </row>
    <row r="113" spans="1:18" ht="17.25" x14ac:dyDescent="0.3">
      <c r="A113" s="5">
        <f t="shared" si="21"/>
        <v>555001</v>
      </c>
      <c r="B113" s="5">
        <f t="shared" si="22"/>
        <v>560000</v>
      </c>
      <c r="C113" s="12">
        <v>0</v>
      </c>
      <c r="E113" s="3">
        <v>0</v>
      </c>
      <c r="F113" s="3">
        <v>0</v>
      </c>
      <c r="G113" s="6">
        <v>0</v>
      </c>
      <c r="H113" s="5">
        <f t="shared" si="12"/>
        <v>58500</v>
      </c>
      <c r="I113" s="5">
        <f t="shared" si="13"/>
        <v>58500</v>
      </c>
      <c r="L113" s="5">
        <f t="shared" si="14"/>
        <v>618500</v>
      </c>
      <c r="M113" s="5">
        <f t="shared" si="15"/>
        <v>657978.72340425535</v>
      </c>
      <c r="N113" s="8">
        <f t="shared" si="16"/>
        <v>58500</v>
      </c>
      <c r="O113" s="9">
        <f t="shared" si="17"/>
        <v>8.890864995957963E-2</v>
      </c>
      <c r="P113" s="5">
        <f t="shared" si="18"/>
        <v>710919.54022988502</v>
      </c>
      <c r="Q113" s="8">
        <f t="shared" si="19"/>
        <v>58500</v>
      </c>
      <c r="R113" s="9">
        <f t="shared" si="20"/>
        <v>8.228779304769604E-2</v>
      </c>
    </row>
    <row r="114" spans="1:18" ht="17.25" x14ac:dyDescent="0.3">
      <c r="A114" s="5">
        <f t="shared" si="21"/>
        <v>560001</v>
      </c>
      <c r="B114" s="5">
        <f t="shared" si="22"/>
        <v>565000</v>
      </c>
      <c r="C114" s="12">
        <v>0</v>
      </c>
      <c r="E114" s="3">
        <v>0</v>
      </c>
      <c r="F114" s="3">
        <v>0</v>
      </c>
      <c r="G114" s="6">
        <v>0</v>
      </c>
      <c r="H114" s="5">
        <f t="shared" si="12"/>
        <v>59000</v>
      </c>
      <c r="I114" s="5">
        <f t="shared" si="13"/>
        <v>59000</v>
      </c>
      <c r="L114" s="5">
        <f t="shared" si="14"/>
        <v>624000</v>
      </c>
      <c r="M114" s="5">
        <f t="shared" si="15"/>
        <v>663829.78723404254</v>
      </c>
      <c r="N114" s="8">
        <f t="shared" si="16"/>
        <v>59000</v>
      </c>
      <c r="O114" s="9">
        <f t="shared" si="17"/>
        <v>8.8878205128205129E-2</v>
      </c>
      <c r="P114" s="5">
        <f t="shared" si="18"/>
        <v>717241.37931034481</v>
      </c>
      <c r="Q114" s="8">
        <f t="shared" si="19"/>
        <v>59000</v>
      </c>
      <c r="R114" s="9">
        <f t="shared" si="20"/>
        <v>8.2259615384615389E-2</v>
      </c>
    </row>
    <row r="115" spans="1:18" ht="17.25" x14ac:dyDescent="0.3">
      <c r="A115" s="5">
        <f t="shared" si="21"/>
        <v>565001</v>
      </c>
      <c r="B115" s="5">
        <f t="shared" si="22"/>
        <v>570000</v>
      </c>
      <c r="C115" s="12">
        <v>0</v>
      </c>
      <c r="E115" s="3">
        <v>0</v>
      </c>
      <c r="F115" s="3">
        <v>0</v>
      </c>
      <c r="G115" s="6">
        <v>0</v>
      </c>
      <c r="H115" s="5">
        <f t="shared" si="12"/>
        <v>59500</v>
      </c>
      <c r="I115" s="5">
        <f t="shared" si="13"/>
        <v>59500</v>
      </c>
      <c r="L115" s="5">
        <f t="shared" si="14"/>
        <v>629500</v>
      </c>
      <c r="M115" s="5">
        <f t="shared" si="15"/>
        <v>669680.85106382985</v>
      </c>
      <c r="N115" s="8">
        <f t="shared" si="16"/>
        <v>59500</v>
      </c>
      <c r="O115" s="9">
        <f t="shared" si="17"/>
        <v>8.8848292295472586E-2</v>
      </c>
      <c r="P115" s="5">
        <f t="shared" si="18"/>
        <v>723563.2183908046</v>
      </c>
      <c r="Q115" s="8">
        <f t="shared" si="19"/>
        <v>59500</v>
      </c>
      <c r="R115" s="9">
        <f t="shared" si="20"/>
        <v>8.2231930103256551E-2</v>
      </c>
    </row>
    <row r="116" spans="1:18" ht="17.25" x14ac:dyDescent="0.3">
      <c r="A116" s="5">
        <f t="shared" si="21"/>
        <v>570001</v>
      </c>
      <c r="B116" s="5">
        <f t="shared" si="22"/>
        <v>575000</v>
      </c>
      <c r="C116" s="12">
        <v>0</v>
      </c>
      <c r="E116" s="3">
        <v>0</v>
      </c>
      <c r="F116" s="3">
        <v>0</v>
      </c>
      <c r="G116" s="6">
        <v>0</v>
      </c>
      <c r="H116" s="5">
        <f t="shared" si="12"/>
        <v>60000</v>
      </c>
      <c r="I116" s="5">
        <f t="shared" si="13"/>
        <v>60000</v>
      </c>
      <c r="L116" s="5">
        <f t="shared" si="14"/>
        <v>635000</v>
      </c>
      <c r="M116" s="5">
        <f t="shared" si="15"/>
        <v>675531.91489361704</v>
      </c>
      <c r="N116" s="8">
        <f t="shared" si="16"/>
        <v>60000</v>
      </c>
      <c r="O116" s="9">
        <f t="shared" si="17"/>
        <v>8.8818897637795269E-2</v>
      </c>
      <c r="P116" s="5">
        <f t="shared" si="18"/>
        <v>729885.05747126439</v>
      </c>
      <c r="Q116" s="8">
        <f t="shared" si="19"/>
        <v>60000</v>
      </c>
      <c r="R116" s="9">
        <f t="shared" si="20"/>
        <v>8.2204724409448815E-2</v>
      </c>
    </row>
    <row r="117" spans="1:18" ht="17.25" x14ac:dyDescent="0.3">
      <c r="A117" s="5">
        <f t="shared" si="21"/>
        <v>575001</v>
      </c>
      <c r="B117" s="5">
        <f t="shared" si="22"/>
        <v>580000</v>
      </c>
      <c r="C117" s="12">
        <v>0</v>
      </c>
      <c r="E117" s="3">
        <v>0</v>
      </c>
      <c r="F117" s="3">
        <v>0</v>
      </c>
      <c r="G117" s="6">
        <v>0</v>
      </c>
      <c r="H117" s="5">
        <f t="shared" si="12"/>
        <v>60500</v>
      </c>
      <c r="I117" s="5">
        <f t="shared" si="13"/>
        <v>60500</v>
      </c>
      <c r="L117" s="5">
        <f t="shared" si="14"/>
        <v>640500</v>
      </c>
      <c r="M117" s="5">
        <f t="shared" si="15"/>
        <v>681382.97872340435</v>
      </c>
      <c r="N117" s="8">
        <f t="shared" si="16"/>
        <v>60500</v>
      </c>
      <c r="O117" s="9">
        <f t="shared" si="17"/>
        <v>8.8790007806401242E-2</v>
      </c>
      <c r="P117" s="5">
        <f t="shared" si="18"/>
        <v>736206.89655172417</v>
      </c>
      <c r="Q117" s="8">
        <f t="shared" si="19"/>
        <v>60500</v>
      </c>
      <c r="R117" s="9">
        <f t="shared" si="20"/>
        <v>8.217798594847775E-2</v>
      </c>
    </row>
    <row r="118" spans="1:18" ht="17.25" x14ac:dyDescent="0.3">
      <c r="A118" s="5">
        <f t="shared" si="21"/>
        <v>580001</v>
      </c>
      <c r="B118" s="5">
        <f t="shared" si="22"/>
        <v>585000</v>
      </c>
      <c r="C118" s="12">
        <v>0</v>
      </c>
      <c r="E118" s="3">
        <v>0</v>
      </c>
      <c r="F118" s="3">
        <v>0</v>
      </c>
      <c r="G118" s="6">
        <v>0</v>
      </c>
      <c r="H118" s="5">
        <f t="shared" si="12"/>
        <v>61000</v>
      </c>
      <c r="I118" s="5">
        <f t="shared" si="13"/>
        <v>61000</v>
      </c>
      <c r="L118" s="5">
        <f t="shared" si="14"/>
        <v>646000</v>
      </c>
      <c r="M118" s="5">
        <f t="shared" si="15"/>
        <v>687234.04255319154</v>
      </c>
      <c r="N118" s="8">
        <f t="shared" si="16"/>
        <v>61000</v>
      </c>
      <c r="O118" s="9">
        <f t="shared" si="17"/>
        <v>8.8761609907120731E-2</v>
      </c>
      <c r="P118" s="5">
        <f t="shared" si="18"/>
        <v>742528.73563218396</v>
      </c>
      <c r="Q118" s="8">
        <f t="shared" si="19"/>
        <v>61000</v>
      </c>
      <c r="R118" s="9">
        <f t="shared" si="20"/>
        <v>8.2151702786377706E-2</v>
      </c>
    </row>
    <row r="119" spans="1:18" ht="17.25" x14ac:dyDescent="0.3">
      <c r="A119" s="5">
        <f t="shared" si="21"/>
        <v>585001</v>
      </c>
      <c r="B119" s="5">
        <f t="shared" si="22"/>
        <v>590000</v>
      </c>
      <c r="C119" s="12">
        <v>0</v>
      </c>
      <c r="E119" s="3">
        <v>0</v>
      </c>
      <c r="F119" s="3">
        <v>0</v>
      </c>
      <c r="G119" s="6">
        <v>0</v>
      </c>
      <c r="H119" s="5">
        <f t="shared" si="12"/>
        <v>61500</v>
      </c>
      <c r="I119" s="5">
        <f t="shared" si="13"/>
        <v>61500</v>
      </c>
      <c r="L119" s="5">
        <f t="shared" si="14"/>
        <v>651500</v>
      </c>
      <c r="M119" s="5">
        <f t="shared" si="15"/>
        <v>693085.10638297873</v>
      </c>
      <c r="N119" s="8">
        <f t="shared" si="16"/>
        <v>61500</v>
      </c>
      <c r="O119" s="9">
        <f t="shared" si="17"/>
        <v>8.8733691481197238E-2</v>
      </c>
      <c r="P119" s="5">
        <f t="shared" si="18"/>
        <v>748850.57471264363</v>
      </c>
      <c r="Q119" s="8">
        <f t="shared" si="19"/>
        <v>61500</v>
      </c>
      <c r="R119" s="9">
        <f t="shared" si="20"/>
        <v>8.2125863392171913E-2</v>
      </c>
    </row>
    <row r="120" spans="1:18" ht="17.25" x14ac:dyDescent="0.3">
      <c r="A120" s="5">
        <f t="shared" si="21"/>
        <v>590001</v>
      </c>
      <c r="B120" s="5">
        <f t="shared" si="22"/>
        <v>595000</v>
      </c>
      <c r="C120" s="12">
        <v>0</v>
      </c>
      <c r="E120" s="3">
        <v>0</v>
      </c>
      <c r="F120" s="3">
        <v>0</v>
      </c>
      <c r="G120" s="6">
        <v>0</v>
      </c>
      <c r="H120" s="5">
        <f t="shared" si="12"/>
        <v>62000</v>
      </c>
      <c r="I120" s="5">
        <f t="shared" si="13"/>
        <v>62000</v>
      </c>
      <c r="L120" s="5">
        <f t="shared" si="14"/>
        <v>657000</v>
      </c>
      <c r="M120" s="5">
        <f t="shared" si="15"/>
        <v>698936.17021276604</v>
      </c>
      <c r="N120" s="8">
        <f t="shared" si="16"/>
        <v>62000</v>
      </c>
      <c r="O120" s="9">
        <f t="shared" si="17"/>
        <v>8.8706240487062396E-2</v>
      </c>
      <c r="P120" s="5">
        <f t="shared" si="18"/>
        <v>755172.41379310342</v>
      </c>
      <c r="Q120" s="8">
        <f t="shared" si="19"/>
        <v>62000</v>
      </c>
      <c r="R120" s="9">
        <f t="shared" si="20"/>
        <v>8.2100456621004569E-2</v>
      </c>
    </row>
    <row r="121" spans="1:18" ht="17.25" x14ac:dyDescent="0.3">
      <c r="A121" s="5">
        <f t="shared" si="21"/>
        <v>595001</v>
      </c>
      <c r="B121" s="5">
        <f t="shared" si="22"/>
        <v>600000</v>
      </c>
      <c r="C121" s="12">
        <v>0</v>
      </c>
      <c r="E121" s="3">
        <v>0</v>
      </c>
      <c r="F121" s="3">
        <v>0</v>
      </c>
      <c r="G121" s="6">
        <v>0</v>
      </c>
      <c r="H121" s="5">
        <f t="shared" si="12"/>
        <v>62500</v>
      </c>
      <c r="I121" s="5">
        <f t="shared" si="13"/>
        <v>62500</v>
      </c>
      <c r="L121" s="5">
        <f t="shared" si="14"/>
        <v>662500</v>
      </c>
      <c r="M121" s="5">
        <f t="shared" si="15"/>
        <v>704787.23404255323</v>
      </c>
      <c r="N121" s="8">
        <f t="shared" si="16"/>
        <v>62500</v>
      </c>
      <c r="O121" s="9">
        <f t="shared" si="17"/>
        <v>8.8679245283018862E-2</v>
      </c>
      <c r="P121" s="5">
        <f t="shared" si="18"/>
        <v>761494.25287356321</v>
      </c>
      <c r="Q121" s="8">
        <f t="shared" si="19"/>
        <v>62500</v>
      </c>
      <c r="R121" s="9">
        <f t="shared" si="20"/>
        <v>8.2075471698113203E-2</v>
      </c>
    </row>
    <row r="122" spans="1:18" ht="17.25" x14ac:dyDescent="0.3">
      <c r="A122" s="5">
        <f t="shared" si="21"/>
        <v>600001</v>
      </c>
      <c r="B122" s="5">
        <f t="shared" si="22"/>
        <v>605000</v>
      </c>
      <c r="C122" s="12">
        <v>0</v>
      </c>
      <c r="E122" s="3">
        <v>0</v>
      </c>
      <c r="F122" s="3">
        <v>0</v>
      </c>
      <c r="G122" s="6">
        <v>0</v>
      </c>
      <c r="H122" s="5">
        <f t="shared" si="12"/>
        <v>63000</v>
      </c>
      <c r="I122" s="5">
        <f t="shared" si="13"/>
        <v>63000</v>
      </c>
      <c r="L122" s="5">
        <f t="shared" si="14"/>
        <v>668000</v>
      </c>
      <c r="M122" s="5">
        <f t="shared" si="15"/>
        <v>710638.29787234042</v>
      </c>
      <c r="N122" s="8">
        <f t="shared" si="16"/>
        <v>63000</v>
      </c>
      <c r="O122" s="9">
        <f t="shared" si="17"/>
        <v>8.8652694610778446E-2</v>
      </c>
      <c r="P122" s="5">
        <f t="shared" si="18"/>
        <v>767816.091954023</v>
      </c>
      <c r="Q122" s="8">
        <f t="shared" si="19"/>
        <v>63000</v>
      </c>
      <c r="R122" s="9">
        <f t="shared" si="20"/>
        <v>8.205089820359282E-2</v>
      </c>
    </row>
    <row r="123" spans="1:18" ht="17.25" x14ac:dyDescent="0.3">
      <c r="A123" s="5">
        <f t="shared" si="21"/>
        <v>605001</v>
      </c>
      <c r="B123" s="5">
        <f t="shared" si="22"/>
        <v>610000</v>
      </c>
      <c r="C123" s="12">
        <v>0</v>
      </c>
      <c r="E123" s="3">
        <v>0</v>
      </c>
      <c r="F123" s="3">
        <v>0</v>
      </c>
      <c r="G123" s="6">
        <v>0</v>
      </c>
      <c r="H123" s="5">
        <f t="shared" si="12"/>
        <v>63500</v>
      </c>
      <c r="I123" s="5">
        <f t="shared" si="13"/>
        <v>63500</v>
      </c>
      <c r="L123" s="5">
        <f t="shared" si="14"/>
        <v>673500</v>
      </c>
      <c r="M123" s="5">
        <f t="shared" si="15"/>
        <v>716489.36170212773</v>
      </c>
      <c r="N123" s="8">
        <f t="shared" si="16"/>
        <v>63500</v>
      </c>
      <c r="O123" s="9">
        <f t="shared" si="17"/>
        <v>8.8626577579806964E-2</v>
      </c>
      <c r="P123" s="5">
        <f t="shared" si="18"/>
        <v>774137.93103448278</v>
      </c>
      <c r="Q123" s="8">
        <f t="shared" si="19"/>
        <v>63500</v>
      </c>
      <c r="R123" s="9">
        <f t="shared" si="20"/>
        <v>8.2026726057906452E-2</v>
      </c>
    </row>
    <row r="124" spans="1:18" ht="17.25" x14ac:dyDescent="0.3">
      <c r="A124" s="5">
        <f t="shared" si="21"/>
        <v>610001</v>
      </c>
      <c r="B124" s="5">
        <f t="shared" si="22"/>
        <v>615000</v>
      </c>
      <c r="C124" s="12">
        <v>0</v>
      </c>
      <c r="E124" s="3">
        <v>0</v>
      </c>
      <c r="F124" s="3">
        <v>0</v>
      </c>
      <c r="G124" s="6">
        <v>0</v>
      </c>
      <c r="H124" s="5">
        <f t="shared" si="12"/>
        <v>64000</v>
      </c>
      <c r="I124" s="5">
        <f t="shared" si="13"/>
        <v>64000</v>
      </c>
      <c r="L124" s="5">
        <f t="shared" si="14"/>
        <v>679000</v>
      </c>
      <c r="M124" s="5">
        <f t="shared" si="15"/>
        <v>722340.42553191492</v>
      </c>
      <c r="N124" s="8">
        <f t="shared" si="16"/>
        <v>64000</v>
      </c>
      <c r="O124" s="9">
        <f t="shared" si="17"/>
        <v>8.8600883652430046E-2</v>
      </c>
      <c r="P124" s="5">
        <f t="shared" si="18"/>
        <v>780459.77011494257</v>
      </c>
      <c r="Q124" s="8">
        <f t="shared" si="19"/>
        <v>64000</v>
      </c>
      <c r="R124" s="9">
        <f t="shared" si="20"/>
        <v>8.2002945508100139E-2</v>
      </c>
    </row>
    <row r="125" spans="1:18" ht="17.25" x14ac:dyDescent="0.3">
      <c r="A125" s="5">
        <f t="shared" si="21"/>
        <v>615001</v>
      </c>
      <c r="B125" s="5">
        <f t="shared" si="22"/>
        <v>620000</v>
      </c>
      <c r="C125" s="12">
        <v>0</v>
      </c>
      <c r="E125" s="3">
        <v>0</v>
      </c>
      <c r="F125" s="3">
        <v>0</v>
      </c>
      <c r="G125" s="6">
        <v>0</v>
      </c>
      <c r="H125" s="5">
        <f t="shared" si="12"/>
        <v>64500</v>
      </c>
      <c r="I125" s="5">
        <f t="shared" si="13"/>
        <v>64500</v>
      </c>
      <c r="L125" s="5">
        <f t="shared" si="14"/>
        <v>684500</v>
      </c>
      <c r="M125" s="5">
        <f t="shared" si="15"/>
        <v>728191.48936170212</v>
      </c>
      <c r="N125" s="8">
        <f t="shared" si="16"/>
        <v>64500</v>
      </c>
      <c r="O125" s="9">
        <f t="shared" si="17"/>
        <v>8.8575602629656691E-2</v>
      </c>
      <c r="P125" s="5">
        <f t="shared" si="18"/>
        <v>786781.60919540236</v>
      </c>
      <c r="Q125" s="8">
        <f t="shared" si="19"/>
        <v>64500</v>
      </c>
      <c r="R125" s="9">
        <f t="shared" si="20"/>
        <v>8.197954711468225E-2</v>
      </c>
    </row>
    <row r="126" spans="1:18" ht="17.25" x14ac:dyDescent="0.3">
      <c r="A126" s="5">
        <f t="shared" si="21"/>
        <v>620001</v>
      </c>
      <c r="B126" s="5">
        <f t="shared" si="22"/>
        <v>625000</v>
      </c>
      <c r="C126" s="12">
        <v>0</v>
      </c>
      <c r="E126" s="3">
        <v>0</v>
      </c>
      <c r="F126" s="3">
        <v>0</v>
      </c>
      <c r="G126" s="6">
        <v>0</v>
      </c>
      <c r="H126" s="5">
        <f t="shared" si="12"/>
        <v>65000</v>
      </c>
      <c r="I126" s="5">
        <f t="shared" si="13"/>
        <v>65000</v>
      </c>
      <c r="L126" s="5">
        <f t="shared" si="14"/>
        <v>690000</v>
      </c>
      <c r="M126" s="5">
        <f t="shared" si="15"/>
        <v>734042.55319148942</v>
      </c>
      <c r="N126" s="8">
        <f t="shared" si="16"/>
        <v>65000</v>
      </c>
      <c r="O126" s="9">
        <f t="shared" si="17"/>
        <v>8.8550724637681155E-2</v>
      </c>
      <c r="P126" s="5">
        <f t="shared" si="18"/>
        <v>793103.44827586203</v>
      </c>
      <c r="Q126" s="8">
        <f t="shared" si="19"/>
        <v>65000</v>
      </c>
      <c r="R126" s="9">
        <f t="shared" si="20"/>
        <v>8.1956521739130442E-2</v>
      </c>
    </row>
    <row r="127" spans="1:18" ht="17.25" x14ac:dyDescent="0.3">
      <c r="A127" s="5">
        <f t="shared" si="21"/>
        <v>625001</v>
      </c>
      <c r="B127" s="5">
        <f t="shared" si="22"/>
        <v>630000</v>
      </c>
      <c r="C127" s="12">
        <v>0</v>
      </c>
      <c r="E127" s="3">
        <v>0</v>
      </c>
      <c r="F127" s="3">
        <v>0</v>
      </c>
      <c r="G127" s="6">
        <v>0</v>
      </c>
      <c r="H127" s="5">
        <f t="shared" si="12"/>
        <v>65500</v>
      </c>
      <c r="I127" s="5">
        <f t="shared" si="13"/>
        <v>65500</v>
      </c>
      <c r="L127" s="5">
        <f t="shared" si="14"/>
        <v>695500</v>
      </c>
      <c r="M127" s="5">
        <f t="shared" si="15"/>
        <v>739893.61702127662</v>
      </c>
      <c r="N127" s="8">
        <f t="shared" si="16"/>
        <v>65500</v>
      </c>
      <c r="O127" s="9">
        <f t="shared" si="17"/>
        <v>8.8526240115025162E-2</v>
      </c>
      <c r="P127" s="5">
        <f t="shared" si="18"/>
        <v>799425.28735632182</v>
      </c>
      <c r="Q127" s="8">
        <f t="shared" si="19"/>
        <v>65500</v>
      </c>
      <c r="R127" s="9">
        <f t="shared" si="20"/>
        <v>8.1933860531991379E-2</v>
      </c>
    </row>
    <row r="128" spans="1:18" ht="17.25" x14ac:dyDescent="0.3">
      <c r="A128" s="5">
        <f t="shared" si="21"/>
        <v>630001</v>
      </c>
      <c r="B128" s="5">
        <f t="shared" si="22"/>
        <v>635000</v>
      </c>
      <c r="C128" s="12">
        <v>0</v>
      </c>
      <c r="E128" s="3">
        <v>0</v>
      </c>
      <c r="F128" s="3">
        <v>0</v>
      </c>
      <c r="G128" s="6">
        <v>0</v>
      </c>
      <c r="H128" s="5">
        <f t="shared" si="12"/>
        <v>66000</v>
      </c>
      <c r="I128" s="5">
        <f t="shared" si="13"/>
        <v>66000</v>
      </c>
      <c r="L128" s="5">
        <f t="shared" si="14"/>
        <v>701000</v>
      </c>
      <c r="M128" s="5">
        <f t="shared" si="15"/>
        <v>745744.68085106392</v>
      </c>
      <c r="N128" s="8">
        <f t="shared" si="16"/>
        <v>66000</v>
      </c>
      <c r="O128" s="9">
        <f t="shared" si="17"/>
        <v>8.850213980028529E-2</v>
      </c>
      <c r="P128" s="5">
        <f t="shared" si="18"/>
        <v>805747.1264367816</v>
      </c>
      <c r="Q128" s="8">
        <f t="shared" si="19"/>
        <v>66000</v>
      </c>
      <c r="R128" s="9">
        <f t="shared" si="20"/>
        <v>8.1911554921540661E-2</v>
      </c>
    </row>
    <row r="129" spans="1:18" ht="17.25" x14ac:dyDescent="0.3">
      <c r="A129" s="5">
        <f t="shared" si="21"/>
        <v>635001</v>
      </c>
      <c r="B129" s="5">
        <f t="shared" si="22"/>
        <v>640000</v>
      </c>
      <c r="C129" s="12">
        <v>0</v>
      </c>
      <c r="E129" s="3">
        <v>0</v>
      </c>
      <c r="F129" s="3">
        <v>0</v>
      </c>
      <c r="G129" s="6">
        <v>0</v>
      </c>
      <c r="H129" s="5">
        <f t="shared" si="12"/>
        <v>66500</v>
      </c>
      <c r="I129" s="5">
        <f t="shared" si="13"/>
        <v>66500</v>
      </c>
      <c r="L129" s="5">
        <f t="shared" si="14"/>
        <v>706500</v>
      </c>
      <c r="M129" s="5">
        <f t="shared" si="15"/>
        <v>751595.74468085112</v>
      </c>
      <c r="N129" s="8">
        <f t="shared" si="16"/>
        <v>66500</v>
      </c>
      <c r="O129" s="9">
        <f t="shared" si="17"/>
        <v>8.8478414720452925E-2</v>
      </c>
      <c r="P129" s="5">
        <f t="shared" si="18"/>
        <v>812068.96551724139</v>
      </c>
      <c r="Q129" s="8">
        <f t="shared" si="19"/>
        <v>66500</v>
      </c>
      <c r="R129" s="9">
        <f t="shared" si="20"/>
        <v>8.1889596602972403E-2</v>
      </c>
    </row>
    <row r="130" spans="1:18" ht="17.25" x14ac:dyDescent="0.3">
      <c r="A130" s="5">
        <f t="shared" si="21"/>
        <v>640001</v>
      </c>
      <c r="B130" s="5">
        <f t="shared" si="22"/>
        <v>645000</v>
      </c>
      <c r="C130" s="12">
        <v>0</v>
      </c>
      <c r="E130" s="3">
        <v>0</v>
      </c>
      <c r="F130" s="3">
        <v>0</v>
      </c>
      <c r="G130" s="6">
        <v>0</v>
      </c>
      <c r="H130" s="5">
        <f t="shared" si="12"/>
        <v>67000</v>
      </c>
      <c r="I130" s="5">
        <f t="shared" si="13"/>
        <v>67000</v>
      </c>
      <c r="L130" s="5">
        <f t="shared" si="14"/>
        <v>712000</v>
      </c>
      <c r="M130" s="5">
        <f t="shared" si="15"/>
        <v>757446.80851063831</v>
      </c>
      <c r="N130" s="8">
        <f t="shared" si="16"/>
        <v>67000</v>
      </c>
      <c r="O130" s="9">
        <f t="shared" si="17"/>
        <v>8.8455056179775282E-2</v>
      </c>
      <c r="P130" s="5">
        <f t="shared" si="18"/>
        <v>818390.80459770118</v>
      </c>
      <c r="Q130" s="8">
        <f t="shared" si="19"/>
        <v>67000</v>
      </c>
      <c r="R130" s="9">
        <f t="shared" si="20"/>
        <v>8.1867977528089886E-2</v>
      </c>
    </row>
    <row r="131" spans="1:18" ht="17.25" x14ac:dyDescent="0.3">
      <c r="A131" s="5">
        <f t="shared" si="21"/>
        <v>645001</v>
      </c>
      <c r="B131" s="5">
        <f t="shared" si="22"/>
        <v>650000</v>
      </c>
      <c r="C131" s="12">
        <v>0</v>
      </c>
      <c r="E131" s="3">
        <v>0</v>
      </c>
      <c r="F131" s="3">
        <v>0</v>
      </c>
      <c r="G131" s="6">
        <v>0</v>
      </c>
      <c r="H131" s="5">
        <f t="shared" ref="H131:H194" si="23">$K$3+$K$4*((B131-$B$2)/5000)</f>
        <v>67500</v>
      </c>
      <c r="I131" s="5">
        <f t="shared" ref="I131:I194" si="24">B131*G131+H131</f>
        <v>67500</v>
      </c>
      <c r="L131" s="5">
        <f t="shared" ref="L131:L194" si="25">B131+C131+E131+F131+I131</f>
        <v>717500</v>
      </c>
      <c r="M131" s="5">
        <f t="shared" ref="M131:M194" si="26">L131/(1-$K$5)</f>
        <v>763297.87234042562</v>
      </c>
      <c r="N131" s="8">
        <f t="shared" ref="N131:N194" si="27">M131*(1-$K$5)-B131-C131-E131-F131</f>
        <v>67500</v>
      </c>
      <c r="O131" s="9">
        <f t="shared" ref="O131:O194" si="28">N131/M131</f>
        <v>8.8432055749128907E-2</v>
      </c>
      <c r="P131" s="5">
        <f t="shared" ref="P131:P194" si="29">L131/(1-$K$6)</f>
        <v>824712.64367816097</v>
      </c>
      <c r="Q131" s="8">
        <f t="shared" ref="Q131:Q194" si="30">P131*(1-$K$6)-B131-C131-E131-F131</f>
        <v>67500</v>
      </c>
      <c r="R131" s="9">
        <f t="shared" ref="R131:R194" si="31">Q131/P131</f>
        <v>8.1846689895470379E-2</v>
      </c>
    </row>
    <row r="132" spans="1:18" ht="17.25" x14ac:dyDescent="0.3">
      <c r="A132" s="5">
        <f t="shared" ref="A132:A195" si="32">B131+1</f>
        <v>650001</v>
      </c>
      <c r="B132" s="5">
        <f t="shared" ref="B132:B195" si="33">B131+5000</f>
        <v>655000</v>
      </c>
      <c r="C132" s="12">
        <v>0</v>
      </c>
      <c r="E132" s="3">
        <v>0</v>
      </c>
      <c r="F132" s="3">
        <v>0</v>
      </c>
      <c r="G132" s="6">
        <v>0</v>
      </c>
      <c r="H132" s="5">
        <f t="shared" si="23"/>
        <v>68000</v>
      </c>
      <c r="I132" s="5">
        <f t="shared" si="24"/>
        <v>68000</v>
      </c>
      <c r="L132" s="5">
        <f t="shared" si="25"/>
        <v>723000</v>
      </c>
      <c r="M132" s="5">
        <f t="shared" si="26"/>
        <v>769148.93617021281</v>
      </c>
      <c r="N132" s="8">
        <f t="shared" si="27"/>
        <v>68000</v>
      </c>
      <c r="O132" s="9">
        <f t="shared" si="28"/>
        <v>8.8409405255878273E-2</v>
      </c>
      <c r="P132" s="5">
        <f t="shared" si="29"/>
        <v>831034.48275862064</v>
      </c>
      <c r="Q132" s="8">
        <f t="shared" si="30"/>
        <v>68000</v>
      </c>
      <c r="R132" s="9">
        <f t="shared" si="31"/>
        <v>8.1825726141078844E-2</v>
      </c>
    </row>
    <row r="133" spans="1:18" ht="17.25" x14ac:dyDescent="0.3">
      <c r="A133" s="5">
        <f t="shared" si="32"/>
        <v>655001</v>
      </c>
      <c r="B133" s="5">
        <f t="shared" si="33"/>
        <v>660000</v>
      </c>
      <c r="C133" s="12">
        <v>0</v>
      </c>
      <c r="E133" s="3">
        <v>0</v>
      </c>
      <c r="F133" s="3">
        <v>0</v>
      </c>
      <c r="G133" s="6">
        <v>0</v>
      </c>
      <c r="H133" s="5">
        <f t="shared" si="23"/>
        <v>68500</v>
      </c>
      <c r="I133" s="5">
        <f t="shared" si="24"/>
        <v>68500</v>
      </c>
      <c r="L133" s="5">
        <f t="shared" si="25"/>
        <v>728500</v>
      </c>
      <c r="M133" s="5">
        <f t="shared" si="26"/>
        <v>775000</v>
      </c>
      <c r="N133" s="8">
        <f t="shared" si="27"/>
        <v>68500</v>
      </c>
      <c r="O133" s="9">
        <f t="shared" si="28"/>
        <v>8.8387096774193555E-2</v>
      </c>
      <c r="P133" s="5">
        <f t="shared" si="29"/>
        <v>837356.32183908042</v>
      </c>
      <c r="Q133" s="8">
        <f t="shared" si="30"/>
        <v>68500</v>
      </c>
      <c r="R133" s="9">
        <f t="shared" si="31"/>
        <v>8.1805078929306801E-2</v>
      </c>
    </row>
    <row r="134" spans="1:18" ht="17.25" x14ac:dyDescent="0.3">
      <c r="A134" s="5">
        <f t="shared" si="32"/>
        <v>660001</v>
      </c>
      <c r="B134" s="5">
        <f t="shared" si="33"/>
        <v>665000</v>
      </c>
      <c r="C134" s="12">
        <v>0</v>
      </c>
      <c r="E134" s="3">
        <v>0</v>
      </c>
      <c r="F134" s="3">
        <v>0</v>
      </c>
      <c r="G134" s="6">
        <v>0</v>
      </c>
      <c r="H134" s="5">
        <f t="shared" si="23"/>
        <v>69000</v>
      </c>
      <c r="I134" s="5">
        <f t="shared" si="24"/>
        <v>69000</v>
      </c>
      <c r="L134" s="5">
        <f t="shared" si="25"/>
        <v>734000</v>
      </c>
      <c r="M134" s="5">
        <f t="shared" si="26"/>
        <v>780851.06382978731</v>
      </c>
      <c r="N134" s="8">
        <f t="shared" si="27"/>
        <v>69000</v>
      </c>
      <c r="O134" s="9">
        <f t="shared" si="28"/>
        <v>8.8365122615803801E-2</v>
      </c>
      <c r="P134" s="5">
        <f t="shared" si="29"/>
        <v>843678.16091954021</v>
      </c>
      <c r="Q134" s="8">
        <f t="shared" si="30"/>
        <v>69000</v>
      </c>
      <c r="R134" s="9">
        <f t="shared" si="31"/>
        <v>8.1784741144414169E-2</v>
      </c>
    </row>
    <row r="135" spans="1:18" ht="17.25" x14ac:dyDescent="0.3">
      <c r="A135" s="5">
        <f t="shared" si="32"/>
        <v>665001</v>
      </c>
      <c r="B135" s="5">
        <f t="shared" si="33"/>
        <v>670000</v>
      </c>
      <c r="C135" s="12">
        <v>0</v>
      </c>
      <c r="E135" s="3">
        <v>0</v>
      </c>
      <c r="F135" s="3">
        <v>0</v>
      </c>
      <c r="G135" s="6">
        <v>0</v>
      </c>
      <c r="H135" s="5">
        <f t="shared" si="23"/>
        <v>69500</v>
      </c>
      <c r="I135" s="5">
        <f t="shared" si="24"/>
        <v>69500</v>
      </c>
      <c r="L135" s="5">
        <f t="shared" si="25"/>
        <v>739500</v>
      </c>
      <c r="M135" s="5">
        <f t="shared" si="26"/>
        <v>786702.1276595745</v>
      </c>
      <c r="N135" s="8">
        <f t="shared" si="27"/>
        <v>69500</v>
      </c>
      <c r="O135" s="9">
        <f t="shared" si="28"/>
        <v>8.8343475321162948E-2</v>
      </c>
      <c r="P135" s="5">
        <f t="shared" si="29"/>
        <v>850000</v>
      </c>
      <c r="Q135" s="8">
        <f t="shared" si="30"/>
        <v>69500</v>
      </c>
      <c r="R135" s="9">
        <f t="shared" si="31"/>
        <v>8.1764705882352948E-2</v>
      </c>
    </row>
    <row r="136" spans="1:18" ht="17.25" x14ac:dyDescent="0.3">
      <c r="A136" s="5">
        <f t="shared" si="32"/>
        <v>670001</v>
      </c>
      <c r="B136" s="5">
        <f t="shared" si="33"/>
        <v>675000</v>
      </c>
      <c r="C136" s="12">
        <v>0</v>
      </c>
      <c r="E136" s="3">
        <v>0</v>
      </c>
      <c r="F136" s="3">
        <v>0</v>
      </c>
      <c r="G136" s="6">
        <v>0</v>
      </c>
      <c r="H136" s="5">
        <f t="shared" si="23"/>
        <v>70000</v>
      </c>
      <c r="I136" s="5">
        <f t="shared" si="24"/>
        <v>70000</v>
      </c>
      <c r="L136" s="5">
        <f t="shared" si="25"/>
        <v>745000</v>
      </c>
      <c r="M136" s="5">
        <f t="shared" si="26"/>
        <v>792553.19148936169</v>
      </c>
      <c r="N136" s="8">
        <f t="shared" si="27"/>
        <v>70000</v>
      </c>
      <c r="O136" s="9">
        <f t="shared" si="28"/>
        <v>8.8322147651006711E-2</v>
      </c>
      <c r="P136" s="5">
        <f t="shared" si="29"/>
        <v>856321.83908045979</v>
      </c>
      <c r="Q136" s="8">
        <f t="shared" si="30"/>
        <v>70000</v>
      </c>
      <c r="R136" s="9">
        <f t="shared" si="31"/>
        <v>8.1744966442953024E-2</v>
      </c>
    </row>
    <row r="137" spans="1:18" ht="17.25" x14ac:dyDescent="0.3">
      <c r="A137" s="5">
        <f t="shared" si="32"/>
        <v>675001</v>
      </c>
      <c r="B137" s="5">
        <f t="shared" si="33"/>
        <v>680000</v>
      </c>
      <c r="C137" s="12">
        <v>0</v>
      </c>
      <c r="E137" s="3">
        <v>0</v>
      </c>
      <c r="F137" s="3">
        <v>0</v>
      </c>
      <c r="G137" s="6">
        <v>0</v>
      </c>
      <c r="H137" s="5">
        <f t="shared" si="23"/>
        <v>70500</v>
      </c>
      <c r="I137" s="5">
        <f t="shared" si="24"/>
        <v>70500</v>
      </c>
      <c r="L137" s="5">
        <f t="shared" si="25"/>
        <v>750500</v>
      </c>
      <c r="M137" s="5">
        <f t="shared" si="26"/>
        <v>798404.255319149</v>
      </c>
      <c r="N137" s="8">
        <f t="shared" si="27"/>
        <v>70500</v>
      </c>
      <c r="O137" s="9">
        <f t="shared" si="28"/>
        <v>8.8301132578281136E-2</v>
      </c>
      <c r="P137" s="5">
        <f t="shared" si="29"/>
        <v>862643.67816091958</v>
      </c>
      <c r="Q137" s="8">
        <f t="shared" si="30"/>
        <v>70500</v>
      </c>
      <c r="R137" s="9">
        <f t="shared" si="31"/>
        <v>8.1725516322451702E-2</v>
      </c>
    </row>
    <row r="138" spans="1:18" ht="17.25" x14ac:dyDescent="0.3">
      <c r="A138" s="5">
        <f t="shared" si="32"/>
        <v>680001</v>
      </c>
      <c r="B138" s="5">
        <f t="shared" si="33"/>
        <v>685000</v>
      </c>
      <c r="C138" s="12">
        <v>0</v>
      </c>
      <c r="E138" s="3">
        <v>0</v>
      </c>
      <c r="F138" s="3">
        <v>0</v>
      </c>
      <c r="G138" s="6">
        <v>0</v>
      </c>
      <c r="H138" s="5">
        <f t="shared" si="23"/>
        <v>71000</v>
      </c>
      <c r="I138" s="5">
        <f t="shared" si="24"/>
        <v>71000</v>
      </c>
      <c r="L138" s="5">
        <f t="shared" si="25"/>
        <v>756000</v>
      </c>
      <c r="M138" s="5">
        <f t="shared" si="26"/>
        <v>804255.31914893619</v>
      </c>
      <c r="N138" s="8">
        <f t="shared" si="27"/>
        <v>71000</v>
      </c>
      <c r="O138" s="9">
        <f t="shared" si="28"/>
        <v>8.8280423280423279E-2</v>
      </c>
      <c r="P138" s="5">
        <f t="shared" si="29"/>
        <v>868965.51724137936</v>
      </c>
      <c r="Q138" s="8">
        <f t="shared" si="30"/>
        <v>71000</v>
      </c>
      <c r="R138" s="9">
        <f t="shared" si="31"/>
        <v>8.1706349206349199E-2</v>
      </c>
    </row>
    <row r="139" spans="1:18" ht="17.25" x14ac:dyDescent="0.3">
      <c r="A139" s="5">
        <f t="shared" si="32"/>
        <v>685001</v>
      </c>
      <c r="B139" s="5">
        <f t="shared" si="33"/>
        <v>690000</v>
      </c>
      <c r="C139" s="12">
        <v>0</v>
      </c>
      <c r="E139" s="3">
        <v>0</v>
      </c>
      <c r="F139" s="3">
        <v>0</v>
      </c>
      <c r="G139" s="6">
        <v>0</v>
      </c>
      <c r="H139" s="5">
        <f t="shared" si="23"/>
        <v>71500</v>
      </c>
      <c r="I139" s="5">
        <f t="shared" si="24"/>
        <v>71500</v>
      </c>
      <c r="L139" s="5">
        <f t="shared" si="25"/>
        <v>761500</v>
      </c>
      <c r="M139" s="5">
        <f t="shared" si="26"/>
        <v>810106.3829787235</v>
      </c>
      <c r="N139" s="8">
        <f t="shared" si="27"/>
        <v>71500</v>
      </c>
      <c r="O139" s="9">
        <f t="shared" si="28"/>
        <v>8.8260013131976359E-2</v>
      </c>
      <c r="P139" s="5">
        <f t="shared" si="29"/>
        <v>875287.35632183903</v>
      </c>
      <c r="Q139" s="8">
        <f t="shared" si="30"/>
        <v>71500</v>
      </c>
      <c r="R139" s="9">
        <f t="shared" si="31"/>
        <v>8.1687458962573872E-2</v>
      </c>
    </row>
    <row r="140" spans="1:18" ht="17.25" x14ac:dyDescent="0.3">
      <c r="A140" s="5">
        <f t="shared" si="32"/>
        <v>690001</v>
      </c>
      <c r="B140" s="5">
        <f t="shared" si="33"/>
        <v>695000</v>
      </c>
      <c r="C140" s="12">
        <v>0</v>
      </c>
      <c r="E140" s="3">
        <v>0</v>
      </c>
      <c r="F140" s="3">
        <v>0</v>
      </c>
      <c r="G140" s="6">
        <v>0</v>
      </c>
      <c r="H140" s="5">
        <f t="shared" si="23"/>
        <v>72000</v>
      </c>
      <c r="I140" s="5">
        <f t="shared" si="24"/>
        <v>72000</v>
      </c>
      <c r="L140" s="5">
        <f t="shared" si="25"/>
        <v>767000</v>
      </c>
      <c r="M140" s="5">
        <f t="shared" si="26"/>
        <v>815957.44680851069</v>
      </c>
      <c r="N140" s="8">
        <f t="shared" si="27"/>
        <v>72000</v>
      </c>
      <c r="O140" s="9">
        <f t="shared" si="28"/>
        <v>8.8239895697522816E-2</v>
      </c>
      <c r="P140" s="5">
        <f t="shared" si="29"/>
        <v>881609.19540229882</v>
      </c>
      <c r="Q140" s="8">
        <f t="shared" si="30"/>
        <v>72000</v>
      </c>
      <c r="R140" s="9">
        <f t="shared" si="31"/>
        <v>8.1668839634941329E-2</v>
      </c>
    </row>
    <row r="141" spans="1:18" ht="17.25" x14ac:dyDescent="0.3">
      <c r="A141" s="5">
        <f t="shared" si="32"/>
        <v>695001</v>
      </c>
      <c r="B141" s="5">
        <f t="shared" si="33"/>
        <v>700000</v>
      </c>
      <c r="C141" s="12">
        <v>0</v>
      </c>
      <c r="E141" s="3">
        <v>0</v>
      </c>
      <c r="F141" s="3">
        <v>0</v>
      </c>
      <c r="G141" s="6">
        <v>0</v>
      </c>
      <c r="H141" s="5">
        <f t="shared" si="23"/>
        <v>72500</v>
      </c>
      <c r="I141" s="5">
        <f t="shared" si="24"/>
        <v>72500</v>
      </c>
      <c r="L141" s="5">
        <f t="shared" si="25"/>
        <v>772500</v>
      </c>
      <c r="M141" s="5">
        <f t="shared" si="26"/>
        <v>821808.51063829788</v>
      </c>
      <c r="N141" s="8">
        <f t="shared" si="27"/>
        <v>72500</v>
      </c>
      <c r="O141" s="9">
        <f t="shared" si="28"/>
        <v>8.8220064724919098E-2</v>
      </c>
      <c r="P141" s="5">
        <f t="shared" si="29"/>
        <v>887931.03448275861</v>
      </c>
      <c r="Q141" s="8">
        <f t="shared" si="30"/>
        <v>72500</v>
      </c>
      <c r="R141" s="9">
        <f t="shared" si="31"/>
        <v>8.1650485436893211E-2</v>
      </c>
    </row>
    <row r="142" spans="1:18" ht="17.25" x14ac:dyDescent="0.3">
      <c r="A142" s="5">
        <f t="shared" si="32"/>
        <v>700001</v>
      </c>
      <c r="B142" s="5">
        <f t="shared" si="33"/>
        <v>705000</v>
      </c>
      <c r="C142" s="12">
        <v>0</v>
      </c>
      <c r="E142" s="3">
        <v>0</v>
      </c>
      <c r="F142" s="3">
        <v>0</v>
      </c>
      <c r="G142" s="6">
        <v>0</v>
      </c>
      <c r="H142" s="5">
        <f t="shared" si="23"/>
        <v>73000</v>
      </c>
      <c r="I142" s="5">
        <f t="shared" si="24"/>
        <v>73000</v>
      </c>
      <c r="L142" s="5">
        <f t="shared" si="25"/>
        <v>778000</v>
      </c>
      <c r="M142" s="5">
        <f t="shared" si="26"/>
        <v>827659.57446808519</v>
      </c>
      <c r="N142" s="8">
        <f t="shared" si="27"/>
        <v>73000</v>
      </c>
      <c r="O142" s="9">
        <f t="shared" si="28"/>
        <v>8.8200514138817465E-2</v>
      </c>
      <c r="P142" s="5">
        <f t="shared" si="29"/>
        <v>894252.8735632184</v>
      </c>
      <c r="Q142" s="8">
        <f t="shared" si="30"/>
        <v>73000</v>
      </c>
      <c r="R142" s="9">
        <f t="shared" si="31"/>
        <v>8.1632390745501285E-2</v>
      </c>
    </row>
    <row r="143" spans="1:18" ht="17.25" x14ac:dyDescent="0.3">
      <c r="A143" s="5">
        <f t="shared" si="32"/>
        <v>705001</v>
      </c>
      <c r="B143" s="5">
        <f t="shared" si="33"/>
        <v>710000</v>
      </c>
      <c r="C143" s="12">
        <v>0</v>
      </c>
      <c r="E143" s="3">
        <v>0</v>
      </c>
      <c r="F143" s="3">
        <v>0</v>
      </c>
      <c r="G143" s="6">
        <v>0</v>
      </c>
      <c r="H143" s="5">
        <f t="shared" si="23"/>
        <v>73500</v>
      </c>
      <c r="I143" s="5">
        <f t="shared" si="24"/>
        <v>73500</v>
      </c>
      <c r="L143" s="5">
        <f t="shared" si="25"/>
        <v>783500</v>
      </c>
      <c r="M143" s="5">
        <f t="shared" si="26"/>
        <v>833510.63829787239</v>
      </c>
      <c r="N143" s="8">
        <f t="shared" si="27"/>
        <v>73500</v>
      </c>
      <c r="O143" s="9">
        <f t="shared" si="28"/>
        <v>8.8181238034460749E-2</v>
      </c>
      <c r="P143" s="5">
        <f t="shared" si="29"/>
        <v>900574.71264367818</v>
      </c>
      <c r="Q143" s="8">
        <f t="shared" si="30"/>
        <v>73500</v>
      </c>
      <c r="R143" s="9">
        <f t="shared" si="31"/>
        <v>8.1614550095724311E-2</v>
      </c>
    </row>
    <row r="144" spans="1:18" ht="17.25" x14ac:dyDescent="0.3">
      <c r="A144" s="5">
        <f t="shared" si="32"/>
        <v>710001</v>
      </c>
      <c r="B144" s="5">
        <f t="shared" si="33"/>
        <v>715000</v>
      </c>
      <c r="C144" s="12">
        <v>0</v>
      </c>
      <c r="E144" s="3">
        <v>0</v>
      </c>
      <c r="F144" s="3">
        <v>0</v>
      </c>
      <c r="G144" s="6">
        <v>0</v>
      </c>
      <c r="H144" s="5">
        <f t="shared" si="23"/>
        <v>74000</v>
      </c>
      <c r="I144" s="5">
        <f t="shared" si="24"/>
        <v>74000</v>
      </c>
      <c r="L144" s="5">
        <f t="shared" si="25"/>
        <v>789000</v>
      </c>
      <c r="M144" s="5">
        <f t="shared" si="26"/>
        <v>839361.70212765958</v>
      </c>
      <c r="N144" s="8">
        <f t="shared" si="27"/>
        <v>74000</v>
      </c>
      <c r="O144" s="9">
        <f t="shared" si="28"/>
        <v>8.8162230671736369E-2</v>
      </c>
      <c r="P144" s="5">
        <f t="shared" si="29"/>
        <v>906896.55172413797</v>
      </c>
      <c r="Q144" s="8">
        <f t="shared" si="30"/>
        <v>74000</v>
      </c>
      <c r="R144" s="9">
        <f t="shared" si="31"/>
        <v>8.1596958174904935E-2</v>
      </c>
    </row>
    <row r="145" spans="1:18" ht="17.25" x14ac:dyDescent="0.3">
      <c r="A145" s="5">
        <f t="shared" si="32"/>
        <v>715001</v>
      </c>
      <c r="B145" s="5">
        <f t="shared" si="33"/>
        <v>720000</v>
      </c>
      <c r="C145" s="12">
        <v>0</v>
      </c>
      <c r="E145" s="3">
        <v>0</v>
      </c>
      <c r="F145" s="3">
        <v>0</v>
      </c>
      <c r="G145" s="6">
        <v>0</v>
      </c>
      <c r="H145" s="5">
        <f t="shared" si="23"/>
        <v>74500</v>
      </c>
      <c r="I145" s="5">
        <f t="shared" si="24"/>
        <v>74500</v>
      </c>
      <c r="L145" s="5">
        <f t="shared" si="25"/>
        <v>794500</v>
      </c>
      <c r="M145" s="5">
        <f t="shared" si="26"/>
        <v>845212.76595744689</v>
      </c>
      <c r="N145" s="8">
        <f t="shared" si="27"/>
        <v>74500</v>
      </c>
      <c r="O145" s="9">
        <f t="shared" si="28"/>
        <v>8.8143486469477644E-2</v>
      </c>
      <c r="P145" s="5">
        <f t="shared" si="29"/>
        <v>913218.39080459776</v>
      </c>
      <c r="Q145" s="8">
        <f t="shared" si="30"/>
        <v>74500</v>
      </c>
      <c r="R145" s="9">
        <f t="shared" si="31"/>
        <v>8.1579609817495277E-2</v>
      </c>
    </row>
    <row r="146" spans="1:18" ht="17.25" x14ac:dyDescent="0.3">
      <c r="A146" s="5">
        <f t="shared" si="32"/>
        <v>720001</v>
      </c>
      <c r="B146" s="5">
        <f t="shared" si="33"/>
        <v>725000</v>
      </c>
      <c r="C146" s="12">
        <v>0</v>
      </c>
      <c r="E146" s="3">
        <v>0</v>
      </c>
      <c r="F146" s="3">
        <v>0</v>
      </c>
      <c r="G146" s="6">
        <v>0</v>
      </c>
      <c r="H146" s="5">
        <f t="shared" si="23"/>
        <v>75000</v>
      </c>
      <c r="I146" s="5">
        <f t="shared" si="24"/>
        <v>75000</v>
      </c>
      <c r="L146" s="5">
        <f t="shared" si="25"/>
        <v>800000</v>
      </c>
      <c r="M146" s="5">
        <f t="shared" si="26"/>
        <v>851063.82978723408</v>
      </c>
      <c r="N146" s="8">
        <f t="shared" si="27"/>
        <v>75000</v>
      </c>
      <c r="O146" s="9">
        <f t="shared" si="28"/>
        <v>8.8124999999999995E-2</v>
      </c>
      <c r="P146" s="5">
        <f t="shared" si="29"/>
        <v>919540.22988505743</v>
      </c>
      <c r="Q146" s="8">
        <f t="shared" si="30"/>
        <v>75000</v>
      </c>
      <c r="R146" s="9">
        <f t="shared" si="31"/>
        <v>8.156250000000001E-2</v>
      </c>
    </row>
    <row r="147" spans="1:18" ht="17.25" x14ac:dyDescent="0.3">
      <c r="A147" s="5">
        <f t="shared" si="32"/>
        <v>725001</v>
      </c>
      <c r="B147" s="5">
        <f t="shared" si="33"/>
        <v>730000</v>
      </c>
      <c r="C147" s="12">
        <v>0</v>
      </c>
      <c r="E147" s="3">
        <v>0</v>
      </c>
      <c r="F147" s="3">
        <v>0</v>
      </c>
      <c r="G147" s="6">
        <v>0</v>
      </c>
      <c r="H147" s="5">
        <f t="shared" si="23"/>
        <v>75500</v>
      </c>
      <c r="I147" s="5">
        <f t="shared" si="24"/>
        <v>75500</v>
      </c>
      <c r="L147" s="5">
        <f t="shared" si="25"/>
        <v>805500</v>
      </c>
      <c r="M147" s="5">
        <f t="shared" si="26"/>
        <v>856914.89361702127</v>
      </c>
      <c r="N147" s="8">
        <f t="shared" si="27"/>
        <v>75500</v>
      </c>
      <c r="O147" s="9">
        <f t="shared" si="28"/>
        <v>8.8106765983860955E-2</v>
      </c>
      <c r="P147" s="5">
        <f t="shared" si="29"/>
        <v>925862.06896551722</v>
      </c>
      <c r="Q147" s="8">
        <f t="shared" si="30"/>
        <v>75500</v>
      </c>
      <c r="R147" s="9">
        <f t="shared" si="31"/>
        <v>8.1545623836126638E-2</v>
      </c>
    </row>
    <row r="148" spans="1:18" ht="17.25" x14ac:dyDescent="0.3">
      <c r="A148" s="5">
        <f t="shared" si="32"/>
        <v>730001</v>
      </c>
      <c r="B148" s="5">
        <f t="shared" si="33"/>
        <v>735000</v>
      </c>
      <c r="C148" s="12">
        <v>0</v>
      </c>
      <c r="E148" s="3">
        <v>0</v>
      </c>
      <c r="F148" s="3">
        <v>0</v>
      </c>
      <c r="G148" s="6">
        <v>0</v>
      </c>
      <c r="H148" s="5">
        <f t="shared" si="23"/>
        <v>76000</v>
      </c>
      <c r="I148" s="5">
        <f t="shared" si="24"/>
        <v>76000</v>
      </c>
      <c r="L148" s="5">
        <f t="shared" si="25"/>
        <v>811000</v>
      </c>
      <c r="M148" s="5">
        <f t="shared" si="26"/>
        <v>862765.95744680858</v>
      </c>
      <c r="N148" s="8">
        <f t="shared" si="27"/>
        <v>76000</v>
      </c>
      <c r="O148" s="9">
        <f t="shared" si="28"/>
        <v>8.8088779284833538E-2</v>
      </c>
      <c r="P148" s="5">
        <f t="shared" si="29"/>
        <v>932183.908045977</v>
      </c>
      <c r="Q148" s="8">
        <f t="shared" si="30"/>
        <v>76000</v>
      </c>
      <c r="R148" s="9">
        <f t="shared" si="31"/>
        <v>8.1528976572133163E-2</v>
      </c>
    </row>
    <row r="149" spans="1:18" ht="17.25" x14ac:dyDescent="0.3">
      <c r="A149" s="5">
        <f t="shared" si="32"/>
        <v>735001</v>
      </c>
      <c r="B149" s="5">
        <f t="shared" si="33"/>
        <v>740000</v>
      </c>
      <c r="C149" s="12">
        <v>0</v>
      </c>
      <c r="E149" s="3">
        <v>0</v>
      </c>
      <c r="F149" s="3">
        <v>0</v>
      </c>
      <c r="G149" s="6">
        <v>0</v>
      </c>
      <c r="H149" s="5">
        <f t="shared" si="23"/>
        <v>76500</v>
      </c>
      <c r="I149" s="5">
        <f t="shared" si="24"/>
        <v>76500</v>
      </c>
      <c r="L149" s="5">
        <f t="shared" si="25"/>
        <v>816500</v>
      </c>
      <c r="M149" s="5">
        <f t="shared" si="26"/>
        <v>868617.02127659577</v>
      </c>
      <c r="N149" s="8">
        <f t="shared" si="27"/>
        <v>76500</v>
      </c>
      <c r="O149" s="9">
        <f t="shared" si="28"/>
        <v>8.8071034905082668E-2</v>
      </c>
      <c r="P149" s="5">
        <f t="shared" si="29"/>
        <v>938505.74712643679</v>
      </c>
      <c r="Q149" s="8">
        <f t="shared" si="30"/>
        <v>76500</v>
      </c>
      <c r="R149" s="9">
        <f t="shared" si="31"/>
        <v>8.1512553582363742E-2</v>
      </c>
    </row>
    <row r="150" spans="1:18" ht="17.25" x14ac:dyDescent="0.3">
      <c r="A150" s="5">
        <f t="shared" si="32"/>
        <v>740001</v>
      </c>
      <c r="B150" s="5">
        <f t="shared" si="33"/>
        <v>745000</v>
      </c>
      <c r="C150" s="12">
        <v>0</v>
      </c>
      <c r="E150" s="3">
        <v>0</v>
      </c>
      <c r="F150" s="3">
        <v>0</v>
      </c>
      <c r="G150" s="6">
        <v>0</v>
      </c>
      <c r="H150" s="5">
        <f t="shared" si="23"/>
        <v>77000</v>
      </c>
      <c r="I150" s="5">
        <f t="shared" si="24"/>
        <v>77000</v>
      </c>
      <c r="L150" s="5">
        <f t="shared" si="25"/>
        <v>822000</v>
      </c>
      <c r="M150" s="5">
        <f t="shared" si="26"/>
        <v>874468.08510638308</v>
      </c>
      <c r="N150" s="8">
        <f t="shared" si="27"/>
        <v>77000</v>
      </c>
      <c r="O150" s="9">
        <f t="shared" si="28"/>
        <v>8.8053527980535271E-2</v>
      </c>
      <c r="P150" s="5">
        <f t="shared" si="29"/>
        <v>944827.58620689658</v>
      </c>
      <c r="Q150" s="8">
        <f t="shared" si="30"/>
        <v>77000</v>
      </c>
      <c r="R150" s="9">
        <f t="shared" si="31"/>
        <v>8.1496350364963499E-2</v>
      </c>
    </row>
    <row r="151" spans="1:18" ht="17.25" x14ac:dyDescent="0.3">
      <c r="A151" s="5">
        <f t="shared" si="32"/>
        <v>745001</v>
      </c>
      <c r="B151" s="5">
        <f t="shared" si="33"/>
        <v>750000</v>
      </c>
      <c r="C151" s="12">
        <v>0</v>
      </c>
      <c r="E151" s="3">
        <v>0</v>
      </c>
      <c r="F151" s="3">
        <v>0</v>
      </c>
      <c r="G151" s="6">
        <v>0</v>
      </c>
      <c r="H151" s="5">
        <f t="shared" si="23"/>
        <v>77500</v>
      </c>
      <c r="I151" s="5">
        <f t="shared" si="24"/>
        <v>77500</v>
      </c>
      <c r="L151" s="5">
        <f t="shared" si="25"/>
        <v>827500</v>
      </c>
      <c r="M151" s="5">
        <f t="shared" si="26"/>
        <v>880319.14893617027</v>
      </c>
      <c r="N151" s="8">
        <f t="shared" si="27"/>
        <v>77500</v>
      </c>
      <c r="O151" s="9">
        <f t="shared" si="28"/>
        <v>8.8036253776435036E-2</v>
      </c>
      <c r="P151" s="5">
        <f t="shared" si="29"/>
        <v>951149.42528735637</v>
      </c>
      <c r="Q151" s="8">
        <f t="shared" si="30"/>
        <v>77500</v>
      </c>
      <c r="R151" s="9">
        <f t="shared" si="31"/>
        <v>8.1480362537764348E-2</v>
      </c>
    </row>
    <row r="152" spans="1:18" ht="17.25" x14ac:dyDescent="0.3">
      <c r="A152" s="5">
        <f t="shared" si="32"/>
        <v>750001</v>
      </c>
      <c r="B152" s="5">
        <f t="shared" si="33"/>
        <v>755000</v>
      </c>
      <c r="C152" s="12">
        <v>0</v>
      </c>
      <c r="E152" s="3">
        <v>0</v>
      </c>
      <c r="F152" s="3">
        <v>0</v>
      </c>
      <c r="G152" s="6">
        <v>0</v>
      </c>
      <c r="H152" s="5">
        <f t="shared" si="23"/>
        <v>78000</v>
      </c>
      <c r="I152" s="5">
        <f t="shared" si="24"/>
        <v>78000</v>
      </c>
      <c r="L152" s="5">
        <f t="shared" si="25"/>
        <v>833000</v>
      </c>
      <c r="M152" s="5">
        <f t="shared" si="26"/>
        <v>886170.21276595746</v>
      </c>
      <c r="N152" s="8">
        <f t="shared" si="27"/>
        <v>78000</v>
      </c>
      <c r="O152" s="9">
        <f t="shared" si="28"/>
        <v>8.8019207683073225E-2</v>
      </c>
      <c r="P152" s="5">
        <f t="shared" si="29"/>
        <v>957471.26436781615</v>
      </c>
      <c r="Q152" s="8">
        <f t="shared" si="30"/>
        <v>78000</v>
      </c>
      <c r="R152" s="9">
        <f t="shared" si="31"/>
        <v>8.1464585834333733E-2</v>
      </c>
    </row>
    <row r="153" spans="1:18" ht="17.25" x14ac:dyDescent="0.3">
      <c r="A153" s="5">
        <f t="shared" si="32"/>
        <v>755001</v>
      </c>
      <c r="B153" s="5">
        <f t="shared" si="33"/>
        <v>760000</v>
      </c>
      <c r="C153" s="12">
        <v>0</v>
      </c>
      <c r="E153" s="3">
        <v>0</v>
      </c>
      <c r="F153" s="3">
        <v>0</v>
      </c>
      <c r="G153" s="6">
        <v>0</v>
      </c>
      <c r="H153" s="5">
        <f t="shared" si="23"/>
        <v>78500</v>
      </c>
      <c r="I153" s="5">
        <f t="shared" si="24"/>
        <v>78500</v>
      </c>
      <c r="L153" s="5">
        <f t="shared" si="25"/>
        <v>838500</v>
      </c>
      <c r="M153" s="5">
        <f t="shared" si="26"/>
        <v>892021.27659574477</v>
      </c>
      <c r="N153" s="8">
        <f t="shared" si="27"/>
        <v>78500</v>
      </c>
      <c r="O153" s="9">
        <f t="shared" si="28"/>
        <v>8.8002385211687531E-2</v>
      </c>
      <c r="P153" s="5">
        <f t="shared" si="29"/>
        <v>963793.10344827583</v>
      </c>
      <c r="Q153" s="8">
        <f t="shared" si="30"/>
        <v>78500</v>
      </c>
      <c r="R153" s="9">
        <f t="shared" si="31"/>
        <v>8.1449016100178892E-2</v>
      </c>
    </row>
    <row r="154" spans="1:18" ht="17.25" x14ac:dyDescent="0.3">
      <c r="A154" s="5">
        <f t="shared" si="32"/>
        <v>760001</v>
      </c>
      <c r="B154" s="5">
        <f t="shared" si="33"/>
        <v>765000</v>
      </c>
      <c r="C154" s="12">
        <v>0</v>
      </c>
      <c r="E154" s="3">
        <v>0</v>
      </c>
      <c r="F154" s="3">
        <v>0</v>
      </c>
      <c r="G154" s="6">
        <v>0</v>
      </c>
      <c r="H154" s="5">
        <f t="shared" si="23"/>
        <v>79000</v>
      </c>
      <c r="I154" s="5">
        <f t="shared" si="24"/>
        <v>79000</v>
      </c>
      <c r="L154" s="5">
        <f t="shared" si="25"/>
        <v>844000</v>
      </c>
      <c r="M154" s="5">
        <f t="shared" si="26"/>
        <v>897872.34042553196</v>
      </c>
      <c r="N154" s="8">
        <f t="shared" si="27"/>
        <v>79000</v>
      </c>
      <c r="O154" s="9">
        <f t="shared" si="28"/>
        <v>8.7985781990521317E-2</v>
      </c>
      <c r="P154" s="5">
        <f t="shared" si="29"/>
        <v>970114.94252873561</v>
      </c>
      <c r="Q154" s="8">
        <f t="shared" si="30"/>
        <v>79000</v>
      </c>
      <c r="R154" s="9">
        <f t="shared" si="31"/>
        <v>8.1433649289099533E-2</v>
      </c>
    </row>
    <row r="155" spans="1:18" ht="17.25" x14ac:dyDescent="0.3">
      <c r="A155" s="5">
        <f t="shared" si="32"/>
        <v>765001</v>
      </c>
      <c r="B155" s="5">
        <f t="shared" si="33"/>
        <v>770000</v>
      </c>
      <c r="C155" s="12">
        <v>0</v>
      </c>
      <c r="E155" s="3">
        <v>0</v>
      </c>
      <c r="F155" s="3">
        <v>0</v>
      </c>
      <c r="G155" s="6">
        <v>0</v>
      </c>
      <c r="H155" s="5">
        <f t="shared" si="23"/>
        <v>79500</v>
      </c>
      <c r="I155" s="5">
        <f t="shared" si="24"/>
        <v>79500</v>
      </c>
      <c r="L155" s="5">
        <f t="shared" si="25"/>
        <v>849500</v>
      </c>
      <c r="M155" s="5">
        <f t="shared" si="26"/>
        <v>903723.40425531915</v>
      </c>
      <c r="N155" s="8">
        <f t="shared" si="27"/>
        <v>79500</v>
      </c>
      <c r="O155" s="9">
        <f t="shared" si="28"/>
        <v>8.7969393761035908E-2</v>
      </c>
      <c r="P155" s="5">
        <f t="shared" si="29"/>
        <v>976436.7816091954</v>
      </c>
      <c r="Q155" s="8">
        <f t="shared" si="30"/>
        <v>79500</v>
      </c>
      <c r="R155" s="9">
        <f t="shared" si="31"/>
        <v>8.1418481459682168E-2</v>
      </c>
    </row>
    <row r="156" spans="1:18" ht="17.25" x14ac:dyDescent="0.3">
      <c r="A156" s="5">
        <f t="shared" si="32"/>
        <v>770001</v>
      </c>
      <c r="B156" s="5">
        <f t="shared" si="33"/>
        <v>775000</v>
      </c>
      <c r="C156" s="12">
        <v>0</v>
      </c>
      <c r="E156" s="3">
        <v>0</v>
      </c>
      <c r="F156" s="3">
        <v>0</v>
      </c>
      <c r="G156" s="6">
        <v>0</v>
      </c>
      <c r="H156" s="5">
        <f t="shared" si="23"/>
        <v>80000</v>
      </c>
      <c r="I156" s="5">
        <f t="shared" si="24"/>
        <v>80000</v>
      </c>
      <c r="L156" s="5">
        <f t="shared" si="25"/>
        <v>855000</v>
      </c>
      <c r="M156" s="5">
        <f t="shared" si="26"/>
        <v>909574.46808510646</v>
      </c>
      <c r="N156" s="8">
        <f t="shared" si="27"/>
        <v>80000</v>
      </c>
      <c r="O156" s="9">
        <f t="shared" si="28"/>
        <v>8.7953216374268992E-2</v>
      </c>
      <c r="P156" s="5">
        <f t="shared" si="29"/>
        <v>982758.62068965519</v>
      </c>
      <c r="Q156" s="8">
        <f t="shared" si="30"/>
        <v>80000</v>
      </c>
      <c r="R156" s="9">
        <f t="shared" si="31"/>
        <v>8.1403508771929825E-2</v>
      </c>
    </row>
    <row r="157" spans="1:18" ht="17.25" x14ac:dyDescent="0.3">
      <c r="A157" s="5">
        <f t="shared" si="32"/>
        <v>775001</v>
      </c>
      <c r="B157" s="5">
        <f t="shared" si="33"/>
        <v>780000</v>
      </c>
      <c r="C157" s="12">
        <v>0</v>
      </c>
      <c r="E157" s="3">
        <v>0</v>
      </c>
      <c r="F157" s="3">
        <v>0</v>
      </c>
      <c r="G157" s="6">
        <v>0</v>
      </c>
      <c r="H157" s="5">
        <f t="shared" si="23"/>
        <v>80500</v>
      </c>
      <c r="I157" s="5">
        <f t="shared" si="24"/>
        <v>80500</v>
      </c>
      <c r="L157" s="5">
        <f t="shared" si="25"/>
        <v>860500</v>
      </c>
      <c r="M157" s="5">
        <f t="shared" si="26"/>
        <v>915425.53191489365</v>
      </c>
      <c r="N157" s="8">
        <f t="shared" si="27"/>
        <v>80500</v>
      </c>
      <c r="O157" s="9">
        <f t="shared" si="28"/>
        <v>8.7937245787332946E-2</v>
      </c>
      <c r="P157" s="5">
        <f t="shared" si="29"/>
        <v>989080.45977011498</v>
      </c>
      <c r="Q157" s="8">
        <f t="shared" si="30"/>
        <v>80500</v>
      </c>
      <c r="R157" s="9">
        <f t="shared" si="31"/>
        <v>8.1388727484020915E-2</v>
      </c>
    </row>
    <row r="158" spans="1:18" ht="17.25" x14ac:dyDescent="0.3">
      <c r="A158" s="5">
        <f t="shared" si="32"/>
        <v>780001</v>
      </c>
      <c r="B158" s="5">
        <f t="shared" si="33"/>
        <v>785000</v>
      </c>
      <c r="C158" s="12">
        <v>0</v>
      </c>
      <c r="E158" s="3">
        <v>0</v>
      </c>
      <c r="F158" s="3">
        <v>0</v>
      </c>
      <c r="G158" s="6">
        <v>0</v>
      </c>
      <c r="H158" s="5">
        <f t="shared" si="23"/>
        <v>81000</v>
      </c>
      <c r="I158" s="5">
        <f t="shared" si="24"/>
        <v>81000</v>
      </c>
      <c r="L158" s="5">
        <f t="shared" si="25"/>
        <v>866000</v>
      </c>
      <c r="M158" s="5">
        <f t="shared" si="26"/>
        <v>921276.59574468085</v>
      </c>
      <c r="N158" s="8">
        <f t="shared" si="27"/>
        <v>81000</v>
      </c>
      <c r="O158" s="9">
        <f t="shared" si="28"/>
        <v>8.7921478060046188E-2</v>
      </c>
      <c r="P158" s="5">
        <f t="shared" si="29"/>
        <v>995402.29885057476</v>
      </c>
      <c r="Q158" s="8">
        <f t="shared" si="30"/>
        <v>81000</v>
      </c>
      <c r="R158" s="9">
        <f t="shared" si="31"/>
        <v>8.1374133949191685E-2</v>
      </c>
    </row>
    <row r="159" spans="1:18" ht="17.25" x14ac:dyDescent="0.3">
      <c r="A159" s="5">
        <f t="shared" si="32"/>
        <v>785001</v>
      </c>
      <c r="B159" s="5">
        <f t="shared" si="33"/>
        <v>790000</v>
      </c>
      <c r="C159" s="12">
        <v>0</v>
      </c>
      <c r="E159" s="3">
        <v>0</v>
      </c>
      <c r="F159" s="3">
        <v>0</v>
      </c>
      <c r="G159" s="6">
        <v>0</v>
      </c>
      <c r="H159" s="5">
        <f t="shared" si="23"/>
        <v>81500</v>
      </c>
      <c r="I159" s="5">
        <f t="shared" si="24"/>
        <v>81500</v>
      </c>
      <c r="L159" s="5">
        <f t="shared" si="25"/>
        <v>871500</v>
      </c>
      <c r="M159" s="5">
        <f t="shared" si="26"/>
        <v>927127.65957446815</v>
      </c>
      <c r="N159" s="8">
        <f t="shared" si="27"/>
        <v>81500</v>
      </c>
      <c r="O159" s="9">
        <f t="shared" si="28"/>
        <v>8.7905909351692471E-2</v>
      </c>
      <c r="P159" s="5">
        <f t="shared" si="29"/>
        <v>1001724.1379310344</v>
      </c>
      <c r="Q159" s="8">
        <f t="shared" si="30"/>
        <v>81500</v>
      </c>
      <c r="R159" s="9">
        <f t="shared" si="31"/>
        <v>8.1359724612736661E-2</v>
      </c>
    </row>
    <row r="160" spans="1:18" ht="17.25" x14ac:dyDescent="0.3">
      <c r="A160" s="5">
        <f t="shared" si="32"/>
        <v>790001</v>
      </c>
      <c r="B160" s="5">
        <f t="shared" si="33"/>
        <v>795000</v>
      </c>
      <c r="C160" s="12">
        <v>0</v>
      </c>
      <c r="E160" s="3">
        <v>0</v>
      </c>
      <c r="F160" s="3">
        <v>0</v>
      </c>
      <c r="G160" s="6">
        <v>0</v>
      </c>
      <c r="H160" s="5">
        <f t="shared" si="23"/>
        <v>82000</v>
      </c>
      <c r="I160" s="5">
        <f t="shared" si="24"/>
        <v>82000</v>
      </c>
      <c r="L160" s="5">
        <f t="shared" si="25"/>
        <v>877000</v>
      </c>
      <c r="M160" s="5">
        <f t="shared" si="26"/>
        <v>932978.72340425535</v>
      </c>
      <c r="N160" s="8">
        <f t="shared" si="27"/>
        <v>82000</v>
      </c>
      <c r="O160" s="9">
        <f t="shared" si="28"/>
        <v>8.7890535917901941E-2</v>
      </c>
      <c r="P160" s="5">
        <f t="shared" si="29"/>
        <v>1008045.9770114942</v>
      </c>
      <c r="Q160" s="8">
        <f t="shared" si="30"/>
        <v>82000</v>
      </c>
      <c r="R160" s="9">
        <f t="shared" si="31"/>
        <v>8.1345496009122012E-2</v>
      </c>
    </row>
    <row r="161" spans="1:18" ht="17.25" x14ac:dyDescent="0.3">
      <c r="A161" s="5">
        <f t="shared" si="32"/>
        <v>795001</v>
      </c>
      <c r="B161" s="5">
        <f t="shared" si="33"/>
        <v>800000</v>
      </c>
      <c r="C161" s="12">
        <v>0</v>
      </c>
      <c r="E161" s="3">
        <v>0</v>
      </c>
      <c r="F161" s="3">
        <v>0</v>
      </c>
      <c r="G161" s="6">
        <v>0</v>
      </c>
      <c r="H161" s="5">
        <f t="shared" si="23"/>
        <v>82500</v>
      </c>
      <c r="I161" s="5">
        <f t="shared" si="24"/>
        <v>82500</v>
      </c>
      <c r="L161" s="5">
        <f t="shared" si="25"/>
        <v>882500</v>
      </c>
      <c r="M161" s="5">
        <f t="shared" si="26"/>
        <v>938829.78723404265</v>
      </c>
      <c r="N161" s="8">
        <f t="shared" si="27"/>
        <v>82500</v>
      </c>
      <c r="O161" s="9">
        <f t="shared" si="28"/>
        <v>8.7875354107648712E-2</v>
      </c>
      <c r="P161" s="5">
        <f t="shared" si="29"/>
        <v>1014367.816091954</v>
      </c>
      <c r="Q161" s="8">
        <f t="shared" si="30"/>
        <v>82500</v>
      </c>
      <c r="R161" s="9">
        <f t="shared" si="31"/>
        <v>8.1331444759206797E-2</v>
      </c>
    </row>
    <row r="162" spans="1:18" ht="17.25" x14ac:dyDescent="0.3">
      <c r="A162" s="5">
        <f t="shared" si="32"/>
        <v>800001</v>
      </c>
      <c r="B162" s="5">
        <f t="shared" si="33"/>
        <v>805000</v>
      </c>
      <c r="C162" s="12">
        <v>0</v>
      </c>
      <c r="E162" s="3">
        <v>0</v>
      </c>
      <c r="F162" s="3">
        <v>0</v>
      </c>
      <c r="G162" s="6">
        <v>0</v>
      </c>
      <c r="H162" s="5">
        <f t="shared" si="23"/>
        <v>83000</v>
      </c>
      <c r="I162" s="5">
        <f t="shared" si="24"/>
        <v>83000</v>
      </c>
      <c r="L162" s="5">
        <f t="shared" si="25"/>
        <v>888000</v>
      </c>
      <c r="M162" s="5">
        <f t="shared" si="26"/>
        <v>944680.85106382985</v>
      </c>
      <c r="N162" s="8">
        <f t="shared" si="27"/>
        <v>83000</v>
      </c>
      <c r="O162" s="9">
        <f t="shared" si="28"/>
        <v>8.7860360360360351E-2</v>
      </c>
      <c r="P162" s="5">
        <f t="shared" si="29"/>
        <v>1020689.6551724138</v>
      </c>
      <c r="Q162" s="8">
        <f t="shared" si="30"/>
        <v>83000</v>
      </c>
      <c r="R162" s="9">
        <f t="shared" si="31"/>
        <v>8.131756756756757E-2</v>
      </c>
    </row>
    <row r="163" spans="1:18" ht="17.25" x14ac:dyDescent="0.3">
      <c r="A163" s="5">
        <f t="shared" si="32"/>
        <v>805001</v>
      </c>
      <c r="B163" s="5">
        <f t="shared" si="33"/>
        <v>810000</v>
      </c>
      <c r="C163" s="12">
        <v>0</v>
      </c>
      <c r="E163" s="3">
        <v>0</v>
      </c>
      <c r="F163" s="3">
        <v>0</v>
      </c>
      <c r="G163" s="6">
        <v>0</v>
      </c>
      <c r="H163" s="5">
        <f t="shared" si="23"/>
        <v>83500</v>
      </c>
      <c r="I163" s="5">
        <f t="shared" si="24"/>
        <v>83500</v>
      </c>
      <c r="L163" s="5">
        <f t="shared" si="25"/>
        <v>893500</v>
      </c>
      <c r="M163" s="5">
        <f t="shared" si="26"/>
        <v>950531.91489361704</v>
      </c>
      <c r="N163" s="8">
        <f t="shared" si="27"/>
        <v>83500</v>
      </c>
      <c r="O163" s="9">
        <f t="shared" si="28"/>
        <v>8.784555120313374E-2</v>
      </c>
      <c r="P163" s="5">
        <f t="shared" si="29"/>
        <v>1027011.4942528736</v>
      </c>
      <c r="Q163" s="8">
        <f t="shared" si="30"/>
        <v>83500</v>
      </c>
      <c r="R163" s="9">
        <f t="shared" si="31"/>
        <v>8.1303861219921655E-2</v>
      </c>
    </row>
    <row r="164" spans="1:18" ht="17.25" x14ac:dyDescent="0.3">
      <c r="A164" s="5">
        <f t="shared" si="32"/>
        <v>810001</v>
      </c>
      <c r="B164" s="5">
        <f t="shared" si="33"/>
        <v>815000</v>
      </c>
      <c r="C164" s="12">
        <v>0</v>
      </c>
      <c r="E164" s="3">
        <v>0</v>
      </c>
      <c r="F164" s="3">
        <v>0</v>
      </c>
      <c r="G164" s="6">
        <v>0</v>
      </c>
      <c r="H164" s="5">
        <f t="shared" si="23"/>
        <v>84000</v>
      </c>
      <c r="I164" s="5">
        <f t="shared" si="24"/>
        <v>84000</v>
      </c>
      <c r="L164" s="5">
        <f t="shared" si="25"/>
        <v>899000</v>
      </c>
      <c r="M164" s="5">
        <f t="shared" si="26"/>
        <v>956382.97872340435</v>
      </c>
      <c r="N164" s="8">
        <f t="shared" si="27"/>
        <v>84000</v>
      </c>
      <c r="O164" s="9">
        <f t="shared" si="28"/>
        <v>8.7830923248053389E-2</v>
      </c>
      <c r="P164" s="5">
        <f t="shared" si="29"/>
        <v>1033333.3333333334</v>
      </c>
      <c r="Q164" s="8">
        <f t="shared" si="30"/>
        <v>84000</v>
      </c>
      <c r="R164" s="9">
        <f t="shared" si="31"/>
        <v>8.1290322580645155E-2</v>
      </c>
    </row>
    <row r="165" spans="1:18" ht="17.25" x14ac:dyDescent="0.3">
      <c r="A165" s="5">
        <f t="shared" si="32"/>
        <v>815001</v>
      </c>
      <c r="B165" s="5">
        <f t="shared" si="33"/>
        <v>820000</v>
      </c>
      <c r="C165" s="12">
        <v>0</v>
      </c>
      <c r="E165" s="3">
        <v>0</v>
      </c>
      <c r="F165" s="3">
        <v>0</v>
      </c>
      <c r="G165" s="6">
        <v>0</v>
      </c>
      <c r="H165" s="5">
        <f t="shared" si="23"/>
        <v>84500</v>
      </c>
      <c r="I165" s="5">
        <f t="shared" si="24"/>
        <v>84500</v>
      </c>
      <c r="L165" s="5">
        <f t="shared" si="25"/>
        <v>904500</v>
      </c>
      <c r="M165" s="5">
        <f t="shared" si="26"/>
        <v>962234.04255319154</v>
      </c>
      <c r="N165" s="8">
        <f t="shared" si="27"/>
        <v>84500</v>
      </c>
      <c r="O165" s="9">
        <f t="shared" si="28"/>
        <v>8.7816473189607516E-2</v>
      </c>
      <c r="P165" s="5">
        <f t="shared" si="29"/>
        <v>1039655.1724137932</v>
      </c>
      <c r="Q165" s="8">
        <f t="shared" si="30"/>
        <v>84500</v>
      </c>
      <c r="R165" s="9">
        <f t="shared" si="31"/>
        <v>8.1276948590381426E-2</v>
      </c>
    </row>
    <row r="166" spans="1:18" ht="17.25" x14ac:dyDescent="0.3">
      <c r="A166" s="5">
        <f t="shared" si="32"/>
        <v>820001</v>
      </c>
      <c r="B166" s="5">
        <f t="shared" si="33"/>
        <v>825000</v>
      </c>
      <c r="C166" s="12">
        <v>0</v>
      </c>
      <c r="E166" s="3">
        <v>0</v>
      </c>
      <c r="F166" s="3">
        <v>0</v>
      </c>
      <c r="G166" s="6">
        <v>0</v>
      </c>
      <c r="H166" s="5">
        <f t="shared" si="23"/>
        <v>85000</v>
      </c>
      <c r="I166" s="5">
        <f t="shared" si="24"/>
        <v>85000</v>
      </c>
      <c r="L166" s="5">
        <f t="shared" si="25"/>
        <v>910000</v>
      </c>
      <c r="M166" s="5">
        <f t="shared" si="26"/>
        <v>968085.10638297873</v>
      </c>
      <c r="N166" s="8">
        <f t="shared" si="27"/>
        <v>85000</v>
      </c>
      <c r="O166" s="9">
        <f t="shared" si="28"/>
        <v>8.7802197802197807E-2</v>
      </c>
      <c r="P166" s="5">
        <f t="shared" si="29"/>
        <v>1045977.0114942528</v>
      </c>
      <c r="Q166" s="8">
        <f t="shared" si="30"/>
        <v>85000</v>
      </c>
      <c r="R166" s="9">
        <f t="shared" si="31"/>
        <v>8.1263736263736272E-2</v>
      </c>
    </row>
    <row r="167" spans="1:18" ht="17.25" x14ac:dyDescent="0.3">
      <c r="A167" s="5">
        <f t="shared" si="32"/>
        <v>825001</v>
      </c>
      <c r="B167" s="5">
        <f t="shared" si="33"/>
        <v>830000</v>
      </c>
      <c r="C167" s="12">
        <v>0</v>
      </c>
      <c r="E167" s="3">
        <v>0</v>
      </c>
      <c r="F167" s="3">
        <v>0</v>
      </c>
      <c r="G167" s="6">
        <v>0</v>
      </c>
      <c r="H167" s="5">
        <f t="shared" si="23"/>
        <v>85500</v>
      </c>
      <c r="I167" s="5">
        <f t="shared" si="24"/>
        <v>85500</v>
      </c>
      <c r="L167" s="5">
        <f t="shared" si="25"/>
        <v>915500</v>
      </c>
      <c r="M167" s="5">
        <f t="shared" si="26"/>
        <v>973936.17021276604</v>
      </c>
      <c r="N167" s="8">
        <f t="shared" si="27"/>
        <v>85500</v>
      </c>
      <c r="O167" s="9">
        <f t="shared" si="28"/>
        <v>8.778809393773894E-2</v>
      </c>
      <c r="P167" s="5">
        <f t="shared" si="29"/>
        <v>1052298.8505747127</v>
      </c>
      <c r="Q167" s="8">
        <f t="shared" si="30"/>
        <v>85500.000000000116</v>
      </c>
      <c r="R167" s="9">
        <f t="shared" si="31"/>
        <v>8.1250682687056361E-2</v>
      </c>
    </row>
    <row r="168" spans="1:18" ht="17.25" x14ac:dyDescent="0.3">
      <c r="A168" s="5">
        <f t="shared" si="32"/>
        <v>830001</v>
      </c>
      <c r="B168" s="5">
        <f t="shared" si="33"/>
        <v>835000</v>
      </c>
      <c r="C168" s="12">
        <v>0</v>
      </c>
      <c r="E168" s="3">
        <v>0</v>
      </c>
      <c r="F168" s="3">
        <v>0</v>
      </c>
      <c r="G168" s="6">
        <v>0</v>
      </c>
      <c r="H168" s="5">
        <f t="shared" si="23"/>
        <v>86000</v>
      </c>
      <c r="I168" s="5">
        <f t="shared" si="24"/>
        <v>86000</v>
      </c>
      <c r="L168" s="5">
        <f t="shared" si="25"/>
        <v>921000</v>
      </c>
      <c r="M168" s="5">
        <f t="shared" si="26"/>
        <v>979787.23404255323</v>
      </c>
      <c r="N168" s="8">
        <f t="shared" si="27"/>
        <v>86000</v>
      </c>
      <c r="O168" s="9">
        <f t="shared" si="28"/>
        <v>8.7774158523344192E-2</v>
      </c>
      <c r="P168" s="5">
        <f t="shared" si="29"/>
        <v>1058620.6896551724</v>
      </c>
      <c r="Q168" s="8">
        <f t="shared" si="30"/>
        <v>86000</v>
      </c>
      <c r="R168" s="9">
        <f t="shared" si="31"/>
        <v>8.1237785016286646E-2</v>
      </c>
    </row>
    <row r="169" spans="1:18" ht="17.25" x14ac:dyDescent="0.3">
      <c r="A169" s="5">
        <f t="shared" si="32"/>
        <v>835001</v>
      </c>
      <c r="B169" s="5">
        <f t="shared" si="33"/>
        <v>840000</v>
      </c>
      <c r="C169" s="12">
        <v>0</v>
      </c>
      <c r="E169" s="3">
        <v>0</v>
      </c>
      <c r="F169" s="3">
        <v>0</v>
      </c>
      <c r="G169" s="6">
        <v>0</v>
      </c>
      <c r="H169" s="5">
        <f t="shared" si="23"/>
        <v>86500</v>
      </c>
      <c r="I169" s="5">
        <f t="shared" si="24"/>
        <v>86500</v>
      </c>
      <c r="L169" s="5">
        <f t="shared" si="25"/>
        <v>926500</v>
      </c>
      <c r="M169" s="5">
        <f t="shared" si="26"/>
        <v>985638.29787234054</v>
      </c>
      <c r="N169" s="8">
        <f t="shared" si="27"/>
        <v>86500</v>
      </c>
      <c r="O169" s="9">
        <f t="shared" si="28"/>
        <v>8.776038855909335E-2</v>
      </c>
      <c r="P169" s="5">
        <f t="shared" si="29"/>
        <v>1064942.5287356321</v>
      </c>
      <c r="Q169" s="8">
        <f t="shared" si="30"/>
        <v>86499.999999999884</v>
      </c>
      <c r="R169" s="9">
        <f t="shared" si="31"/>
        <v>8.1225040474905461E-2</v>
      </c>
    </row>
    <row r="170" spans="1:18" ht="17.25" x14ac:dyDescent="0.3">
      <c r="A170" s="5">
        <f t="shared" si="32"/>
        <v>840001</v>
      </c>
      <c r="B170" s="5">
        <f t="shared" si="33"/>
        <v>845000</v>
      </c>
      <c r="C170" s="12">
        <v>0</v>
      </c>
      <c r="E170" s="3">
        <v>0</v>
      </c>
      <c r="F170" s="3">
        <v>0</v>
      </c>
      <c r="G170" s="6">
        <v>0</v>
      </c>
      <c r="H170" s="5">
        <f t="shared" si="23"/>
        <v>87000</v>
      </c>
      <c r="I170" s="5">
        <f t="shared" si="24"/>
        <v>87000</v>
      </c>
      <c r="L170" s="5">
        <f t="shared" si="25"/>
        <v>932000</v>
      </c>
      <c r="M170" s="5">
        <f t="shared" si="26"/>
        <v>991489.36170212773</v>
      </c>
      <c r="N170" s="8">
        <f t="shared" si="27"/>
        <v>87000</v>
      </c>
      <c r="O170" s="9">
        <f t="shared" si="28"/>
        <v>8.7746781115879816E-2</v>
      </c>
      <c r="P170" s="5">
        <f t="shared" si="29"/>
        <v>1071264.367816092</v>
      </c>
      <c r="Q170" s="8">
        <f t="shared" si="30"/>
        <v>87000</v>
      </c>
      <c r="R170" s="9">
        <f t="shared" si="31"/>
        <v>8.1212446351931325E-2</v>
      </c>
    </row>
    <row r="171" spans="1:18" ht="17.25" x14ac:dyDescent="0.3">
      <c r="A171" s="5">
        <f t="shared" si="32"/>
        <v>845001</v>
      </c>
      <c r="B171" s="5">
        <f t="shared" si="33"/>
        <v>850000</v>
      </c>
      <c r="C171" s="12">
        <v>0</v>
      </c>
      <c r="E171" s="3">
        <v>0</v>
      </c>
      <c r="F171" s="3">
        <v>0</v>
      </c>
      <c r="G171" s="6">
        <v>0</v>
      </c>
      <c r="H171" s="5">
        <f t="shared" si="23"/>
        <v>87500</v>
      </c>
      <c r="I171" s="5">
        <f t="shared" si="24"/>
        <v>87500</v>
      </c>
      <c r="L171" s="5">
        <f t="shared" si="25"/>
        <v>937500</v>
      </c>
      <c r="M171" s="5">
        <f t="shared" si="26"/>
        <v>997340.42553191492</v>
      </c>
      <c r="N171" s="8">
        <f t="shared" si="27"/>
        <v>87500</v>
      </c>
      <c r="O171" s="9">
        <f t="shared" si="28"/>
        <v>8.773333333333333E-2</v>
      </c>
      <c r="P171" s="5">
        <f t="shared" si="29"/>
        <v>1077586.2068965517</v>
      </c>
      <c r="Q171" s="8">
        <f t="shared" si="30"/>
        <v>87499.999999999884</v>
      </c>
      <c r="R171" s="9">
        <f t="shared" si="31"/>
        <v>8.1199999999999897E-2</v>
      </c>
    </row>
    <row r="172" spans="1:18" ht="17.25" x14ac:dyDescent="0.3">
      <c r="A172" s="5">
        <f t="shared" si="32"/>
        <v>850001</v>
      </c>
      <c r="B172" s="5">
        <f t="shared" si="33"/>
        <v>855000</v>
      </c>
      <c r="C172" s="12">
        <v>0</v>
      </c>
      <c r="E172" s="3">
        <v>0</v>
      </c>
      <c r="F172" s="3">
        <v>0</v>
      </c>
      <c r="G172" s="6">
        <v>0</v>
      </c>
      <c r="H172" s="5">
        <f t="shared" si="23"/>
        <v>88000</v>
      </c>
      <c r="I172" s="5">
        <f t="shared" si="24"/>
        <v>88000</v>
      </c>
      <c r="L172" s="5">
        <f t="shared" si="25"/>
        <v>943000</v>
      </c>
      <c r="M172" s="5">
        <f t="shared" si="26"/>
        <v>1003191.4893617022</v>
      </c>
      <c r="N172" s="8">
        <f t="shared" si="27"/>
        <v>88000</v>
      </c>
      <c r="O172" s="9">
        <f t="shared" si="28"/>
        <v>8.7720042417815475E-2</v>
      </c>
      <c r="P172" s="5">
        <f t="shared" si="29"/>
        <v>1083908.0459770116</v>
      </c>
      <c r="Q172" s="8">
        <f t="shared" si="30"/>
        <v>88000</v>
      </c>
      <c r="R172" s="9">
        <f t="shared" si="31"/>
        <v>8.1187698833510069E-2</v>
      </c>
    </row>
    <row r="173" spans="1:18" ht="17.25" x14ac:dyDescent="0.3">
      <c r="A173" s="5">
        <f t="shared" si="32"/>
        <v>855001</v>
      </c>
      <c r="B173" s="5">
        <f t="shared" si="33"/>
        <v>860000</v>
      </c>
      <c r="C173" s="12">
        <v>0</v>
      </c>
      <c r="E173" s="3">
        <v>0</v>
      </c>
      <c r="F173" s="3">
        <v>0</v>
      </c>
      <c r="G173" s="6">
        <v>0</v>
      </c>
      <c r="H173" s="5">
        <f t="shared" si="23"/>
        <v>88500</v>
      </c>
      <c r="I173" s="5">
        <f t="shared" si="24"/>
        <v>88500</v>
      </c>
      <c r="L173" s="5">
        <f t="shared" si="25"/>
        <v>948500</v>
      </c>
      <c r="M173" s="5">
        <f t="shared" si="26"/>
        <v>1009042.5531914894</v>
      </c>
      <c r="N173" s="8">
        <f t="shared" si="27"/>
        <v>88500</v>
      </c>
      <c r="O173" s="9">
        <f t="shared" si="28"/>
        <v>8.7706905640484972E-2</v>
      </c>
      <c r="P173" s="5">
        <f t="shared" si="29"/>
        <v>1090229.8850574712</v>
      </c>
      <c r="Q173" s="8">
        <f t="shared" si="30"/>
        <v>88500</v>
      </c>
      <c r="R173" s="9">
        <f t="shared" si="31"/>
        <v>8.1175540326831844E-2</v>
      </c>
    </row>
    <row r="174" spans="1:18" ht="17.25" x14ac:dyDescent="0.3">
      <c r="A174" s="5">
        <f t="shared" si="32"/>
        <v>860001</v>
      </c>
      <c r="B174" s="5">
        <f t="shared" si="33"/>
        <v>865000</v>
      </c>
      <c r="C174" s="12">
        <v>0</v>
      </c>
      <c r="E174" s="3">
        <v>0</v>
      </c>
      <c r="F174" s="3">
        <v>0</v>
      </c>
      <c r="G174" s="6">
        <v>0</v>
      </c>
      <c r="H174" s="5">
        <f t="shared" si="23"/>
        <v>89000</v>
      </c>
      <c r="I174" s="5">
        <f t="shared" si="24"/>
        <v>89000</v>
      </c>
      <c r="L174" s="5">
        <f t="shared" si="25"/>
        <v>954000</v>
      </c>
      <c r="M174" s="5">
        <f t="shared" si="26"/>
        <v>1014893.6170212766</v>
      </c>
      <c r="N174" s="8">
        <f t="shared" si="27"/>
        <v>89000</v>
      </c>
      <c r="O174" s="9">
        <f t="shared" si="28"/>
        <v>8.7693920335429762E-2</v>
      </c>
      <c r="P174" s="5">
        <f t="shared" si="29"/>
        <v>1096551.7241379311</v>
      </c>
      <c r="Q174" s="8">
        <f t="shared" si="30"/>
        <v>89000.000000000116</v>
      </c>
      <c r="R174" s="9">
        <f t="shared" si="31"/>
        <v>8.1163522012578718E-2</v>
      </c>
    </row>
    <row r="175" spans="1:18" ht="17.25" x14ac:dyDescent="0.3">
      <c r="A175" s="5">
        <f t="shared" si="32"/>
        <v>865001</v>
      </c>
      <c r="B175" s="5">
        <f t="shared" si="33"/>
        <v>870000</v>
      </c>
      <c r="C175" s="12">
        <v>0</v>
      </c>
      <c r="E175" s="3">
        <v>0</v>
      </c>
      <c r="F175" s="3">
        <v>0</v>
      </c>
      <c r="G175" s="6">
        <v>0</v>
      </c>
      <c r="H175" s="5">
        <f t="shared" si="23"/>
        <v>89500</v>
      </c>
      <c r="I175" s="5">
        <f t="shared" si="24"/>
        <v>89500</v>
      </c>
      <c r="L175" s="5">
        <f t="shared" si="25"/>
        <v>959500</v>
      </c>
      <c r="M175" s="5">
        <f t="shared" si="26"/>
        <v>1020744.6808510639</v>
      </c>
      <c r="N175" s="8">
        <f t="shared" si="27"/>
        <v>89500</v>
      </c>
      <c r="O175" s="9">
        <f t="shared" si="28"/>
        <v>8.7681083897863457E-2</v>
      </c>
      <c r="P175" s="5">
        <f t="shared" si="29"/>
        <v>1102873.5632183908</v>
      </c>
      <c r="Q175" s="8">
        <f t="shared" si="30"/>
        <v>89500</v>
      </c>
      <c r="R175" s="9">
        <f t="shared" si="31"/>
        <v>8.1151641479937461E-2</v>
      </c>
    </row>
    <row r="176" spans="1:18" ht="17.25" x14ac:dyDescent="0.3">
      <c r="A176" s="5">
        <f t="shared" si="32"/>
        <v>870001</v>
      </c>
      <c r="B176" s="5">
        <f t="shared" si="33"/>
        <v>875000</v>
      </c>
      <c r="C176" s="12">
        <v>0</v>
      </c>
      <c r="E176" s="3">
        <v>0</v>
      </c>
      <c r="F176" s="3">
        <v>0</v>
      </c>
      <c r="G176" s="6">
        <v>0</v>
      </c>
      <c r="H176" s="5">
        <f t="shared" si="23"/>
        <v>90000</v>
      </c>
      <c r="I176" s="5">
        <f t="shared" si="24"/>
        <v>90000</v>
      </c>
      <c r="L176" s="5">
        <f t="shared" si="25"/>
        <v>965000</v>
      </c>
      <c r="M176" s="5">
        <f t="shared" si="26"/>
        <v>1026595.7446808511</v>
      </c>
      <c r="N176" s="8">
        <f t="shared" si="27"/>
        <v>90000</v>
      </c>
      <c r="O176" s="9">
        <f t="shared" si="28"/>
        <v>8.7668393782383419E-2</v>
      </c>
      <c r="P176" s="5">
        <f t="shared" si="29"/>
        <v>1109195.4022988505</v>
      </c>
      <c r="Q176" s="8">
        <f t="shared" si="30"/>
        <v>89999.999999999884</v>
      </c>
      <c r="R176" s="9">
        <f t="shared" si="31"/>
        <v>8.1139896373056894E-2</v>
      </c>
    </row>
    <row r="177" spans="1:18" ht="17.25" x14ac:dyDescent="0.3">
      <c r="A177" s="5">
        <f t="shared" si="32"/>
        <v>875001</v>
      </c>
      <c r="B177" s="5">
        <f t="shared" si="33"/>
        <v>880000</v>
      </c>
      <c r="C177" s="12">
        <v>0</v>
      </c>
      <c r="E177" s="3">
        <v>0</v>
      </c>
      <c r="F177" s="3">
        <v>0</v>
      </c>
      <c r="G177" s="6">
        <v>0</v>
      </c>
      <c r="H177" s="5">
        <f t="shared" si="23"/>
        <v>90500</v>
      </c>
      <c r="I177" s="5">
        <f t="shared" si="24"/>
        <v>90500</v>
      </c>
      <c r="L177" s="5">
        <f t="shared" si="25"/>
        <v>970500</v>
      </c>
      <c r="M177" s="5">
        <f t="shared" si="26"/>
        <v>1032446.8085106383</v>
      </c>
      <c r="N177" s="8">
        <f t="shared" si="27"/>
        <v>90500</v>
      </c>
      <c r="O177" s="9">
        <f t="shared" si="28"/>
        <v>8.7655847501287992E-2</v>
      </c>
      <c r="P177" s="5">
        <f t="shared" si="29"/>
        <v>1115517.2413793104</v>
      </c>
      <c r="Q177" s="8">
        <f t="shared" si="30"/>
        <v>90500</v>
      </c>
      <c r="R177" s="9">
        <f t="shared" si="31"/>
        <v>8.1128284389489949E-2</v>
      </c>
    </row>
    <row r="178" spans="1:18" ht="17.25" x14ac:dyDescent="0.3">
      <c r="A178" s="5">
        <f t="shared" si="32"/>
        <v>880001</v>
      </c>
      <c r="B178" s="5">
        <f t="shared" si="33"/>
        <v>885000</v>
      </c>
      <c r="C178" s="12">
        <v>0</v>
      </c>
      <c r="E178" s="3">
        <v>0</v>
      </c>
      <c r="F178" s="3">
        <v>0</v>
      </c>
      <c r="G178" s="6">
        <v>0</v>
      </c>
      <c r="H178" s="5">
        <f t="shared" si="23"/>
        <v>91000</v>
      </c>
      <c r="I178" s="5">
        <f t="shared" si="24"/>
        <v>91000</v>
      </c>
      <c r="L178" s="5">
        <f t="shared" si="25"/>
        <v>976000</v>
      </c>
      <c r="M178" s="5">
        <f t="shared" si="26"/>
        <v>1038297.8723404256</v>
      </c>
      <c r="N178" s="8">
        <f t="shared" si="27"/>
        <v>91000</v>
      </c>
      <c r="O178" s="9">
        <f t="shared" si="28"/>
        <v>8.7643442622950818E-2</v>
      </c>
      <c r="P178" s="5">
        <f t="shared" si="29"/>
        <v>1121839.08045977</v>
      </c>
      <c r="Q178" s="8">
        <f t="shared" si="30"/>
        <v>90999.999999999884</v>
      </c>
      <c r="R178" s="9">
        <f t="shared" si="31"/>
        <v>8.1116803278688421E-2</v>
      </c>
    </row>
    <row r="179" spans="1:18" ht="17.25" x14ac:dyDescent="0.3">
      <c r="A179" s="5">
        <f t="shared" si="32"/>
        <v>885001</v>
      </c>
      <c r="B179" s="5">
        <f t="shared" si="33"/>
        <v>890000</v>
      </c>
      <c r="C179" s="12">
        <v>0</v>
      </c>
      <c r="E179" s="3">
        <v>0</v>
      </c>
      <c r="F179" s="3">
        <v>0</v>
      </c>
      <c r="G179" s="6">
        <v>0</v>
      </c>
      <c r="H179" s="5">
        <f t="shared" si="23"/>
        <v>91500</v>
      </c>
      <c r="I179" s="5">
        <f t="shared" si="24"/>
        <v>91500</v>
      </c>
      <c r="L179" s="5">
        <f t="shared" si="25"/>
        <v>981500</v>
      </c>
      <c r="M179" s="5">
        <f t="shared" si="26"/>
        <v>1044148.9361702128</v>
      </c>
      <c r="N179" s="8">
        <f t="shared" si="27"/>
        <v>91500</v>
      </c>
      <c r="O179" s="9">
        <f t="shared" si="28"/>
        <v>8.7631176770249619E-2</v>
      </c>
      <c r="P179" s="5">
        <f t="shared" si="29"/>
        <v>1128160.91954023</v>
      </c>
      <c r="Q179" s="8">
        <f t="shared" si="30"/>
        <v>91500</v>
      </c>
      <c r="R179" s="9">
        <f t="shared" si="31"/>
        <v>8.1105450840550167E-2</v>
      </c>
    </row>
    <row r="180" spans="1:18" ht="17.25" x14ac:dyDescent="0.3">
      <c r="A180" s="5">
        <f t="shared" si="32"/>
        <v>890001</v>
      </c>
      <c r="B180" s="5">
        <f t="shared" si="33"/>
        <v>895000</v>
      </c>
      <c r="C180" s="12">
        <v>0</v>
      </c>
      <c r="E180" s="3">
        <v>0</v>
      </c>
      <c r="F180" s="3">
        <v>0</v>
      </c>
      <c r="G180" s="6">
        <v>0</v>
      </c>
      <c r="H180" s="5">
        <f t="shared" si="23"/>
        <v>92000</v>
      </c>
      <c r="I180" s="5">
        <f t="shared" si="24"/>
        <v>92000</v>
      </c>
      <c r="L180" s="5">
        <f t="shared" si="25"/>
        <v>987000</v>
      </c>
      <c r="M180" s="5">
        <f t="shared" si="26"/>
        <v>1050000</v>
      </c>
      <c r="N180" s="8">
        <f t="shared" si="27"/>
        <v>92000</v>
      </c>
      <c r="O180" s="9">
        <f t="shared" si="28"/>
        <v>8.7619047619047624E-2</v>
      </c>
      <c r="P180" s="5">
        <f t="shared" si="29"/>
        <v>1134482.7586206896</v>
      </c>
      <c r="Q180" s="8">
        <f t="shared" si="30"/>
        <v>92000</v>
      </c>
      <c r="R180" s="9">
        <f t="shared" si="31"/>
        <v>8.1094224924012165E-2</v>
      </c>
    </row>
    <row r="181" spans="1:18" ht="17.25" x14ac:dyDescent="0.3">
      <c r="A181" s="5">
        <f t="shared" si="32"/>
        <v>895001</v>
      </c>
      <c r="B181" s="5">
        <f t="shared" si="33"/>
        <v>900000</v>
      </c>
      <c r="C181" s="12">
        <v>0</v>
      </c>
      <c r="E181" s="3">
        <v>0</v>
      </c>
      <c r="F181" s="3">
        <v>0</v>
      </c>
      <c r="G181" s="6">
        <v>0</v>
      </c>
      <c r="H181" s="5">
        <f t="shared" si="23"/>
        <v>92500</v>
      </c>
      <c r="I181" s="5">
        <f t="shared" si="24"/>
        <v>92500</v>
      </c>
      <c r="L181" s="5">
        <f t="shared" si="25"/>
        <v>992500</v>
      </c>
      <c r="M181" s="5">
        <f t="shared" si="26"/>
        <v>1055851.0638297873</v>
      </c>
      <c r="N181" s="8">
        <f t="shared" si="27"/>
        <v>92500</v>
      </c>
      <c r="O181" s="9">
        <f t="shared" si="28"/>
        <v>8.7607052896725435E-2</v>
      </c>
      <c r="P181" s="5">
        <f t="shared" si="29"/>
        <v>1140804.5977011495</v>
      </c>
      <c r="Q181" s="8">
        <f t="shared" si="30"/>
        <v>92500.000000000116</v>
      </c>
      <c r="R181" s="9">
        <f t="shared" si="31"/>
        <v>8.1083123425692794E-2</v>
      </c>
    </row>
    <row r="182" spans="1:18" ht="17.25" x14ac:dyDescent="0.3">
      <c r="A182" s="5">
        <f t="shared" si="32"/>
        <v>900001</v>
      </c>
      <c r="B182" s="5">
        <f t="shared" si="33"/>
        <v>905000</v>
      </c>
      <c r="C182" s="12">
        <v>0</v>
      </c>
      <c r="E182" s="3">
        <v>0</v>
      </c>
      <c r="F182" s="3">
        <v>0</v>
      </c>
      <c r="G182" s="6">
        <v>0</v>
      </c>
      <c r="H182" s="5">
        <f t="shared" si="23"/>
        <v>93000</v>
      </c>
      <c r="I182" s="5">
        <f t="shared" si="24"/>
        <v>93000</v>
      </c>
      <c r="L182" s="5">
        <f t="shared" si="25"/>
        <v>998000</v>
      </c>
      <c r="M182" s="5">
        <f t="shared" si="26"/>
        <v>1061702.1276595746</v>
      </c>
      <c r="N182" s="8">
        <f t="shared" si="27"/>
        <v>93000.000000000116</v>
      </c>
      <c r="O182" s="9">
        <f t="shared" si="28"/>
        <v>8.759519038076162E-2</v>
      </c>
      <c r="P182" s="5">
        <f t="shared" si="29"/>
        <v>1147126.4367816092</v>
      </c>
      <c r="Q182" s="8">
        <f t="shared" si="30"/>
        <v>93000</v>
      </c>
      <c r="R182" s="9">
        <f t="shared" si="31"/>
        <v>8.1072144288577161E-2</v>
      </c>
    </row>
    <row r="183" spans="1:18" ht="17.25" x14ac:dyDescent="0.3">
      <c r="A183" s="5">
        <f t="shared" si="32"/>
        <v>905001</v>
      </c>
      <c r="B183" s="5">
        <f t="shared" si="33"/>
        <v>910000</v>
      </c>
      <c r="C183" s="12">
        <v>0</v>
      </c>
      <c r="E183" s="3">
        <v>0</v>
      </c>
      <c r="F183" s="3">
        <v>0</v>
      </c>
      <c r="G183" s="6">
        <v>0</v>
      </c>
      <c r="H183" s="5">
        <f t="shared" si="23"/>
        <v>93500</v>
      </c>
      <c r="I183" s="5">
        <f t="shared" si="24"/>
        <v>93500</v>
      </c>
      <c r="L183" s="5">
        <f t="shared" si="25"/>
        <v>1003500</v>
      </c>
      <c r="M183" s="5">
        <f t="shared" si="26"/>
        <v>1067553.1914893617</v>
      </c>
      <c r="N183" s="8">
        <f t="shared" si="27"/>
        <v>93499.999999999884</v>
      </c>
      <c r="O183" s="9">
        <f t="shared" si="28"/>
        <v>8.7583457897359135E-2</v>
      </c>
      <c r="P183" s="5">
        <f t="shared" si="29"/>
        <v>1153448.2758620689</v>
      </c>
      <c r="Q183" s="8">
        <f t="shared" si="30"/>
        <v>93499.999999999884</v>
      </c>
      <c r="R183" s="9">
        <f t="shared" si="31"/>
        <v>8.1061285500747288E-2</v>
      </c>
    </row>
    <row r="184" spans="1:18" ht="17.25" x14ac:dyDescent="0.3">
      <c r="A184" s="5">
        <f t="shared" si="32"/>
        <v>910001</v>
      </c>
      <c r="B184" s="5">
        <f t="shared" si="33"/>
        <v>915000</v>
      </c>
      <c r="C184" s="12">
        <v>0</v>
      </c>
      <c r="E184" s="3">
        <v>0</v>
      </c>
      <c r="F184" s="3">
        <v>0</v>
      </c>
      <c r="G184" s="6">
        <v>0</v>
      </c>
      <c r="H184" s="5">
        <f t="shared" si="23"/>
        <v>94000</v>
      </c>
      <c r="I184" s="5">
        <f t="shared" si="24"/>
        <v>94000</v>
      </c>
      <c r="L184" s="5">
        <f t="shared" si="25"/>
        <v>1009000</v>
      </c>
      <c r="M184" s="5">
        <f t="shared" si="26"/>
        <v>1073404.255319149</v>
      </c>
      <c r="N184" s="8">
        <f t="shared" si="27"/>
        <v>94000</v>
      </c>
      <c r="O184" s="9">
        <f t="shared" si="28"/>
        <v>8.7571853320118923E-2</v>
      </c>
      <c r="P184" s="5">
        <f t="shared" si="29"/>
        <v>1159770.1149425288</v>
      </c>
      <c r="Q184" s="8">
        <f t="shared" si="30"/>
        <v>94000</v>
      </c>
      <c r="R184" s="9">
        <f t="shared" si="31"/>
        <v>8.1050545094152618E-2</v>
      </c>
    </row>
    <row r="185" spans="1:18" ht="17.25" x14ac:dyDescent="0.3">
      <c r="A185" s="5">
        <f t="shared" si="32"/>
        <v>915001</v>
      </c>
      <c r="B185" s="5">
        <f t="shared" si="33"/>
        <v>920000</v>
      </c>
      <c r="C185" s="12">
        <v>0</v>
      </c>
      <c r="E185" s="3">
        <v>0</v>
      </c>
      <c r="F185" s="3">
        <v>0</v>
      </c>
      <c r="G185" s="6">
        <v>0</v>
      </c>
      <c r="H185" s="5">
        <f t="shared" si="23"/>
        <v>94500</v>
      </c>
      <c r="I185" s="5">
        <f t="shared" si="24"/>
        <v>94500</v>
      </c>
      <c r="L185" s="5">
        <f t="shared" si="25"/>
        <v>1014500</v>
      </c>
      <c r="M185" s="5">
        <f t="shared" si="26"/>
        <v>1079255.3191489363</v>
      </c>
      <c r="N185" s="8">
        <f t="shared" si="27"/>
        <v>94500.000000000116</v>
      </c>
      <c r="O185" s="9">
        <f t="shared" si="28"/>
        <v>8.756037456875318E-2</v>
      </c>
      <c r="P185" s="5">
        <f t="shared" si="29"/>
        <v>1166091.9540229884</v>
      </c>
      <c r="Q185" s="8">
        <f t="shared" si="30"/>
        <v>94499.999999999884</v>
      </c>
      <c r="R185" s="9">
        <f t="shared" si="31"/>
        <v>8.1039921143420304E-2</v>
      </c>
    </row>
    <row r="186" spans="1:18" ht="17.25" x14ac:dyDescent="0.3">
      <c r="A186" s="5">
        <f t="shared" si="32"/>
        <v>920001</v>
      </c>
      <c r="B186" s="5">
        <f t="shared" si="33"/>
        <v>925000</v>
      </c>
      <c r="C186" s="12">
        <v>0</v>
      </c>
      <c r="E186" s="3">
        <v>0</v>
      </c>
      <c r="F186" s="3">
        <v>0</v>
      </c>
      <c r="G186" s="6">
        <v>0</v>
      </c>
      <c r="H186" s="5">
        <f t="shared" si="23"/>
        <v>95000</v>
      </c>
      <c r="I186" s="5">
        <f t="shared" si="24"/>
        <v>95000</v>
      </c>
      <c r="L186" s="5">
        <f t="shared" si="25"/>
        <v>1020000</v>
      </c>
      <c r="M186" s="5">
        <f t="shared" si="26"/>
        <v>1085106.3829787234</v>
      </c>
      <c r="N186" s="8">
        <f t="shared" si="27"/>
        <v>94999.999999999884</v>
      </c>
      <c r="O186" s="9">
        <f t="shared" si="28"/>
        <v>8.7549019607843032E-2</v>
      </c>
      <c r="P186" s="5">
        <f t="shared" si="29"/>
        <v>1172413.7931034483</v>
      </c>
      <c r="Q186" s="8">
        <f t="shared" si="30"/>
        <v>95000</v>
      </c>
      <c r="R186" s="9">
        <f t="shared" si="31"/>
        <v>8.1029411764705878E-2</v>
      </c>
    </row>
    <row r="187" spans="1:18" ht="17.25" x14ac:dyDescent="0.3">
      <c r="A187" s="5">
        <f t="shared" si="32"/>
        <v>925001</v>
      </c>
      <c r="B187" s="5">
        <f t="shared" si="33"/>
        <v>930000</v>
      </c>
      <c r="C187" s="12">
        <v>0</v>
      </c>
      <c r="E187" s="3">
        <v>0</v>
      </c>
      <c r="F187" s="3">
        <v>0</v>
      </c>
      <c r="G187" s="6">
        <v>0</v>
      </c>
      <c r="H187" s="5">
        <f t="shared" si="23"/>
        <v>95500</v>
      </c>
      <c r="I187" s="5">
        <f t="shared" si="24"/>
        <v>95500</v>
      </c>
      <c r="L187" s="5">
        <f t="shared" si="25"/>
        <v>1025500</v>
      </c>
      <c r="M187" s="5">
        <f t="shared" si="26"/>
        <v>1090957.4468085107</v>
      </c>
      <c r="N187" s="8">
        <f t="shared" si="27"/>
        <v>95500</v>
      </c>
      <c r="O187" s="9">
        <f t="shared" si="28"/>
        <v>8.753778644563627E-2</v>
      </c>
      <c r="P187" s="5">
        <f t="shared" si="29"/>
        <v>1178735.632183908</v>
      </c>
      <c r="Q187" s="8">
        <f t="shared" si="30"/>
        <v>95500</v>
      </c>
      <c r="R187" s="9">
        <f t="shared" si="31"/>
        <v>8.1019015114578249E-2</v>
      </c>
    </row>
    <row r="188" spans="1:18" ht="17.25" x14ac:dyDescent="0.3">
      <c r="A188" s="5">
        <f t="shared" si="32"/>
        <v>930001</v>
      </c>
      <c r="B188" s="5">
        <f t="shared" si="33"/>
        <v>935000</v>
      </c>
      <c r="C188" s="12">
        <v>0</v>
      </c>
      <c r="E188" s="3">
        <v>0</v>
      </c>
      <c r="F188" s="3">
        <v>0</v>
      </c>
      <c r="G188" s="6">
        <v>0</v>
      </c>
      <c r="H188" s="5">
        <f t="shared" si="23"/>
        <v>96000</v>
      </c>
      <c r="I188" s="5">
        <f t="shared" si="24"/>
        <v>96000</v>
      </c>
      <c r="L188" s="5">
        <f t="shared" si="25"/>
        <v>1031000</v>
      </c>
      <c r="M188" s="5">
        <f t="shared" si="26"/>
        <v>1096808.510638298</v>
      </c>
      <c r="N188" s="8">
        <f t="shared" si="27"/>
        <v>96000.000000000116</v>
      </c>
      <c r="O188" s="9">
        <f t="shared" si="28"/>
        <v>8.7526673132880789E-2</v>
      </c>
      <c r="P188" s="5">
        <f t="shared" si="29"/>
        <v>1185057.4712643679</v>
      </c>
      <c r="Q188" s="8">
        <f t="shared" si="30"/>
        <v>96000.000000000116</v>
      </c>
      <c r="R188" s="9">
        <f t="shared" si="31"/>
        <v>8.1008729388942866E-2</v>
      </c>
    </row>
    <row r="189" spans="1:18" ht="17.25" x14ac:dyDescent="0.3">
      <c r="A189" s="5">
        <f t="shared" si="32"/>
        <v>935001</v>
      </c>
      <c r="B189" s="5">
        <f t="shared" si="33"/>
        <v>940000</v>
      </c>
      <c r="C189" s="12">
        <v>0</v>
      </c>
      <c r="E189" s="3">
        <v>0</v>
      </c>
      <c r="F189" s="3">
        <v>0</v>
      </c>
      <c r="G189" s="6">
        <v>0</v>
      </c>
      <c r="H189" s="5">
        <f t="shared" si="23"/>
        <v>96500</v>
      </c>
      <c r="I189" s="5">
        <f t="shared" si="24"/>
        <v>96500</v>
      </c>
      <c r="L189" s="5">
        <f t="shared" si="25"/>
        <v>1036500</v>
      </c>
      <c r="M189" s="5">
        <f t="shared" si="26"/>
        <v>1102659.5744680851</v>
      </c>
      <c r="N189" s="8">
        <f t="shared" si="27"/>
        <v>96499.999999999884</v>
      </c>
      <c r="O189" s="9">
        <f t="shared" si="28"/>
        <v>8.7515677761697913E-2</v>
      </c>
      <c r="P189" s="5">
        <f t="shared" si="29"/>
        <v>1191379.3103448276</v>
      </c>
      <c r="Q189" s="8">
        <f t="shared" si="30"/>
        <v>96500</v>
      </c>
      <c r="R189" s="9">
        <f t="shared" si="31"/>
        <v>8.0998552821997111E-2</v>
      </c>
    </row>
    <row r="190" spans="1:18" ht="17.25" x14ac:dyDescent="0.3">
      <c r="A190" s="5">
        <f t="shared" si="32"/>
        <v>940001</v>
      </c>
      <c r="B190" s="5">
        <f t="shared" si="33"/>
        <v>945000</v>
      </c>
      <c r="C190" s="12">
        <v>0</v>
      </c>
      <c r="E190" s="3">
        <v>0</v>
      </c>
      <c r="F190" s="3">
        <v>0</v>
      </c>
      <c r="G190" s="6">
        <v>0</v>
      </c>
      <c r="H190" s="5">
        <f t="shared" si="23"/>
        <v>97000</v>
      </c>
      <c r="I190" s="5">
        <f t="shared" si="24"/>
        <v>97000</v>
      </c>
      <c r="L190" s="5">
        <f t="shared" si="25"/>
        <v>1042000</v>
      </c>
      <c r="M190" s="5">
        <f t="shared" si="26"/>
        <v>1108510.6382978724</v>
      </c>
      <c r="N190" s="8">
        <f t="shared" si="27"/>
        <v>97000</v>
      </c>
      <c r="O190" s="9">
        <f t="shared" si="28"/>
        <v>8.7504798464491357E-2</v>
      </c>
      <c r="P190" s="5">
        <f t="shared" si="29"/>
        <v>1197701.1494252873</v>
      </c>
      <c r="Q190" s="8">
        <f t="shared" si="30"/>
        <v>96999.999999999884</v>
      </c>
      <c r="R190" s="9">
        <f t="shared" si="31"/>
        <v>8.0988483685220644E-2</v>
      </c>
    </row>
    <row r="191" spans="1:18" ht="17.25" x14ac:dyDescent="0.3">
      <c r="A191" s="5">
        <f t="shared" si="32"/>
        <v>945001</v>
      </c>
      <c r="B191" s="5">
        <f t="shared" si="33"/>
        <v>950000</v>
      </c>
      <c r="C191" s="12">
        <v>0</v>
      </c>
      <c r="E191" s="3">
        <v>0</v>
      </c>
      <c r="F191" s="3">
        <v>0</v>
      </c>
      <c r="G191" s="6">
        <v>0</v>
      </c>
      <c r="H191" s="5">
        <f t="shared" si="23"/>
        <v>97500</v>
      </c>
      <c r="I191" s="5">
        <f t="shared" si="24"/>
        <v>97500</v>
      </c>
      <c r="L191" s="5">
        <f t="shared" si="25"/>
        <v>1047500</v>
      </c>
      <c r="M191" s="5">
        <f t="shared" si="26"/>
        <v>1114361.7021276597</v>
      </c>
      <c r="N191" s="8">
        <f t="shared" si="27"/>
        <v>97500</v>
      </c>
      <c r="O191" s="9">
        <f t="shared" si="28"/>
        <v>8.749403341288782E-2</v>
      </c>
      <c r="P191" s="5">
        <f t="shared" si="29"/>
        <v>1204022.9885057472</v>
      </c>
      <c r="Q191" s="8">
        <f t="shared" si="30"/>
        <v>97500</v>
      </c>
      <c r="R191" s="9">
        <f t="shared" si="31"/>
        <v>8.0978520286396183E-2</v>
      </c>
    </row>
    <row r="192" spans="1:18" ht="17.25" x14ac:dyDescent="0.3">
      <c r="A192" s="5">
        <f t="shared" si="32"/>
        <v>950001</v>
      </c>
      <c r="B192" s="5">
        <f t="shared" si="33"/>
        <v>955000</v>
      </c>
      <c r="C192" s="12">
        <v>0</v>
      </c>
      <c r="E192" s="3">
        <v>0</v>
      </c>
      <c r="F192" s="3">
        <v>0</v>
      </c>
      <c r="G192" s="6">
        <v>0</v>
      </c>
      <c r="H192" s="5">
        <f t="shared" si="23"/>
        <v>98000</v>
      </c>
      <c r="I192" s="5">
        <f t="shared" si="24"/>
        <v>98000</v>
      </c>
      <c r="L192" s="5">
        <f t="shared" si="25"/>
        <v>1053000</v>
      </c>
      <c r="M192" s="5">
        <f t="shared" si="26"/>
        <v>1120212.7659574468</v>
      </c>
      <c r="N192" s="8">
        <f t="shared" si="27"/>
        <v>98000</v>
      </c>
      <c r="O192" s="9">
        <f t="shared" si="28"/>
        <v>8.7483380816714154E-2</v>
      </c>
      <c r="P192" s="5">
        <f t="shared" si="29"/>
        <v>1210344.8275862068</v>
      </c>
      <c r="Q192" s="8">
        <f t="shared" si="30"/>
        <v>98000</v>
      </c>
      <c r="R192" s="9">
        <f t="shared" si="31"/>
        <v>8.0968660968660969E-2</v>
      </c>
    </row>
    <row r="193" spans="1:18" ht="17.25" x14ac:dyDescent="0.3">
      <c r="A193" s="5">
        <f t="shared" si="32"/>
        <v>955001</v>
      </c>
      <c r="B193" s="5">
        <f t="shared" si="33"/>
        <v>960000</v>
      </c>
      <c r="C193" s="12">
        <v>0</v>
      </c>
      <c r="E193" s="3">
        <v>0</v>
      </c>
      <c r="F193" s="3">
        <v>0</v>
      </c>
      <c r="G193" s="6">
        <v>0</v>
      </c>
      <c r="H193" s="5">
        <f t="shared" si="23"/>
        <v>98500</v>
      </c>
      <c r="I193" s="5">
        <f t="shared" si="24"/>
        <v>98500</v>
      </c>
      <c r="L193" s="5">
        <f t="shared" si="25"/>
        <v>1058500</v>
      </c>
      <c r="M193" s="5">
        <f t="shared" si="26"/>
        <v>1126063.8297872341</v>
      </c>
      <c r="N193" s="8">
        <f t="shared" si="27"/>
        <v>98500</v>
      </c>
      <c r="O193" s="9">
        <f t="shared" si="28"/>
        <v>8.7472838923004254E-2</v>
      </c>
      <c r="P193" s="5">
        <f t="shared" si="29"/>
        <v>1216666.6666666667</v>
      </c>
      <c r="Q193" s="8">
        <f t="shared" si="30"/>
        <v>98500</v>
      </c>
      <c r="R193" s="9">
        <f t="shared" si="31"/>
        <v>8.095890410958903E-2</v>
      </c>
    </row>
    <row r="194" spans="1:18" ht="17.25" x14ac:dyDescent="0.3">
      <c r="A194" s="5">
        <f t="shared" si="32"/>
        <v>960001</v>
      </c>
      <c r="B194" s="5">
        <f t="shared" si="33"/>
        <v>965000</v>
      </c>
      <c r="C194" s="12">
        <v>0</v>
      </c>
      <c r="E194" s="3">
        <v>0</v>
      </c>
      <c r="F194" s="3">
        <v>0</v>
      </c>
      <c r="G194" s="6">
        <v>0</v>
      </c>
      <c r="H194" s="5">
        <f t="shared" si="23"/>
        <v>99000</v>
      </c>
      <c r="I194" s="5">
        <f t="shared" si="24"/>
        <v>99000</v>
      </c>
      <c r="L194" s="5">
        <f t="shared" si="25"/>
        <v>1064000</v>
      </c>
      <c r="M194" s="5">
        <f t="shared" si="26"/>
        <v>1131914.8936170214</v>
      </c>
      <c r="N194" s="8">
        <f t="shared" si="27"/>
        <v>99000</v>
      </c>
      <c r="O194" s="9">
        <f t="shared" si="28"/>
        <v>8.7462406015037589E-2</v>
      </c>
      <c r="P194" s="5">
        <f t="shared" si="29"/>
        <v>1222988.5057471264</v>
      </c>
      <c r="Q194" s="8">
        <f t="shared" si="30"/>
        <v>99000</v>
      </c>
      <c r="R194" s="9">
        <f t="shared" si="31"/>
        <v>8.0949248120300757E-2</v>
      </c>
    </row>
    <row r="195" spans="1:18" ht="17.25" x14ac:dyDescent="0.3">
      <c r="A195" s="5">
        <f t="shared" si="32"/>
        <v>965001</v>
      </c>
      <c r="B195" s="5">
        <f t="shared" si="33"/>
        <v>970000</v>
      </c>
      <c r="C195" s="12">
        <v>0</v>
      </c>
      <c r="E195" s="3">
        <v>0</v>
      </c>
      <c r="F195" s="3">
        <v>0</v>
      </c>
      <c r="G195" s="6">
        <v>0</v>
      </c>
      <c r="H195" s="5">
        <f t="shared" ref="H195:H201" si="34">$K$3+$K$4*((B195-$B$2)/5000)</f>
        <v>99500</v>
      </c>
      <c r="I195" s="5">
        <f t="shared" ref="I195:I201" si="35">B195*G195+H195</f>
        <v>99500</v>
      </c>
      <c r="L195" s="5">
        <f t="shared" ref="L195:L201" si="36">B195+C195+E195+F195+I195</f>
        <v>1069500</v>
      </c>
      <c r="M195" s="5">
        <f t="shared" ref="M195:M201" si="37">L195/(1-$K$5)</f>
        <v>1137765.9574468085</v>
      </c>
      <c r="N195" s="8">
        <f t="shared" ref="N195:N201" si="38">M195*(1-$K$5)-B195-C195-E195-F195</f>
        <v>99500</v>
      </c>
      <c r="O195" s="9">
        <f t="shared" ref="O195:O201" si="39">N195/M195</f>
        <v>8.7452080411407201E-2</v>
      </c>
      <c r="P195" s="5">
        <f t="shared" ref="P195:P201" si="40">L195/(1-$K$6)</f>
        <v>1229310.3448275863</v>
      </c>
      <c r="Q195" s="8">
        <f t="shared" ref="Q195:Q201" si="41">P195*(1-$K$6)-B195-C195-E195-F195</f>
        <v>99500</v>
      </c>
      <c r="R195" s="9">
        <f t="shared" ref="R195:R201" si="42">Q195/P195</f>
        <v>8.0939691444600267E-2</v>
      </c>
    </row>
    <row r="196" spans="1:18" ht="17.25" x14ac:dyDescent="0.3">
      <c r="A196" s="5">
        <f t="shared" ref="A196:A201" si="43">B195+1</f>
        <v>970001</v>
      </c>
      <c r="B196" s="5">
        <f t="shared" ref="B196:B201" si="44">B195+5000</f>
        <v>975000</v>
      </c>
      <c r="C196" s="12">
        <v>0</v>
      </c>
      <c r="E196" s="3">
        <v>0</v>
      </c>
      <c r="F196" s="3">
        <v>0</v>
      </c>
      <c r="G196" s="6">
        <v>0</v>
      </c>
      <c r="H196" s="5">
        <f t="shared" si="34"/>
        <v>100000</v>
      </c>
      <c r="I196" s="5">
        <f t="shared" si="35"/>
        <v>100000</v>
      </c>
      <c r="L196" s="5">
        <f t="shared" si="36"/>
        <v>1075000</v>
      </c>
      <c r="M196" s="5">
        <f t="shared" si="37"/>
        <v>1143617.0212765958</v>
      </c>
      <c r="N196" s="8">
        <f t="shared" si="38"/>
        <v>100000</v>
      </c>
      <c r="O196" s="9">
        <f t="shared" si="39"/>
        <v>8.7441860465116275E-2</v>
      </c>
      <c r="P196" s="5">
        <f t="shared" si="40"/>
        <v>1235632.183908046</v>
      </c>
      <c r="Q196" s="8">
        <f t="shared" si="41"/>
        <v>100000</v>
      </c>
      <c r="R196" s="9">
        <f t="shared" si="42"/>
        <v>8.0930232558139539E-2</v>
      </c>
    </row>
    <row r="197" spans="1:18" ht="17.25" x14ac:dyDescent="0.3">
      <c r="A197" s="5">
        <f t="shared" si="43"/>
        <v>975001</v>
      </c>
      <c r="B197" s="5">
        <f t="shared" si="44"/>
        <v>980000</v>
      </c>
      <c r="C197" s="12">
        <v>0</v>
      </c>
      <c r="E197" s="3">
        <v>0</v>
      </c>
      <c r="F197" s="3">
        <v>0</v>
      </c>
      <c r="G197" s="6">
        <v>0</v>
      </c>
      <c r="H197" s="5">
        <f t="shared" si="34"/>
        <v>100500</v>
      </c>
      <c r="I197" s="5">
        <f t="shared" si="35"/>
        <v>100500</v>
      </c>
      <c r="L197" s="5">
        <f t="shared" si="36"/>
        <v>1080500</v>
      </c>
      <c r="M197" s="5">
        <f t="shared" si="37"/>
        <v>1149468.0851063831</v>
      </c>
      <c r="N197" s="8">
        <f t="shared" si="38"/>
        <v>100500</v>
      </c>
      <c r="O197" s="9">
        <f t="shared" si="39"/>
        <v>8.7431744562702446E-2</v>
      </c>
      <c r="P197" s="5">
        <f t="shared" si="40"/>
        <v>1241954.0229885057</v>
      </c>
      <c r="Q197" s="8">
        <f t="shared" si="41"/>
        <v>100500</v>
      </c>
      <c r="R197" s="9">
        <f t="shared" si="42"/>
        <v>8.0920869967607598E-2</v>
      </c>
    </row>
    <row r="198" spans="1:18" ht="17.25" x14ac:dyDescent="0.3">
      <c r="A198" s="5">
        <f t="shared" si="43"/>
        <v>980001</v>
      </c>
      <c r="B198" s="5">
        <f t="shared" si="44"/>
        <v>985000</v>
      </c>
      <c r="C198" s="12">
        <v>0</v>
      </c>
      <c r="E198" s="3">
        <v>0</v>
      </c>
      <c r="F198" s="3">
        <v>0</v>
      </c>
      <c r="G198" s="6">
        <v>0</v>
      </c>
      <c r="H198" s="5">
        <f t="shared" si="34"/>
        <v>101000</v>
      </c>
      <c r="I198" s="5">
        <f t="shared" si="35"/>
        <v>101000</v>
      </c>
      <c r="L198" s="5">
        <f t="shared" si="36"/>
        <v>1086000</v>
      </c>
      <c r="M198" s="5">
        <f t="shared" si="37"/>
        <v>1155319.1489361704</v>
      </c>
      <c r="N198" s="8">
        <f t="shared" si="38"/>
        <v>101000</v>
      </c>
      <c r="O198" s="9">
        <f t="shared" si="39"/>
        <v>8.7421731123388566E-2</v>
      </c>
      <c r="P198" s="5">
        <f t="shared" si="40"/>
        <v>1248275.8620689656</v>
      </c>
      <c r="Q198" s="8">
        <f t="shared" si="41"/>
        <v>101000</v>
      </c>
      <c r="R198" s="9">
        <f t="shared" si="42"/>
        <v>8.0911602209944755E-2</v>
      </c>
    </row>
    <row r="199" spans="1:18" ht="17.25" x14ac:dyDescent="0.3">
      <c r="A199" s="5">
        <f t="shared" si="43"/>
        <v>985001</v>
      </c>
      <c r="B199" s="5">
        <f t="shared" si="44"/>
        <v>990000</v>
      </c>
      <c r="C199" s="12">
        <v>0</v>
      </c>
      <c r="E199" s="3">
        <v>0</v>
      </c>
      <c r="F199" s="3">
        <v>0</v>
      </c>
      <c r="G199" s="6">
        <v>0</v>
      </c>
      <c r="H199" s="5">
        <f t="shared" si="34"/>
        <v>101500</v>
      </c>
      <c r="I199" s="5">
        <f t="shared" si="35"/>
        <v>101500</v>
      </c>
      <c r="L199" s="5">
        <f t="shared" si="36"/>
        <v>1091500</v>
      </c>
      <c r="M199" s="5">
        <f t="shared" si="37"/>
        <v>1161170.2127659575</v>
      </c>
      <c r="N199" s="8">
        <f t="shared" si="38"/>
        <v>101500</v>
      </c>
      <c r="O199" s="9">
        <f t="shared" si="39"/>
        <v>8.7411818598259278E-2</v>
      </c>
      <c r="P199" s="5">
        <f t="shared" si="40"/>
        <v>1254597.7011494252</v>
      </c>
      <c r="Q199" s="8">
        <f t="shared" si="41"/>
        <v>101500</v>
      </c>
      <c r="R199" s="9">
        <f t="shared" si="42"/>
        <v>8.0902427851580402E-2</v>
      </c>
    </row>
    <row r="200" spans="1:18" ht="17.25" x14ac:dyDescent="0.3">
      <c r="A200" s="5">
        <f t="shared" si="43"/>
        <v>990001</v>
      </c>
      <c r="B200" s="5">
        <f t="shared" si="44"/>
        <v>995000</v>
      </c>
      <c r="C200" s="12">
        <v>0</v>
      </c>
      <c r="E200" s="3">
        <v>0</v>
      </c>
      <c r="F200" s="3">
        <v>0</v>
      </c>
      <c r="G200" s="6">
        <v>0</v>
      </c>
      <c r="H200" s="5">
        <f t="shared" si="34"/>
        <v>102000</v>
      </c>
      <c r="I200" s="5">
        <f t="shared" si="35"/>
        <v>102000</v>
      </c>
      <c r="L200" s="5">
        <f t="shared" si="36"/>
        <v>1097000</v>
      </c>
      <c r="M200" s="5">
        <f t="shared" si="37"/>
        <v>1167021.2765957448</v>
      </c>
      <c r="N200" s="8">
        <f t="shared" si="38"/>
        <v>102000</v>
      </c>
      <c r="O200" s="9">
        <f t="shared" si="39"/>
        <v>8.7402005469462168E-2</v>
      </c>
      <c r="P200" s="5">
        <f t="shared" si="40"/>
        <v>1260919.5402298851</v>
      </c>
      <c r="Q200" s="8">
        <f t="shared" si="41"/>
        <v>102000</v>
      </c>
      <c r="R200" s="9">
        <f t="shared" si="42"/>
        <v>8.089334548769371E-2</v>
      </c>
    </row>
    <row r="201" spans="1:18" ht="17.25" x14ac:dyDescent="0.3">
      <c r="A201" s="5">
        <f t="shared" si="43"/>
        <v>995001</v>
      </c>
      <c r="B201" s="5">
        <f t="shared" si="44"/>
        <v>1000000</v>
      </c>
      <c r="C201" s="12">
        <v>0</v>
      </c>
      <c r="E201" s="3">
        <v>0</v>
      </c>
      <c r="F201" s="3">
        <v>0</v>
      </c>
      <c r="G201" s="6">
        <v>0</v>
      </c>
      <c r="H201" s="5">
        <f t="shared" si="34"/>
        <v>102500</v>
      </c>
      <c r="I201" s="5">
        <f t="shared" si="35"/>
        <v>102500</v>
      </c>
      <c r="L201" s="5">
        <f t="shared" si="36"/>
        <v>1102500</v>
      </c>
      <c r="M201" s="5">
        <f t="shared" si="37"/>
        <v>1172872.3404255321</v>
      </c>
      <c r="N201" s="8">
        <f t="shared" si="38"/>
        <v>102500</v>
      </c>
      <c r="O201" s="9">
        <f t="shared" si="39"/>
        <v>8.7392290249433097E-2</v>
      </c>
      <c r="P201" s="5">
        <f t="shared" si="40"/>
        <v>1267241.3793103448</v>
      </c>
      <c r="Q201" s="8">
        <f t="shared" si="41"/>
        <v>102500</v>
      </c>
      <c r="R201" s="9">
        <f t="shared" si="42"/>
        <v>8.0884353741496606E-2</v>
      </c>
    </row>
  </sheetData>
  <phoneticPr fontId="2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광성 이</dc:creator>
  <cp:lastModifiedBy>광성 이</cp:lastModifiedBy>
  <dcterms:created xsi:type="dcterms:W3CDTF">2026-07-29T09:27:26Z</dcterms:created>
  <dcterms:modified xsi:type="dcterms:W3CDTF">2026-08-02T12:14:11Z</dcterms:modified>
</cp:coreProperties>
</file>